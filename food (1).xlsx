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dav\Downloads\"/>
    </mc:Choice>
  </mc:AlternateContent>
  <xr:revisionPtr revIDLastSave="0" documentId="13_ncr:1_{8524D06B-8BBF-403A-B208-D79690BC1F58}" xr6:coauthVersionLast="47" xr6:coauthVersionMax="47" xr10:uidLastSave="{00000000-0000-0000-0000-000000000000}"/>
  <bookViews>
    <workbookView xWindow="-108" yWindow="-108" windowWidth="23256" windowHeight="13896" xr2:uid="{8EB492C4-79EE-4463-BCA1-F6710A14A61C}"/>
  </bookViews>
  <sheets>
    <sheet name="food" sheetId="3" r:id="rId1"/>
  </sheets>
  <definedNames>
    <definedName name="FoodList">FoodData[Name]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C2" i="3" s="1"/>
  <c r="B3" i="3" a="1"/>
  <c r="B3" i="3" s="1"/>
  <c r="C3" i="3" s="1"/>
  <c r="B4" i="3" a="1"/>
  <c r="B4" i="3" s="1"/>
  <c r="C4" i="3" s="1"/>
  <c r="B5" i="3" a="1"/>
  <c r="B5" i="3" s="1"/>
  <c r="C5" i="3" s="1"/>
  <c r="B6" i="3" a="1"/>
  <c r="B6" i="3" s="1"/>
  <c r="C6" i="3" s="1"/>
  <c r="B7" i="3" a="1"/>
  <c r="B7" i="3" s="1"/>
  <c r="C7" i="3" s="1"/>
  <c r="B8" i="3" a="1"/>
  <c r="B8" i="3" s="1"/>
  <c r="C8" i="3" s="1"/>
  <c r="B9" i="3" a="1"/>
  <c r="B9" i="3" s="1"/>
  <c r="C9" i="3" s="1"/>
  <c r="B10" i="3" a="1"/>
  <c r="B10" i="3" s="1"/>
  <c r="C10" i="3" s="1"/>
  <c r="B11" i="3" a="1"/>
  <c r="B11" i="3" s="1"/>
  <c r="C11" i="3" s="1"/>
  <c r="B12" i="3" a="1"/>
  <c r="B12" i="3" s="1"/>
  <c r="C12" i="3" s="1"/>
  <c r="B13" i="3" a="1"/>
  <c r="B13" i="3" s="1"/>
  <c r="C13" i="3" s="1"/>
  <c r="B14" i="3" a="1"/>
  <c r="B14" i="3" s="1"/>
  <c r="C14" i="3" s="1"/>
  <c r="B15" i="3" a="1"/>
  <c r="B15" i="3" s="1"/>
  <c r="C15" i="3" s="1"/>
  <c r="B16" i="3" a="1"/>
  <c r="B16" i="3" s="1"/>
  <c r="C16" i="3" s="1"/>
  <c r="B17" i="3" a="1"/>
  <c r="B17" i="3" s="1"/>
  <c r="C17" i="3" s="1"/>
  <c r="B18" i="3" a="1"/>
  <c r="B18" i="3" s="1"/>
  <c r="C18" i="3" s="1"/>
  <c r="B19" i="3" a="1"/>
  <c r="B19" i="3" s="1"/>
  <c r="C19" i="3" s="1"/>
  <c r="B20" i="3" a="1"/>
  <c r="B20" i="3" s="1"/>
  <c r="C20" i="3" s="1"/>
  <c r="B21" i="3" a="1"/>
  <c r="B21" i="3" s="1"/>
  <c r="C21" i="3" s="1"/>
  <c r="B22" i="3" a="1"/>
  <c r="B22" i="3" s="1"/>
  <c r="C22" i="3" s="1"/>
  <c r="B23" i="3" a="1"/>
  <c r="B23" i="3" s="1"/>
  <c r="C23" i="3" s="1"/>
  <c r="B24" i="3" a="1"/>
  <c r="B24" i="3" s="1"/>
  <c r="C24" i="3" s="1"/>
  <c r="B25" i="3" a="1"/>
  <c r="B25" i="3" s="1"/>
  <c r="C25" i="3" s="1"/>
  <c r="B26" i="3" a="1"/>
  <c r="B26" i="3" s="1"/>
  <c r="C26" i="3" s="1"/>
  <c r="B27" i="3" a="1"/>
  <c r="B27" i="3" s="1"/>
  <c r="C27" i="3" s="1"/>
  <c r="B28" i="3" a="1"/>
  <c r="B28" i="3" s="1"/>
  <c r="C28" i="3" s="1"/>
  <c r="B29" i="3" a="1"/>
  <c r="B29" i="3" s="1"/>
  <c r="C29" i="3" s="1"/>
  <c r="B30" i="3" a="1"/>
  <c r="B30" i="3" s="1"/>
  <c r="C30" i="3" s="1"/>
  <c r="B31" i="3" a="1"/>
  <c r="B31" i="3" s="1"/>
  <c r="C31" i="3" s="1"/>
  <c r="B32" i="3" a="1"/>
  <c r="B32" i="3" s="1"/>
  <c r="C32" i="3" s="1"/>
  <c r="B33" i="3" a="1"/>
  <c r="B33" i="3" s="1"/>
  <c r="C33" i="3" s="1"/>
  <c r="B34" i="3" a="1"/>
  <c r="B34" i="3" s="1"/>
  <c r="C34" i="3" s="1"/>
  <c r="B35" i="3" a="1"/>
  <c r="B35" i="3" s="1"/>
  <c r="C35" i="3" s="1"/>
  <c r="B36" i="3" a="1"/>
  <c r="B36" i="3" s="1"/>
  <c r="C36" i="3" s="1"/>
  <c r="B37" i="3" a="1"/>
  <c r="B37" i="3" s="1"/>
  <c r="C37" i="3" s="1"/>
  <c r="B38" i="3" a="1"/>
  <c r="B38" i="3" s="1"/>
  <c r="C38" i="3" s="1"/>
  <c r="B39" i="3" a="1"/>
  <c r="B39" i="3" s="1"/>
  <c r="C39" i="3" s="1"/>
  <c r="B40" i="3" a="1"/>
  <c r="B40" i="3" s="1"/>
  <c r="C40" i="3" s="1"/>
  <c r="B41" i="3" a="1"/>
  <c r="B41" i="3" s="1"/>
  <c r="C41" i="3" s="1"/>
  <c r="B42" i="3" a="1"/>
  <c r="B42" i="3" s="1"/>
  <c r="C42" i="3" s="1"/>
  <c r="B43" i="3" a="1"/>
  <c r="B43" i="3" s="1"/>
  <c r="C43" i="3" s="1"/>
  <c r="B44" i="3" a="1"/>
  <c r="B44" i="3" s="1"/>
  <c r="C44" i="3" s="1"/>
  <c r="B45" i="3" a="1"/>
  <c r="B45" i="3" s="1"/>
  <c r="C45" i="3" s="1"/>
  <c r="B46" i="3" a="1"/>
  <c r="B46" i="3" s="1"/>
  <c r="C46" i="3" s="1"/>
  <c r="B47" i="3" a="1"/>
  <c r="B47" i="3" s="1"/>
  <c r="C47" i="3" s="1"/>
  <c r="B48" i="3" a="1"/>
  <c r="B48" i="3" s="1"/>
  <c r="C48" i="3" s="1"/>
  <c r="B49" i="3" a="1"/>
  <c r="B49" i="3" s="1"/>
  <c r="C49" i="3" s="1"/>
  <c r="B50" i="3" a="1"/>
  <c r="B50" i="3" s="1"/>
  <c r="C50" i="3" s="1"/>
  <c r="B51" i="3" a="1"/>
  <c r="B51" i="3" s="1"/>
  <c r="C51" i="3" s="1"/>
  <c r="B52" i="3" a="1"/>
  <c r="B52" i="3" s="1"/>
  <c r="C52" i="3" s="1"/>
  <c r="B53" i="3" a="1"/>
  <c r="B53" i="3"/>
  <c r="C53" i="3" s="1"/>
  <c r="B54" i="3" a="1"/>
  <c r="B54" i="3" s="1"/>
  <c r="C54" i="3" s="1"/>
  <c r="B55" i="3" a="1"/>
  <c r="B55" i="3" s="1"/>
  <c r="C55" i="3" s="1"/>
  <c r="B56" i="3" a="1"/>
  <c r="B56" i="3" s="1"/>
  <c r="C56" i="3" s="1"/>
  <c r="B57" i="3" a="1"/>
  <c r="B57" i="3" s="1"/>
  <c r="C57" i="3" s="1"/>
  <c r="B58" i="3" a="1"/>
  <c r="B58" i="3" s="1"/>
  <c r="C58" i="3" s="1"/>
  <c r="B59" i="3" a="1"/>
  <c r="B59" i="3" s="1"/>
  <c r="C59" i="3" s="1"/>
  <c r="B60" i="3" a="1"/>
  <c r="B60" i="3" s="1"/>
  <c r="C60" i="3" s="1"/>
  <c r="B61" i="3" a="1"/>
  <c r="B61" i="3" s="1"/>
  <c r="C61" i="3" s="1"/>
  <c r="B62" i="3" a="1"/>
  <c r="B62" i="3" s="1"/>
  <c r="C62" i="3" s="1"/>
  <c r="B63" i="3" a="1"/>
  <c r="B63" i="3" s="1"/>
  <c r="C63" i="3" s="1"/>
  <c r="B64" i="3" a="1"/>
  <c r="B64" i="3"/>
  <c r="C64" i="3" s="1"/>
  <c r="B65" i="3" a="1"/>
  <c r="B65" i="3" s="1"/>
  <c r="C65" i="3" s="1"/>
  <c r="B66" i="3" a="1"/>
  <c r="B66" i="3" s="1"/>
  <c r="C66" i="3" s="1"/>
  <c r="B67" i="3" a="1"/>
  <c r="B67" i="3" s="1"/>
  <c r="C67" i="3" s="1"/>
  <c r="B68" i="3" a="1"/>
  <c r="B68" i="3" s="1"/>
  <c r="C68" i="3" s="1"/>
  <c r="B69" i="3" a="1"/>
  <c r="B69" i="3" s="1"/>
  <c r="C69" i="3" s="1"/>
  <c r="B70" i="3" a="1"/>
  <c r="B70" i="3" s="1"/>
  <c r="C70" i="3" s="1"/>
  <c r="B71" i="3" a="1"/>
  <c r="B71" i="3" s="1"/>
  <c r="C71" i="3" s="1"/>
  <c r="B72" i="3" a="1"/>
  <c r="B72" i="3" s="1"/>
  <c r="C72" i="3" s="1"/>
  <c r="B73" i="3" a="1"/>
  <c r="B73" i="3" s="1"/>
  <c r="C73" i="3" s="1"/>
  <c r="B74" i="3" a="1"/>
  <c r="B74" i="3" s="1"/>
  <c r="C74" i="3" s="1"/>
  <c r="B75" i="3" a="1"/>
  <c r="B75" i="3"/>
  <c r="C75" i="3" s="1"/>
  <c r="B76" i="3" a="1"/>
  <c r="B76" i="3" s="1"/>
  <c r="C76" i="3" s="1"/>
  <c r="B77" i="3" a="1"/>
  <c r="B77" i="3" s="1"/>
  <c r="C77" i="3" s="1"/>
  <c r="B78" i="3" a="1"/>
  <c r="B78" i="3" s="1"/>
  <c r="C78" i="3" s="1"/>
  <c r="B79" i="3" a="1"/>
  <c r="B79" i="3" s="1"/>
  <c r="C79" i="3" s="1"/>
  <c r="B80" i="3" a="1"/>
  <c r="B80" i="3" s="1"/>
  <c r="C80" i="3" s="1"/>
  <c r="B81" i="3" a="1"/>
  <c r="B81" i="3" s="1"/>
  <c r="C81" i="3" s="1"/>
  <c r="B82" i="3" a="1"/>
  <c r="B82" i="3" s="1"/>
  <c r="C82" i="3" s="1"/>
  <c r="B83" i="3" a="1"/>
  <c r="B83" i="3" s="1"/>
  <c r="C83" i="3" s="1"/>
  <c r="B84" i="3" a="1"/>
  <c r="B84" i="3" s="1"/>
  <c r="C84" i="3" s="1"/>
  <c r="B85" i="3" a="1"/>
  <c r="B85" i="3" s="1"/>
  <c r="C85" i="3" s="1"/>
  <c r="B86" i="3" a="1"/>
  <c r="B86" i="3" s="1"/>
  <c r="C86" i="3" s="1"/>
  <c r="B87" i="3" a="1"/>
  <c r="B87" i="3" s="1"/>
  <c r="C87" i="3" s="1"/>
  <c r="B88" i="3" a="1"/>
  <c r="B88" i="3" s="1"/>
  <c r="C88" i="3" s="1"/>
  <c r="B89" i="3" a="1"/>
  <c r="B89" i="3" s="1"/>
  <c r="C89" i="3" s="1"/>
  <c r="B90" i="3" a="1"/>
  <c r="B90" i="3" s="1"/>
  <c r="C90" i="3" s="1"/>
  <c r="B91" i="3" a="1"/>
  <c r="B91" i="3" s="1"/>
  <c r="C91" i="3" s="1"/>
  <c r="B92" i="3" a="1"/>
  <c r="B92" i="3" s="1"/>
  <c r="C92" i="3" s="1"/>
  <c r="B93" i="3" a="1"/>
  <c r="B93" i="3" s="1"/>
  <c r="C93" i="3" s="1"/>
  <c r="B94" i="3" a="1"/>
  <c r="B94" i="3" s="1"/>
  <c r="C94" i="3" s="1"/>
  <c r="B95" i="3" a="1"/>
  <c r="B95" i="3" s="1"/>
  <c r="C95" i="3" s="1"/>
  <c r="B96" i="3" a="1"/>
  <c r="B96" i="3" s="1"/>
  <c r="C96" i="3" s="1"/>
  <c r="B97" i="3" a="1"/>
  <c r="B97" i="3" s="1"/>
  <c r="C97" i="3" s="1"/>
  <c r="B98" i="3" a="1"/>
  <c r="B98" i="3" s="1"/>
  <c r="C98" i="3" s="1"/>
  <c r="B99" i="3" a="1"/>
  <c r="B99" i="3" s="1"/>
  <c r="C99" i="3" s="1"/>
  <c r="B100" i="3" a="1"/>
  <c r="B100" i="3" s="1"/>
  <c r="C100" i="3" s="1"/>
  <c r="B101" i="3" a="1"/>
  <c r="B101" i="3" s="1"/>
  <c r="C101" i="3" s="1"/>
  <c r="B102" i="3" a="1"/>
  <c r="B102" i="3" s="1"/>
  <c r="C102" i="3" s="1"/>
  <c r="B103" i="3" a="1"/>
  <c r="B103" i="3" s="1"/>
  <c r="C103" i="3" s="1"/>
  <c r="B104" i="3" a="1"/>
  <c r="B104" i="3" s="1"/>
  <c r="C104" i="3" s="1"/>
  <c r="B105" i="3" a="1"/>
  <c r="B105" i="3" s="1"/>
  <c r="C105" i="3" s="1"/>
  <c r="B106" i="3" a="1"/>
  <c r="B106" i="3" s="1"/>
  <c r="C106" i="3" s="1"/>
  <c r="B107" i="3" a="1"/>
  <c r="B107" i="3" s="1"/>
  <c r="C107" i="3" s="1"/>
  <c r="B108" i="3" a="1"/>
  <c r="B108" i="3" s="1"/>
  <c r="C108" i="3" s="1"/>
  <c r="B109" i="3" a="1"/>
  <c r="B109" i="3" s="1"/>
  <c r="C109" i="3" s="1"/>
  <c r="B110" i="3" a="1"/>
  <c r="B110" i="3" s="1"/>
  <c r="C110" i="3" s="1"/>
  <c r="B111" i="3" a="1"/>
  <c r="B111" i="3" s="1"/>
  <c r="C111" i="3" s="1"/>
  <c r="B112" i="3" a="1"/>
  <c r="B112" i="3" s="1"/>
  <c r="C112" i="3" s="1"/>
  <c r="B113" i="3" a="1"/>
  <c r="B113" i="3" s="1"/>
  <c r="C113" i="3" s="1"/>
  <c r="B114" i="3" a="1"/>
  <c r="B114" i="3" s="1"/>
  <c r="C114" i="3" s="1"/>
  <c r="B115" i="3" a="1"/>
  <c r="B115" i="3" s="1"/>
  <c r="C115" i="3" s="1"/>
  <c r="B116" i="3" a="1"/>
  <c r="B116" i="3" s="1"/>
  <c r="C116" i="3" s="1"/>
  <c r="B117" i="3" a="1"/>
  <c r="B117" i="3" s="1"/>
  <c r="C117" i="3" s="1"/>
  <c r="B118" i="3" a="1"/>
  <c r="B118" i="3" s="1"/>
  <c r="C118" i="3" s="1"/>
  <c r="B119" i="3" a="1"/>
  <c r="B119" i="3" s="1"/>
  <c r="C119" i="3" s="1"/>
  <c r="B120" i="3" a="1"/>
  <c r="B120" i="3" s="1"/>
  <c r="C120" i="3" s="1"/>
  <c r="B121" i="3" a="1"/>
  <c r="B121" i="3" s="1"/>
  <c r="C121" i="3" s="1"/>
  <c r="B122" i="3" a="1"/>
  <c r="B122" i="3" s="1"/>
  <c r="C122" i="3" s="1"/>
  <c r="B123" i="3" a="1"/>
  <c r="B123" i="3" s="1"/>
  <c r="C123" i="3" s="1"/>
  <c r="B124" i="3" a="1"/>
  <c r="B124" i="3"/>
  <c r="C124" i="3" s="1"/>
  <c r="B125" i="3" a="1"/>
  <c r="B125" i="3" s="1"/>
  <c r="C125" i="3" s="1"/>
  <c r="B126" i="3" a="1"/>
  <c r="B126" i="3" s="1"/>
  <c r="C126" i="3" s="1"/>
  <c r="B127" i="3" a="1"/>
  <c r="B127" i="3" s="1"/>
  <c r="C127" i="3" s="1"/>
  <c r="B128" i="3" a="1"/>
  <c r="B128" i="3" s="1"/>
  <c r="C128" i="3" s="1"/>
  <c r="B129" i="3" a="1"/>
  <c r="B129" i="3" s="1"/>
  <c r="C129" i="3" s="1"/>
  <c r="B130" i="3" a="1"/>
  <c r="B130" i="3" s="1"/>
  <c r="C130" i="3" s="1"/>
  <c r="B131" i="3" a="1"/>
  <c r="B131" i="3" s="1"/>
  <c r="C131" i="3" s="1"/>
  <c r="B132" i="3" a="1"/>
  <c r="B132" i="3" s="1"/>
  <c r="C132" i="3" s="1"/>
  <c r="B133" i="3" a="1"/>
  <c r="B133" i="3" s="1"/>
  <c r="C133" i="3" s="1"/>
  <c r="B134" i="3" a="1"/>
  <c r="B134" i="3" s="1"/>
  <c r="C134" i="3" s="1"/>
  <c r="B135" i="3" a="1"/>
  <c r="B135" i="3" s="1"/>
  <c r="C135" i="3" s="1"/>
  <c r="B136" i="3" a="1"/>
  <c r="B136" i="3" s="1"/>
  <c r="C136" i="3" s="1"/>
  <c r="B137" i="3" a="1"/>
  <c r="B137" i="3"/>
  <c r="C137" i="3" s="1"/>
  <c r="B138" i="3" a="1"/>
  <c r="B138" i="3" s="1"/>
  <c r="C138" i="3" s="1"/>
  <c r="B139" i="3" a="1"/>
  <c r="B139" i="3" s="1"/>
  <c r="C139" i="3" s="1"/>
  <c r="B140" i="3" a="1"/>
  <c r="B140" i="3" s="1"/>
  <c r="C140" i="3" s="1"/>
  <c r="B141" i="3" a="1"/>
  <c r="B141" i="3" s="1"/>
  <c r="C141" i="3" s="1"/>
  <c r="B142" i="3" a="1"/>
  <c r="B142" i="3" s="1"/>
  <c r="C142" i="3" s="1"/>
  <c r="B143" i="3" a="1"/>
  <c r="B143" i="3" s="1"/>
  <c r="C143" i="3" s="1"/>
  <c r="B144" i="3" a="1"/>
  <c r="B144" i="3" s="1"/>
  <c r="C144" i="3" s="1"/>
  <c r="B145" i="3" a="1"/>
  <c r="B145" i="3" s="1"/>
  <c r="C145" i="3" s="1"/>
  <c r="B146" i="3" a="1"/>
  <c r="B146" i="3" s="1"/>
  <c r="C146" i="3" s="1"/>
  <c r="B147" i="3" a="1"/>
  <c r="B147" i="3" s="1"/>
  <c r="C147" i="3" s="1"/>
  <c r="B148" i="3" a="1"/>
  <c r="B148" i="3" s="1"/>
  <c r="C148" i="3" s="1"/>
  <c r="B149" i="3" a="1"/>
  <c r="B149" i="3" s="1"/>
  <c r="C149" i="3" s="1"/>
  <c r="B150" i="3" a="1"/>
  <c r="B150" i="3" s="1"/>
  <c r="C150" i="3" s="1"/>
  <c r="B151" i="3" a="1"/>
  <c r="B151" i="3" s="1"/>
  <c r="C151" i="3" s="1"/>
  <c r="B152" i="3" a="1"/>
  <c r="B152" i="3" s="1"/>
  <c r="C152" i="3" s="1"/>
  <c r="B153" i="3" a="1"/>
  <c r="B153" i="3" s="1"/>
  <c r="C153" i="3" s="1"/>
  <c r="B154" i="3" a="1"/>
  <c r="B154" i="3" s="1"/>
  <c r="C154" i="3" s="1"/>
  <c r="B155" i="3" a="1"/>
  <c r="B155" i="3" s="1"/>
  <c r="C155" i="3" s="1"/>
  <c r="B156" i="3" a="1"/>
  <c r="B156" i="3" s="1"/>
  <c r="C156" i="3" s="1"/>
  <c r="B157" i="3" a="1"/>
  <c r="B157" i="3" s="1"/>
  <c r="C157" i="3" s="1"/>
  <c r="B158" i="3" a="1"/>
  <c r="B158" i="3" s="1"/>
  <c r="C158" i="3" s="1"/>
  <c r="B159" i="3" a="1"/>
  <c r="B159" i="3"/>
  <c r="C159" i="3" s="1"/>
  <c r="B160" i="3" a="1"/>
  <c r="B160" i="3" s="1"/>
  <c r="C160" i="3" s="1"/>
  <c r="B161" i="3" a="1"/>
  <c r="B161" i="3" s="1"/>
  <c r="C161" i="3" s="1"/>
  <c r="B162" i="3" a="1"/>
  <c r="B162" i="3" s="1"/>
  <c r="C162" i="3" s="1"/>
  <c r="B163" i="3" a="1"/>
  <c r="B163" i="3" s="1"/>
  <c r="C163" i="3" s="1"/>
  <c r="B164" i="3" a="1"/>
  <c r="B164" i="3" s="1"/>
  <c r="C164" i="3" s="1"/>
  <c r="B165" i="3" a="1"/>
  <c r="B165" i="3" s="1"/>
  <c r="C165" i="3" s="1"/>
  <c r="B166" i="3" a="1"/>
  <c r="B166" i="3" s="1"/>
  <c r="C166" i="3" s="1"/>
  <c r="B167" i="3" a="1"/>
  <c r="B167" i="3" s="1"/>
  <c r="C167" i="3" s="1"/>
  <c r="B168" i="3" a="1"/>
  <c r="B168" i="3" s="1"/>
  <c r="C168" i="3" s="1"/>
  <c r="B169" i="3" a="1"/>
  <c r="B169" i="3" s="1"/>
  <c r="C169" i="3" s="1"/>
  <c r="B170" i="3" a="1"/>
  <c r="B170" i="3" s="1"/>
  <c r="C170" i="3" s="1"/>
  <c r="B171" i="3" a="1"/>
  <c r="B171" i="3" s="1"/>
  <c r="C171" i="3" s="1"/>
  <c r="B172" i="3" a="1"/>
  <c r="B172" i="3" s="1"/>
  <c r="C172" i="3" s="1"/>
  <c r="B173" i="3" a="1"/>
  <c r="B173" i="3" s="1"/>
  <c r="C173" i="3" s="1"/>
  <c r="B174" i="3" a="1"/>
  <c r="B174" i="3" s="1"/>
  <c r="C174" i="3" s="1"/>
  <c r="B175" i="3" a="1"/>
  <c r="B175" i="3" s="1"/>
  <c r="C175" i="3" s="1"/>
  <c r="B176" i="3" a="1"/>
  <c r="B176" i="3" s="1"/>
  <c r="C176" i="3" s="1"/>
  <c r="B177" i="3" a="1"/>
  <c r="B177" i="3" s="1"/>
  <c r="C177" i="3" s="1"/>
  <c r="B178" i="3" a="1"/>
  <c r="B178" i="3" s="1"/>
  <c r="C178" i="3" s="1"/>
  <c r="B179" i="3" a="1"/>
  <c r="B179" i="3" s="1"/>
  <c r="C179" i="3" s="1"/>
  <c r="B180" i="3" a="1"/>
  <c r="B180" i="3" s="1"/>
  <c r="C180" i="3" s="1"/>
  <c r="B181" i="3" a="1"/>
  <c r="B181" i="3" s="1"/>
  <c r="C181" i="3" s="1"/>
  <c r="B182" i="3" a="1"/>
  <c r="B182" i="3" s="1"/>
  <c r="C182" i="3" s="1"/>
  <c r="B183" i="3" a="1"/>
  <c r="B183" i="3" s="1"/>
  <c r="C183" i="3" s="1"/>
  <c r="B184" i="3" a="1"/>
  <c r="B184" i="3" s="1"/>
  <c r="C184" i="3" s="1"/>
  <c r="B185" i="3" a="1"/>
  <c r="B185" i="3" s="1"/>
  <c r="C185" i="3" s="1"/>
  <c r="B186" i="3" a="1"/>
  <c r="B186" i="3" s="1"/>
  <c r="C186" i="3" s="1"/>
  <c r="B187" i="3" a="1"/>
  <c r="B187" i="3" s="1"/>
  <c r="C187" i="3" s="1"/>
  <c r="B188" i="3" a="1"/>
  <c r="B188" i="3" s="1"/>
  <c r="C188" i="3" s="1"/>
  <c r="B189" i="3" a="1"/>
  <c r="B189" i="3" s="1"/>
  <c r="C189" i="3" s="1"/>
  <c r="B190" i="3" a="1"/>
  <c r="B190" i="3" s="1"/>
  <c r="C190" i="3" s="1"/>
  <c r="B191" i="3" a="1"/>
  <c r="B191" i="3" s="1"/>
  <c r="C191" i="3" s="1"/>
  <c r="B192" i="3" a="1"/>
  <c r="B192" i="3" s="1"/>
  <c r="C192" i="3" s="1"/>
  <c r="B193" i="3" a="1"/>
  <c r="B193" i="3" s="1"/>
  <c r="C193" i="3" s="1"/>
  <c r="B194" i="3" a="1"/>
  <c r="B194" i="3" s="1"/>
  <c r="C194" i="3" s="1"/>
  <c r="B195" i="3" a="1"/>
  <c r="B195" i="3" s="1"/>
  <c r="C195" i="3" s="1"/>
  <c r="B196" i="3" a="1"/>
  <c r="B196" i="3" s="1"/>
  <c r="C196" i="3" s="1"/>
  <c r="B197" i="3" a="1"/>
  <c r="B197" i="3" s="1"/>
  <c r="C197" i="3" s="1"/>
  <c r="B198" i="3" a="1"/>
  <c r="B198" i="3" s="1"/>
  <c r="C198" i="3" s="1"/>
  <c r="B199" i="3" a="1"/>
  <c r="B199" i="3" s="1"/>
  <c r="C199" i="3" s="1"/>
  <c r="B200" i="3" a="1"/>
  <c r="B200" i="3" s="1"/>
  <c r="C200" i="3" s="1"/>
  <c r="B201" i="3" a="1"/>
  <c r="B201" i="3" s="1"/>
  <c r="C201" i="3" s="1"/>
  <c r="B202" i="3" a="1"/>
  <c r="B202" i="3" s="1"/>
  <c r="C202" i="3" s="1"/>
  <c r="B203" i="3" a="1"/>
  <c r="B203" i="3" s="1"/>
  <c r="C203" i="3" s="1"/>
  <c r="B204" i="3" a="1"/>
  <c r="B204" i="3" s="1"/>
  <c r="C204" i="3" s="1"/>
  <c r="B205" i="3" a="1"/>
  <c r="B205" i="3" s="1"/>
  <c r="C205" i="3" s="1"/>
  <c r="B206" i="3" a="1"/>
  <c r="B206" i="3" s="1"/>
  <c r="C206" i="3" s="1"/>
  <c r="B207" i="3" a="1"/>
  <c r="B207" i="3" s="1"/>
  <c r="C207" i="3" s="1"/>
  <c r="B208" i="3" a="1"/>
  <c r="B208" i="3" s="1"/>
  <c r="C208" i="3" s="1"/>
  <c r="B209" i="3" a="1"/>
  <c r="B209" i="3" s="1"/>
  <c r="C209" i="3" s="1"/>
  <c r="B210" i="3" a="1"/>
  <c r="B210" i="3" s="1"/>
  <c r="C210" i="3" s="1"/>
  <c r="B211" i="3" a="1"/>
  <c r="B211" i="3" s="1"/>
  <c r="C211" i="3" s="1"/>
  <c r="B212" i="3" a="1"/>
  <c r="B212" i="3" s="1"/>
  <c r="C212" i="3" s="1"/>
  <c r="B213" i="3" a="1"/>
  <c r="B213" i="3" s="1"/>
  <c r="C213" i="3" s="1"/>
  <c r="B214" i="3" a="1"/>
  <c r="B214" i="3" s="1"/>
  <c r="C214" i="3" s="1"/>
  <c r="B215" i="3" a="1"/>
  <c r="B215" i="3" s="1"/>
  <c r="C215" i="3" s="1"/>
  <c r="B216" i="3" a="1"/>
  <c r="B216" i="3" s="1"/>
  <c r="C216" i="3" s="1"/>
  <c r="B217" i="3" a="1"/>
  <c r="B217" i="3" s="1"/>
  <c r="C217" i="3" s="1"/>
  <c r="B218" i="3" a="1"/>
  <c r="B218" i="3" s="1"/>
  <c r="C218" i="3" s="1"/>
  <c r="B219" i="3" a="1"/>
  <c r="B219" i="3" s="1"/>
  <c r="C219" i="3" s="1"/>
  <c r="B220" i="3" a="1"/>
  <c r="B220" i="3" s="1"/>
  <c r="C220" i="3" s="1"/>
  <c r="B221" i="3" a="1"/>
  <c r="B221" i="3" s="1"/>
  <c r="C221" i="3" s="1"/>
  <c r="B222" i="3" a="1"/>
  <c r="B222" i="3" s="1"/>
  <c r="C222" i="3" s="1"/>
  <c r="B223" i="3" a="1"/>
  <c r="B223" i="3" s="1"/>
  <c r="C223" i="3" s="1"/>
  <c r="B224" i="3" a="1"/>
  <c r="B224" i="3" s="1"/>
  <c r="C224" i="3" s="1"/>
  <c r="B225" i="3" a="1"/>
  <c r="B225" i="3" s="1"/>
  <c r="C225" i="3" s="1"/>
  <c r="B226" i="3" a="1"/>
  <c r="B226" i="3" s="1"/>
  <c r="C226" i="3" s="1"/>
  <c r="B227" i="3" a="1"/>
  <c r="B227" i="3" s="1"/>
  <c r="C227" i="3" s="1"/>
  <c r="B228" i="3" a="1"/>
  <c r="B228" i="3" s="1"/>
  <c r="C228" i="3" s="1"/>
  <c r="B229" i="3" a="1"/>
  <c r="B229" i="3" s="1"/>
  <c r="C229" i="3" s="1"/>
  <c r="B230" i="3" a="1"/>
  <c r="B230" i="3" s="1"/>
  <c r="C230" i="3" s="1"/>
  <c r="B231" i="3" a="1"/>
  <c r="B231" i="3" s="1"/>
  <c r="C231" i="3" s="1"/>
  <c r="B232" i="3" a="1"/>
  <c r="B232" i="3" s="1"/>
  <c r="C232" i="3" s="1"/>
  <c r="B233" i="3" a="1"/>
  <c r="B233" i="3" s="1"/>
  <c r="C233" i="3" s="1"/>
  <c r="B234" i="3" a="1"/>
  <c r="B234" i="3" s="1"/>
  <c r="C234" i="3" s="1"/>
  <c r="B235" i="3" a="1"/>
  <c r="B235" i="3" s="1"/>
  <c r="C235" i="3" s="1"/>
  <c r="B236" i="3" a="1"/>
  <c r="B236" i="3" s="1"/>
  <c r="C236" i="3" s="1"/>
  <c r="B237" i="3" a="1"/>
  <c r="B237" i="3" s="1"/>
  <c r="C237" i="3" s="1"/>
  <c r="B238" i="3" a="1"/>
  <c r="B238" i="3" s="1"/>
  <c r="C238" i="3" s="1"/>
  <c r="B239" i="3" a="1"/>
  <c r="B239" i="3" s="1"/>
  <c r="C239" i="3" s="1"/>
  <c r="B240" i="3" a="1"/>
  <c r="B240" i="3" s="1"/>
  <c r="C240" i="3" s="1"/>
  <c r="B241" i="3" a="1"/>
  <c r="B241" i="3" s="1"/>
  <c r="C241" i="3" s="1"/>
  <c r="B242" i="3" a="1"/>
  <c r="B242" i="3" s="1"/>
  <c r="C242" i="3" s="1"/>
  <c r="B243" i="3" a="1"/>
  <c r="B243" i="3" s="1"/>
  <c r="C243" i="3" s="1"/>
  <c r="B244" i="3" a="1"/>
  <c r="B244" i="3" s="1"/>
  <c r="C244" i="3" s="1"/>
  <c r="B245" i="3" a="1"/>
  <c r="B245" i="3" s="1"/>
  <c r="C245" i="3" s="1"/>
  <c r="B246" i="3" a="1"/>
  <c r="B246" i="3" s="1"/>
  <c r="C246" i="3" s="1"/>
  <c r="B247" i="3" a="1"/>
  <c r="B247" i="3" s="1"/>
  <c r="C247" i="3" s="1"/>
  <c r="B248" i="3" a="1"/>
  <c r="B248" i="3" s="1"/>
  <c r="C248" i="3" s="1"/>
  <c r="B249" i="3" a="1"/>
  <c r="B249" i="3" s="1"/>
  <c r="C249" i="3" s="1"/>
  <c r="B250" i="3" a="1"/>
  <c r="B250" i="3" s="1"/>
  <c r="C250" i="3" s="1"/>
  <c r="B251" i="3" a="1"/>
  <c r="B251" i="3" s="1"/>
  <c r="C251" i="3" s="1"/>
  <c r="B252" i="3" a="1"/>
  <c r="B252" i="3" s="1"/>
  <c r="C252" i="3" s="1"/>
  <c r="B253" i="3" a="1"/>
  <c r="B253" i="3" s="1"/>
  <c r="C253" i="3" s="1"/>
  <c r="B254" i="3" a="1"/>
  <c r="B254" i="3" s="1"/>
  <c r="C254" i="3" s="1"/>
  <c r="B255" i="3" a="1"/>
  <c r="B255" i="3" s="1"/>
  <c r="C255" i="3" s="1"/>
  <c r="B256" i="3" a="1"/>
  <c r="B256" i="3" s="1"/>
  <c r="C256" i="3" s="1"/>
  <c r="B257" i="3" a="1"/>
  <c r="B257" i="3" s="1"/>
  <c r="C257" i="3" s="1"/>
  <c r="B258" i="3" a="1"/>
  <c r="B258" i="3" s="1"/>
  <c r="C258" i="3" s="1"/>
  <c r="B259" i="3" a="1"/>
  <c r="B259" i="3" s="1"/>
  <c r="C259" i="3" s="1"/>
  <c r="B260" i="3" a="1"/>
  <c r="B260" i="3" s="1"/>
  <c r="C260" i="3" s="1"/>
  <c r="B261" i="3" a="1"/>
  <c r="B261" i="3" s="1"/>
  <c r="C261" i="3" s="1"/>
  <c r="B262" i="3" a="1"/>
  <c r="B262" i="3" s="1"/>
  <c r="C262" i="3" s="1"/>
  <c r="B263" i="3" a="1"/>
  <c r="B263" i="3" s="1"/>
  <c r="C263" i="3" s="1"/>
  <c r="B264" i="3" a="1"/>
  <c r="B264" i="3" s="1"/>
  <c r="C264" i="3" s="1"/>
  <c r="B265" i="3" a="1"/>
  <c r="B265" i="3" s="1"/>
  <c r="C265" i="3" s="1"/>
  <c r="B266" i="3" a="1"/>
  <c r="B266" i="3" s="1"/>
  <c r="C266" i="3" s="1"/>
  <c r="B267" i="3" a="1"/>
  <c r="B267" i="3" s="1"/>
  <c r="C267" i="3" s="1"/>
  <c r="B268" i="3" a="1"/>
  <c r="B268" i="3" s="1"/>
  <c r="C268" i="3" s="1"/>
  <c r="B269" i="3" a="1"/>
  <c r="B269" i="3" s="1"/>
  <c r="C269" i="3" s="1"/>
  <c r="B270" i="3" a="1"/>
  <c r="B270" i="3" s="1"/>
  <c r="C270" i="3" s="1"/>
  <c r="B271" i="3" a="1"/>
  <c r="B271" i="3" s="1"/>
  <c r="C271" i="3" s="1"/>
  <c r="B272" i="3" a="1"/>
  <c r="B272" i="3" s="1"/>
  <c r="C272" i="3" s="1"/>
  <c r="B273" i="3" a="1"/>
  <c r="B273" i="3" s="1"/>
  <c r="C273" i="3" s="1"/>
  <c r="B274" i="3" a="1"/>
  <c r="B274" i="3"/>
  <c r="C274" i="3" s="1"/>
  <c r="B275" i="3" a="1"/>
  <c r="B275" i="3" s="1"/>
  <c r="C275" i="3" s="1"/>
  <c r="B276" i="3" a="1"/>
  <c r="B276" i="3" s="1"/>
  <c r="C276" i="3" s="1"/>
  <c r="B277" i="3" a="1"/>
  <c r="B277" i="3" s="1"/>
  <c r="C277" i="3" s="1"/>
  <c r="B278" i="3" a="1"/>
  <c r="B278" i="3" s="1"/>
  <c r="C278" i="3" s="1"/>
  <c r="B279" i="3" a="1"/>
  <c r="B279" i="3" s="1"/>
  <c r="C279" i="3" s="1"/>
  <c r="B280" i="3" a="1"/>
  <c r="B280" i="3" s="1"/>
  <c r="C280" i="3" s="1"/>
  <c r="B281" i="3" a="1"/>
  <c r="B281" i="3" s="1"/>
  <c r="C281" i="3" s="1"/>
  <c r="B282" i="3" a="1"/>
  <c r="B282" i="3" s="1"/>
  <c r="C282" i="3" s="1"/>
  <c r="B283" i="3" a="1"/>
  <c r="B283" i="3" s="1"/>
  <c r="C283" i="3" s="1"/>
  <c r="B284" i="3" a="1"/>
  <c r="B284" i="3" s="1"/>
  <c r="C284" i="3" s="1"/>
  <c r="B285" i="3" a="1"/>
  <c r="B285" i="3" s="1"/>
  <c r="C285" i="3" s="1"/>
  <c r="B286" i="3" a="1"/>
  <c r="B286" i="3" s="1"/>
  <c r="C286" i="3" s="1"/>
  <c r="B287" i="3" a="1"/>
  <c r="B287" i="3" s="1"/>
  <c r="C287" i="3" s="1"/>
  <c r="B288" i="3" a="1"/>
  <c r="B288" i="3" s="1"/>
  <c r="C288" i="3" s="1"/>
  <c r="B289" i="3" a="1"/>
  <c r="B289" i="3" s="1"/>
  <c r="C289" i="3" s="1"/>
  <c r="B290" i="3" a="1"/>
  <c r="B290" i="3" s="1"/>
  <c r="C290" i="3" s="1"/>
  <c r="B291" i="3" a="1"/>
  <c r="B291" i="3" s="1"/>
  <c r="C291" i="3" s="1"/>
  <c r="B292" i="3" a="1"/>
  <c r="B292" i="3" s="1"/>
  <c r="C292" i="3" s="1"/>
  <c r="B293" i="3" a="1"/>
  <c r="B293" i="3" s="1"/>
  <c r="C293" i="3" s="1"/>
  <c r="B294" i="3" a="1"/>
  <c r="B294" i="3" s="1"/>
  <c r="C294" i="3" s="1"/>
  <c r="B295" i="3" a="1"/>
  <c r="B295" i="3" s="1"/>
  <c r="C295" i="3" s="1"/>
  <c r="B296" i="3" a="1"/>
  <c r="B296" i="3" s="1"/>
  <c r="C296" i="3" s="1"/>
  <c r="B297" i="3" a="1"/>
  <c r="B297" i="3" s="1"/>
  <c r="C297" i="3" s="1"/>
  <c r="B298" i="3" a="1"/>
  <c r="B298" i="3" s="1"/>
  <c r="C298" i="3" s="1"/>
  <c r="B299" i="3" a="1"/>
  <c r="B299" i="3" s="1"/>
  <c r="C299" i="3" s="1"/>
  <c r="B300" i="3" a="1"/>
  <c r="B300" i="3" s="1"/>
  <c r="C300" i="3" s="1"/>
  <c r="B301" i="3" a="1"/>
  <c r="B301" i="3" s="1"/>
  <c r="C301" i="3" s="1"/>
  <c r="B302" i="3" a="1"/>
  <c r="B302" i="3" s="1"/>
  <c r="C302" i="3" s="1"/>
  <c r="B303" i="3" a="1"/>
  <c r="B303" i="3" s="1"/>
  <c r="C303" i="3" s="1"/>
  <c r="B304" i="3" a="1"/>
  <c r="B304" i="3" s="1"/>
  <c r="C304" i="3" s="1"/>
  <c r="B305" i="3" a="1"/>
  <c r="B305" i="3" s="1"/>
  <c r="C305" i="3" s="1"/>
  <c r="B306" i="3" a="1"/>
  <c r="B306" i="3" s="1"/>
  <c r="C306" i="3" s="1"/>
  <c r="B307" i="3" a="1"/>
  <c r="B307" i="3" s="1"/>
  <c r="C307" i="3" s="1"/>
  <c r="B308" i="3" a="1"/>
  <c r="B308" i="3" s="1"/>
  <c r="C308" i="3" s="1"/>
  <c r="B309" i="3" a="1"/>
  <c r="B309" i="3" s="1"/>
  <c r="C309" i="3" s="1"/>
  <c r="B310" i="3" a="1"/>
  <c r="B310" i="3" s="1"/>
  <c r="C310" i="3" s="1"/>
  <c r="B311" i="3" a="1"/>
  <c r="B311" i="3" s="1"/>
  <c r="C311" i="3" s="1"/>
  <c r="B312" i="3" a="1"/>
  <c r="B312" i="3" s="1"/>
  <c r="C312" i="3" s="1"/>
  <c r="B313" i="3" a="1"/>
  <c r="B313" i="3" s="1"/>
  <c r="C313" i="3" s="1"/>
  <c r="B314" i="3" a="1"/>
  <c r="B314" i="3" s="1"/>
  <c r="C314" i="3" s="1"/>
  <c r="B315" i="3" a="1"/>
  <c r="B315" i="3" s="1"/>
  <c r="C315" i="3" s="1"/>
  <c r="B316" i="3" a="1"/>
  <c r="B316" i="3" s="1"/>
  <c r="C316" i="3" s="1"/>
  <c r="B317" i="3" a="1"/>
  <c r="B317" i="3" s="1"/>
  <c r="C317" i="3" s="1"/>
  <c r="B318" i="3" a="1"/>
  <c r="B318" i="3" s="1"/>
  <c r="C318" i="3" s="1"/>
  <c r="B319" i="3" a="1"/>
  <c r="B319" i="3" s="1"/>
  <c r="C319" i="3" s="1"/>
  <c r="B320" i="3" a="1"/>
  <c r="B320" i="3" s="1"/>
  <c r="C320" i="3" s="1"/>
  <c r="B321" i="3" a="1"/>
  <c r="B321" i="3"/>
  <c r="C321" i="3" s="1"/>
  <c r="B322" i="3" a="1"/>
  <c r="B322" i="3" s="1"/>
  <c r="C322" i="3" s="1"/>
  <c r="B323" i="3" a="1"/>
  <c r="B323" i="3" s="1"/>
  <c r="C323" i="3" s="1"/>
  <c r="B324" i="3" a="1"/>
  <c r="B324" i="3" s="1"/>
  <c r="C324" i="3" s="1"/>
  <c r="B325" i="3" a="1"/>
  <c r="B325" i="3" s="1"/>
  <c r="C325" i="3" s="1"/>
  <c r="B326" i="3" a="1"/>
  <c r="B326" i="3" s="1"/>
  <c r="C326" i="3" s="1"/>
  <c r="B327" i="3" a="1"/>
  <c r="B327" i="3" s="1"/>
  <c r="C327" i="3" s="1"/>
  <c r="B328" i="3" a="1"/>
  <c r="B328" i="3" s="1"/>
  <c r="C328" i="3" s="1"/>
  <c r="B329" i="3" a="1"/>
  <c r="B329" i="3" s="1"/>
  <c r="C329" i="3" s="1"/>
  <c r="B330" i="3" a="1"/>
  <c r="B330" i="3" s="1"/>
  <c r="C330" i="3" s="1"/>
  <c r="B331" i="3" a="1"/>
  <c r="B331" i="3" s="1"/>
  <c r="C331" i="3" s="1"/>
  <c r="B332" i="3" a="1"/>
  <c r="B332" i="3" s="1"/>
  <c r="C332" i="3" s="1"/>
  <c r="B333" i="3" a="1"/>
  <c r="B333" i="3" s="1"/>
  <c r="C333" i="3" s="1"/>
  <c r="B334" i="3" a="1"/>
  <c r="B334" i="3" s="1"/>
  <c r="C334" i="3" s="1"/>
  <c r="B335" i="3" a="1"/>
  <c r="B335" i="3" s="1"/>
  <c r="C335" i="3" s="1"/>
  <c r="B336" i="3" a="1"/>
  <c r="B336" i="3" s="1"/>
  <c r="C336" i="3" s="1"/>
  <c r="B337" i="3" a="1"/>
  <c r="B337" i="3" s="1"/>
  <c r="C337" i="3" s="1"/>
  <c r="B338" i="3" a="1"/>
  <c r="B338" i="3" s="1"/>
  <c r="C338" i="3" s="1"/>
  <c r="B339" i="3" a="1"/>
  <c r="B339" i="3" s="1"/>
  <c r="C339" i="3" s="1"/>
  <c r="B340" i="3" a="1"/>
  <c r="B340" i="3" s="1"/>
  <c r="C340" i="3" s="1"/>
  <c r="B341" i="3" a="1"/>
  <c r="B341" i="3" s="1"/>
  <c r="C341" i="3" s="1"/>
  <c r="B342" i="3" a="1"/>
  <c r="B342" i="3" s="1"/>
  <c r="C342" i="3" s="1"/>
  <c r="B343" i="3" a="1"/>
  <c r="B343" i="3" s="1"/>
  <c r="C343" i="3" s="1"/>
  <c r="B344" i="3" a="1"/>
  <c r="B344" i="3" s="1"/>
  <c r="C344" i="3" s="1"/>
  <c r="B345" i="3" a="1"/>
  <c r="B345" i="3" s="1"/>
  <c r="C345" i="3" s="1"/>
  <c r="B346" i="3" a="1"/>
  <c r="B346" i="3" s="1"/>
  <c r="C346" i="3" s="1"/>
  <c r="B347" i="3" a="1"/>
  <c r="B347" i="3" s="1"/>
  <c r="C347" i="3" s="1"/>
  <c r="B348" i="3" a="1"/>
  <c r="B348" i="3" s="1"/>
  <c r="C348" i="3" s="1"/>
  <c r="B349" i="3" a="1"/>
  <c r="B349" i="3" s="1"/>
  <c r="C349" i="3" s="1"/>
  <c r="B350" i="3" a="1"/>
  <c r="B350" i="3" s="1"/>
  <c r="C350" i="3" s="1"/>
  <c r="B351" i="3" a="1"/>
  <c r="B351" i="3" s="1"/>
  <c r="C351" i="3" s="1"/>
  <c r="B352" i="3" a="1"/>
  <c r="B352" i="3" s="1"/>
  <c r="C352" i="3" s="1"/>
  <c r="B353" i="3" a="1"/>
  <c r="B353" i="3" s="1"/>
  <c r="C353" i="3" s="1"/>
  <c r="B354" i="3" a="1"/>
  <c r="B354" i="3" s="1"/>
  <c r="C354" i="3" s="1"/>
  <c r="B355" i="3" a="1"/>
  <c r="B355" i="3" s="1"/>
  <c r="C355" i="3" s="1"/>
  <c r="B356" i="3" a="1"/>
  <c r="B356" i="3" s="1"/>
  <c r="C356" i="3" s="1"/>
  <c r="B357" i="3" a="1"/>
  <c r="B357" i="3" s="1"/>
  <c r="C357" i="3" s="1"/>
  <c r="B358" i="3" a="1"/>
  <c r="B358" i="3" s="1"/>
  <c r="C358" i="3" s="1"/>
  <c r="B359" i="3" a="1"/>
  <c r="B359" i="3" s="1"/>
  <c r="C359" i="3" s="1"/>
  <c r="B360" i="3" a="1"/>
  <c r="B360" i="3" s="1"/>
  <c r="C360" i="3" s="1"/>
  <c r="B361" i="3" a="1"/>
  <c r="B361" i="3" s="1"/>
  <c r="C361" i="3" s="1"/>
  <c r="B362" i="3" a="1"/>
  <c r="B362" i="3" s="1"/>
  <c r="C362" i="3" s="1"/>
  <c r="B363" i="3" a="1"/>
  <c r="B363" i="3" s="1"/>
  <c r="C363" i="3" s="1"/>
  <c r="B364" i="3" a="1"/>
  <c r="B364" i="3" s="1"/>
  <c r="C364" i="3" s="1"/>
  <c r="B365" i="3" a="1"/>
  <c r="B365" i="3" s="1"/>
  <c r="C365" i="3" s="1"/>
  <c r="B366" i="3" a="1"/>
  <c r="B366" i="3" s="1"/>
  <c r="C366" i="3" s="1"/>
  <c r="B367" i="3" a="1"/>
  <c r="B367" i="3" s="1"/>
  <c r="C367" i="3" s="1"/>
  <c r="B368" i="3" a="1"/>
  <c r="B368" i="3" s="1"/>
  <c r="C368" i="3" s="1"/>
  <c r="B369" i="3" a="1"/>
  <c r="B369" i="3" s="1"/>
  <c r="C369" i="3" s="1"/>
  <c r="B370" i="3" a="1"/>
  <c r="B370" i="3" s="1"/>
  <c r="C370" i="3" s="1"/>
  <c r="B371" i="3" a="1"/>
  <c r="B371" i="3" s="1"/>
  <c r="C371" i="3" s="1"/>
  <c r="B372" i="3" a="1"/>
  <c r="B372" i="3" s="1"/>
  <c r="C372" i="3" s="1"/>
  <c r="B373" i="3" a="1"/>
  <c r="B373" i="3" s="1"/>
  <c r="C373" i="3" s="1"/>
  <c r="B374" i="3" a="1"/>
  <c r="B374" i="3" s="1"/>
  <c r="C374" i="3" s="1"/>
  <c r="B375" i="3" a="1"/>
  <c r="B375" i="3" s="1"/>
  <c r="C375" i="3" s="1"/>
  <c r="B376" i="3" a="1"/>
  <c r="B376" i="3"/>
  <c r="C376" i="3" s="1"/>
  <c r="B377" i="3" a="1"/>
  <c r="B377" i="3" s="1"/>
  <c r="C377" i="3" s="1"/>
  <c r="B378" i="3" a="1"/>
  <c r="B378" i="3" s="1"/>
  <c r="C378" i="3" s="1"/>
  <c r="B379" i="3" a="1"/>
  <c r="B379" i="3" s="1"/>
  <c r="C379" i="3" s="1"/>
  <c r="B380" i="3" a="1"/>
  <c r="B380" i="3" s="1"/>
  <c r="C380" i="3" s="1"/>
  <c r="B381" i="3" a="1"/>
  <c r="B381" i="3" s="1"/>
  <c r="C381" i="3" s="1"/>
  <c r="B382" i="3" a="1"/>
  <c r="B382" i="3"/>
  <c r="C382" i="3" s="1"/>
  <c r="B383" i="3" a="1"/>
  <c r="B383" i="3" s="1"/>
  <c r="C383" i="3" s="1"/>
  <c r="B384" i="3" a="1"/>
  <c r="B384" i="3" s="1"/>
  <c r="C384" i="3" s="1"/>
  <c r="B385" i="3" a="1"/>
  <c r="B385" i="3" s="1"/>
  <c r="C385" i="3" s="1"/>
  <c r="B386" i="3" a="1"/>
  <c r="B386" i="3" s="1"/>
  <c r="C386" i="3" s="1"/>
  <c r="B387" i="3" a="1"/>
  <c r="B387" i="3" s="1"/>
  <c r="C387" i="3" s="1"/>
  <c r="B388" i="3" a="1"/>
  <c r="B388" i="3" s="1"/>
  <c r="C388" i="3" s="1"/>
  <c r="B389" i="3" a="1"/>
  <c r="B389" i="3" s="1"/>
  <c r="C389" i="3" s="1"/>
  <c r="B390" i="3" a="1"/>
  <c r="B390" i="3" s="1"/>
  <c r="C390" i="3" s="1"/>
  <c r="B391" i="3" a="1"/>
  <c r="B391" i="3" s="1"/>
  <c r="C391" i="3" s="1"/>
  <c r="B392" i="3" a="1"/>
  <c r="B392" i="3" s="1"/>
  <c r="C392" i="3" s="1"/>
  <c r="B393" i="3" a="1"/>
  <c r="B393" i="3" s="1"/>
  <c r="C393" i="3" s="1"/>
  <c r="B394" i="3" a="1"/>
  <c r="B394" i="3" s="1"/>
  <c r="C394" i="3" s="1"/>
  <c r="B395" i="3" a="1"/>
  <c r="B395" i="3" s="1"/>
  <c r="C395" i="3" s="1"/>
  <c r="B396" i="3" a="1"/>
  <c r="B396" i="3" s="1"/>
  <c r="C396" i="3" s="1"/>
  <c r="B397" i="3" a="1"/>
  <c r="B397" i="3" s="1"/>
  <c r="C397" i="3" s="1"/>
  <c r="B398" i="3" a="1"/>
  <c r="B398" i="3" s="1"/>
  <c r="C398" i="3" s="1"/>
  <c r="B399" i="3" a="1"/>
  <c r="B399" i="3" s="1"/>
  <c r="C399" i="3" s="1"/>
  <c r="B400" i="3" a="1"/>
  <c r="B400" i="3"/>
  <c r="C400" i="3" s="1"/>
  <c r="B401" i="3" a="1"/>
  <c r="B401" i="3" s="1"/>
  <c r="C401" i="3" s="1"/>
  <c r="B402" i="3" a="1"/>
  <c r="B402" i="3" s="1"/>
  <c r="C402" i="3" s="1"/>
  <c r="B403" i="3" a="1"/>
  <c r="B403" i="3" s="1"/>
  <c r="C403" i="3" s="1"/>
  <c r="B404" i="3" a="1"/>
  <c r="B404" i="3" s="1"/>
  <c r="C404" i="3" s="1"/>
  <c r="B405" i="3" a="1"/>
  <c r="B405" i="3" s="1"/>
  <c r="C405" i="3" s="1"/>
  <c r="B406" i="3" a="1"/>
  <c r="B406" i="3" s="1"/>
  <c r="C406" i="3" s="1"/>
  <c r="B407" i="3" a="1"/>
  <c r="B407" i="3" s="1"/>
  <c r="C407" i="3" s="1"/>
  <c r="B408" i="3" a="1"/>
  <c r="B408" i="3" s="1"/>
  <c r="C408" i="3" s="1"/>
  <c r="B409" i="3" a="1"/>
  <c r="B409" i="3" s="1"/>
  <c r="C409" i="3" s="1"/>
  <c r="B410" i="3" a="1"/>
  <c r="B410" i="3" s="1"/>
  <c r="C410" i="3" s="1"/>
  <c r="B411" i="3" a="1"/>
  <c r="B411" i="3"/>
  <c r="C411" i="3" s="1"/>
  <c r="B412" i="3" a="1"/>
  <c r="B412" i="3" s="1"/>
  <c r="C412" i="3" s="1"/>
  <c r="B413" i="3" a="1"/>
  <c r="B413" i="3" s="1"/>
  <c r="C413" i="3" s="1"/>
  <c r="B414" i="3" a="1"/>
  <c r="B414" i="3" s="1"/>
  <c r="C414" i="3" s="1"/>
  <c r="B415" i="3" a="1"/>
  <c r="B415" i="3" s="1"/>
  <c r="C415" i="3" s="1"/>
  <c r="B416" i="3" a="1"/>
  <c r="B416" i="3" s="1"/>
  <c r="C416" i="3" s="1"/>
  <c r="B417" i="3" a="1"/>
  <c r="B417" i="3" s="1"/>
  <c r="C417" i="3" s="1"/>
  <c r="B418" i="3" a="1"/>
  <c r="B418" i="3" s="1"/>
  <c r="C418" i="3" s="1"/>
  <c r="B419" i="3" a="1"/>
  <c r="B419" i="3" s="1"/>
  <c r="C419" i="3" s="1"/>
  <c r="B420" i="3" a="1"/>
  <c r="B420" i="3" s="1"/>
  <c r="C420" i="3" s="1"/>
  <c r="B421" i="3" a="1"/>
  <c r="B421" i="3" s="1"/>
  <c r="C421" i="3" s="1"/>
  <c r="B422" i="3" a="1"/>
  <c r="B422" i="3" s="1"/>
  <c r="C422" i="3" s="1"/>
  <c r="B423" i="3" a="1"/>
  <c r="B423" i="3" s="1"/>
  <c r="C423" i="3" s="1"/>
  <c r="B424" i="3" a="1"/>
  <c r="B424" i="3" s="1"/>
  <c r="C424" i="3" s="1"/>
  <c r="B425" i="3" a="1"/>
  <c r="B425" i="3" s="1"/>
  <c r="C425" i="3" s="1"/>
  <c r="B426" i="3" a="1"/>
  <c r="B426" i="3" s="1"/>
  <c r="C426" i="3" s="1"/>
  <c r="B427" i="3" a="1"/>
  <c r="B427" i="3" s="1"/>
  <c r="C427" i="3" s="1"/>
  <c r="B428" i="3" a="1"/>
  <c r="B428" i="3" s="1"/>
  <c r="C428" i="3" s="1"/>
  <c r="B429" i="3" a="1"/>
  <c r="B429" i="3" s="1"/>
  <c r="C429" i="3" s="1"/>
  <c r="B430" i="3" a="1"/>
  <c r="B430" i="3" s="1"/>
  <c r="C430" i="3" s="1"/>
  <c r="B431" i="3" a="1"/>
  <c r="B431" i="3" s="1"/>
  <c r="C431" i="3" s="1"/>
  <c r="B432" i="3" a="1"/>
  <c r="B432" i="3" s="1"/>
  <c r="C432" i="3" s="1"/>
  <c r="B433" i="3" a="1"/>
  <c r="B433" i="3" s="1"/>
  <c r="C433" i="3" s="1"/>
  <c r="B434" i="3" a="1"/>
  <c r="B434" i="3" s="1"/>
  <c r="C434" i="3" s="1"/>
  <c r="B435" i="3" a="1"/>
  <c r="B435" i="3" s="1"/>
  <c r="C435" i="3" s="1"/>
  <c r="B436" i="3" a="1"/>
  <c r="B436" i="3" s="1"/>
  <c r="C436" i="3" s="1"/>
  <c r="B437" i="3" a="1"/>
  <c r="B437" i="3" s="1"/>
  <c r="C437" i="3" s="1"/>
  <c r="B438" i="3" a="1"/>
  <c r="B438" i="3" s="1"/>
  <c r="C438" i="3" s="1"/>
  <c r="B439" i="3" a="1"/>
  <c r="B439" i="3" s="1"/>
  <c r="C439" i="3" s="1"/>
  <c r="B440" i="3" a="1"/>
  <c r="B440" i="3" s="1"/>
  <c r="C440" i="3" s="1"/>
  <c r="B441" i="3" a="1"/>
  <c r="B441" i="3" s="1"/>
  <c r="C441" i="3" s="1"/>
  <c r="B442" i="3" a="1"/>
  <c r="B442" i="3" s="1"/>
  <c r="C442" i="3" s="1"/>
  <c r="B443" i="3" a="1"/>
  <c r="B443" i="3" s="1"/>
  <c r="C443" i="3" s="1"/>
  <c r="B444" i="3" a="1"/>
  <c r="B444" i="3" s="1"/>
  <c r="C444" i="3" s="1"/>
  <c r="B445" i="3" a="1"/>
  <c r="B445" i="3" s="1"/>
  <c r="C445" i="3" s="1"/>
  <c r="B446" i="3" a="1"/>
  <c r="B446" i="3" s="1"/>
  <c r="C446" i="3" s="1"/>
  <c r="B447" i="3" a="1"/>
  <c r="B447" i="3" s="1"/>
  <c r="C447" i="3" s="1"/>
  <c r="B448" i="3" a="1"/>
  <c r="B448" i="3" s="1"/>
  <c r="C448" i="3" s="1"/>
  <c r="B449" i="3" a="1"/>
  <c r="B449" i="3" s="1"/>
  <c r="C449" i="3" s="1"/>
  <c r="B450" i="3" a="1"/>
  <c r="B450" i="3" s="1"/>
  <c r="C450" i="3" s="1"/>
  <c r="B451" i="3" a="1"/>
  <c r="B451" i="3" s="1"/>
  <c r="C451" i="3" s="1"/>
  <c r="B452" i="3" a="1"/>
  <c r="B452" i="3" s="1"/>
  <c r="C452" i="3" s="1"/>
  <c r="B453" i="3" a="1"/>
  <c r="B453" i="3" s="1"/>
  <c r="C453" i="3" s="1"/>
  <c r="B454" i="3" a="1"/>
  <c r="B454" i="3" s="1"/>
  <c r="C454" i="3" s="1"/>
  <c r="B455" i="3" a="1"/>
  <c r="B455" i="3" s="1"/>
  <c r="C455" i="3" s="1"/>
  <c r="B456" i="3" a="1"/>
  <c r="B456" i="3"/>
  <c r="C456" i="3" s="1"/>
  <c r="B457" i="3" a="1"/>
  <c r="B457" i="3" s="1"/>
  <c r="C457" i="3" s="1"/>
  <c r="B458" i="3" a="1"/>
  <c r="B458" i="3" s="1"/>
  <c r="C458" i="3" s="1"/>
  <c r="B459" i="3" a="1"/>
  <c r="B459" i="3" s="1"/>
  <c r="C459" i="3" s="1"/>
  <c r="B460" i="3" a="1"/>
  <c r="B460" i="3" s="1"/>
  <c r="C460" i="3" s="1"/>
  <c r="B461" i="3" a="1"/>
  <c r="B461" i="3" s="1"/>
  <c r="C461" i="3" s="1"/>
  <c r="B462" i="3" a="1"/>
  <c r="B462" i="3" s="1"/>
  <c r="C462" i="3" s="1"/>
  <c r="B463" i="3" a="1"/>
  <c r="B463" i="3" s="1"/>
  <c r="C463" i="3" s="1"/>
  <c r="B464" i="3" a="1"/>
  <c r="B464" i="3" s="1"/>
  <c r="C464" i="3" s="1"/>
  <c r="B465" i="3" a="1"/>
  <c r="B465" i="3" s="1"/>
  <c r="C465" i="3" s="1"/>
  <c r="B466" i="3" a="1"/>
  <c r="B466" i="3" s="1"/>
  <c r="C466" i="3" s="1"/>
  <c r="B467" i="3" a="1"/>
  <c r="B467" i="3" s="1"/>
  <c r="C467" i="3" s="1"/>
  <c r="B468" i="3" a="1"/>
  <c r="B468" i="3" s="1"/>
  <c r="C468" i="3" s="1"/>
  <c r="B469" i="3" a="1"/>
  <c r="B469" i="3" s="1"/>
  <c r="C469" i="3" s="1"/>
  <c r="B470" i="3" a="1"/>
  <c r="B470" i="3" s="1"/>
  <c r="C470" i="3" s="1"/>
  <c r="B471" i="3" a="1"/>
  <c r="B471" i="3" s="1"/>
  <c r="C471" i="3" s="1"/>
  <c r="B472" i="3" a="1"/>
  <c r="B472" i="3"/>
  <c r="C472" i="3" s="1"/>
  <c r="B473" i="3" a="1"/>
  <c r="B473" i="3" s="1"/>
  <c r="C473" i="3" s="1"/>
  <c r="B474" i="3" a="1"/>
  <c r="B474" i="3" s="1"/>
  <c r="C474" i="3" s="1"/>
  <c r="B475" i="3" a="1"/>
  <c r="B475" i="3" s="1"/>
  <c r="C475" i="3" s="1"/>
  <c r="B476" i="3" a="1"/>
  <c r="B476" i="3" s="1"/>
  <c r="C476" i="3" s="1"/>
  <c r="B477" i="3" a="1"/>
  <c r="B477" i="3" s="1"/>
  <c r="C477" i="3" s="1"/>
  <c r="B478" i="3" a="1"/>
  <c r="B478" i="3" s="1"/>
  <c r="C478" i="3" s="1"/>
  <c r="B479" i="3" a="1"/>
  <c r="B479" i="3" s="1"/>
  <c r="C479" i="3" s="1"/>
  <c r="B480" i="3" a="1"/>
  <c r="B480" i="3" s="1"/>
  <c r="C480" i="3" s="1"/>
  <c r="B481" i="3" a="1"/>
  <c r="B481" i="3" s="1"/>
  <c r="C481" i="3" s="1"/>
  <c r="B482" i="3" a="1"/>
  <c r="B482" i="3" s="1"/>
  <c r="C482" i="3" s="1"/>
  <c r="B483" i="3" a="1"/>
  <c r="B483" i="3" s="1"/>
  <c r="C483" i="3" s="1"/>
  <c r="B484" i="3" a="1"/>
  <c r="B484" i="3" s="1"/>
  <c r="C484" i="3" s="1"/>
  <c r="B485" i="3" a="1"/>
  <c r="B485" i="3" s="1"/>
  <c r="C485" i="3" s="1"/>
  <c r="B486" i="3" a="1"/>
  <c r="B486" i="3" s="1"/>
  <c r="C486" i="3" s="1"/>
  <c r="B487" i="3" a="1"/>
  <c r="B487" i="3" s="1"/>
  <c r="C487" i="3" s="1"/>
  <c r="B488" i="3" a="1"/>
  <c r="B488" i="3" s="1"/>
  <c r="C488" i="3" s="1"/>
  <c r="B489" i="3" a="1"/>
  <c r="B489" i="3" s="1"/>
  <c r="C489" i="3" s="1"/>
  <c r="B490" i="3" a="1"/>
  <c r="B490" i="3" s="1"/>
  <c r="C490" i="3" s="1"/>
  <c r="B491" i="3" a="1"/>
  <c r="B491" i="3" s="1"/>
  <c r="C491" i="3" s="1"/>
  <c r="B492" i="3" a="1"/>
  <c r="B492" i="3" s="1"/>
  <c r="C492" i="3" s="1"/>
  <c r="B493" i="3" a="1"/>
  <c r="B493" i="3" s="1"/>
  <c r="C493" i="3" s="1"/>
  <c r="B494" i="3" a="1"/>
  <c r="B494" i="3" s="1"/>
  <c r="C494" i="3" s="1"/>
  <c r="B495" i="3" a="1"/>
  <c r="B495" i="3" s="1"/>
  <c r="C495" i="3" s="1"/>
  <c r="B496" i="3" a="1"/>
  <c r="B496" i="3" s="1"/>
  <c r="C496" i="3" s="1"/>
  <c r="B497" i="3" a="1"/>
  <c r="B497" i="3" s="1"/>
  <c r="C497" i="3" s="1"/>
  <c r="B498" i="3" a="1"/>
  <c r="B498" i="3" s="1"/>
  <c r="C498" i="3" s="1"/>
  <c r="B499" i="3" a="1"/>
  <c r="B499" i="3" s="1"/>
  <c r="C499" i="3" s="1"/>
  <c r="B500" i="3" a="1"/>
  <c r="B500" i="3" s="1"/>
  <c r="C500" i="3" s="1"/>
  <c r="B501" i="3" a="1"/>
  <c r="B501" i="3" s="1"/>
  <c r="C501" i="3" s="1"/>
  <c r="B502" i="3" a="1"/>
  <c r="B502" i="3" s="1"/>
  <c r="C502" i="3" s="1"/>
  <c r="B503" i="3" a="1"/>
  <c r="B503" i="3" s="1"/>
  <c r="C503" i="3" s="1"/>
  <c r="B504" i="3" a="1"/>
  <c r="B504" i="3" s="1"/>
  <c r="C504" i="3" s="1"/>
  <c r="B505" i="3" a="1"/>
  <c r="B505" i="3" s="1"/>
  <c r="C505" i="3" s="1"/>
  <c r="B506" i="3" a="1"/>
  <c r="B506" i="3" s="1"/>
  <c r="C506" i="3" s="1"/>
  <c r="B507" i="3" a="1"/>
  <c r="B507" i="3" s="1"/>
  <c r="C507" i="3" s="1"/>
  <c r="B508" i="3" a="1"/>
  <c r="B508" i="3" s="1"/>
  <c r="C508" i="3" s="1"/>
  <c r="B509" i="3" a="1"/>
  <c r="B509" i="3" s="1"/>
  <c r="C509" i="3" s="1"/>
  <c r="B510" i="3" a="1"/>
  <c r="B510" i="3" s="1"/>
  <c r="C510" i="3" s="1"/>
  <c r="B511" i="3" a="1"/>
  <c r="B511" i="3" s="1"/>
  <c r="C511" i="3" s="1"/>
  <c r="B512" i="3" a="1"/>
  <c r="B512" i="3" s="1"/>
  <c r="C512" i="3" s="1"/>
  <c r="B513" i="3" a="1"/>
  <c r="B513" i="3" s="1"/>
  <c r="C513" i="3" s="1"/>
  <c r="B514" i="3" a="1"/>
  <c r="B514" i="3" s="1"/>
  <c r="C514" i="3" s="1"/>
  <c r="B515" i="3" a="1"/>
  <c r="B515" i="3" s="1"/>
  <c r="C515" i="3" s="1"/>
  <c r="B516" i="3" a="1"/>
  <c r="B516" i="3" s="1"/>
  <c r="C516" i="3" s="1"/>
  <c r="B517" i="3" a="1"/>
  <c r="B517" i="3" s="1"/>
  <c r="C517" i="3" s="1"/>
  <c r="B518" i="3" a="1"/>
  <c r="B518" i="3" s="1"/>
  <c r="C518" i="3" s="1"/>
  <c r="B519" i="3" a="1"/>
  <c r="B519" i="3"/>
  <c r="C519" i="3" s="1"/>
  <c r="B520" i="3" a="1"/>
  <c r="B520" i="3" s="1"/>
  <c r="C520" i="3" s="1"/>
  <c r="B521" i="3" a="1"/>
  <c r="B521" i="3" s="1"/>
  <c r="C521" i="3" s="1"/>
  <c r="B522" i="3" a="1"/>
  <c r="B522" i="3" s="1"/>
  <c r="C522" i="3" s="1"/>
  <c r="B523" i="3" a="1"/>
  <c r="B523" i="3" s="1"/>
  <c r="C523" i="3" s="1"/>
  <c r="B524" i="3" a="1"/>
  <c r="B524" i="3" s="1"/>
  <c r="C524" i="3" s="1"/>
  <c r="B525" i="3" a="1"/>
  <c r="B525" i="3" s="1"/>
  <c r="C525" i="3" s="1"/>
  <c r="B526" i="3" a="1"/>
  <c r="B526" i="3" s="1"/>
  <c r="C526" i="3" s="1"/>
  <c r="B527" i="3" a="1"/>
  <c r="B527" i="3" s="1"/>
  <c r="C527" i="3" s="1"/>
  <c r="B528" i="3" a="1"/>
  <c r="B528" i="3" s="1"/>
  <c r="C528" i="3" s="1"/>
  <c r="B529" i="3" a="1"/>
  <c r="B529" i="3" s="1"/>
  <c r="C529" i="3" s="1"/>
  <c r="B530" i="3" a="1"/>
  <c r="B530" i="3" s="1"/>
  <c r="C530" i="3" s="1"/>
  <c r="B531" i="3" a="1"/>
  <c r="B531" i="3" s="1"/>
  <c r="C531" i="3" s="1"/>
  <c r="B532" i="3" a="1"/>
  <c r="B532" i="3" s="1"/>
  <c r="C532" i="3" s="1"/>
  <c r="B533" i="3" a="1"/>
  <c r="B533" i="3" s="1"/>
  <c r="C533" i="3" s="1"/>
  <c r="B534" i="3" a="1"/>
  <c r="B534" i="3" s="1"/>
  <c r="C534" i="3" s="1"/>
  <c r="B535" i="3" a="1"/>
  <c r="B535" i="3" s="1"/>
  <c r="C535" i="3" s="1"/>
  <c r="B536" i="3" a="1"/>
  <c r="B536" i="3" s="1"/>
  <c r="C536" i="3" s="1"/>
  <c r="B537" i="3" a="1"/>
  <c r="B537" i="3" s="1"/>
  <c r="C537" i="3" s="1"/>
  <c r="B538" i="3" a="1"/>
  <c r="B538" i="3" s="1"/>
  <c r="C538" i="3" s="1"/>
  <c r="B539" i="3" a="1"/>
  <c r="B539" i="3" s="1"/>
  <c r="C539" i="3" s="1"/>
  <c r="B540" i="3" a="1"/>
  <c r="B540" i="3" s="1"/>
  <c r="C540" i="3" s="1"/>
  <c r="B541" i="3" a="1"/>
  <c r="B541" i="3" s="1"/>
  <c r="C541" i="3" s="1"/>
  <c r="B542" i="3" a="1"/>
  <c r="B542" i="3" s="1"/>
  <c r="C542" i="3" s="1"/>
  <c r="B543" i="3" a="1"/>
  <c r="B543" i="3" s="1"/>
  <c r="C543" i="3" s="1"/>
  <c r="B544" i="3" a="1"/>
  <c r="B544" i="3" s="1"/>
  <c r="C544" i="3" s="1"/>
  <c r="B545" i="3" a="1"/>
  <c r="B545" i="3"/>
  <c r="C545" i="3" s="1"/>
  <c r="B546" i="3" a="1"/>
  <c r="B546" i="3" s="1"/>
  <c r="C546" i="3" s="1"/>
  <c r="B547" i="3" a="1"/>
  <c r="B547" i="3" s="1"/>
  <c r="C547" i="3" s="1"/>
  <c r="B548" i="3" a="1"/>
  <c r="B548" i="3" s="1"/>
  <c r="C548" i="3" s="1"/>
  <c r="B549" i="3" a="1"/>
  <c r="B549" i="3" s="1"/>
  <c r="C549" i="3" s="1"/>
  <c r="B550" i="3" a="1"/>
  <c r="B550" i="3" s="1"/>
  <c r="C550" i="3" s="1"/>
  <c r="B551" i="3" a="1"/>
  <c r="B551" i="3"/>
  <c r="C551" i="3" s="1"/>
  <c r="B552" i="3" a="1"/>
  <c r="B552" i="3" s="1"/>
  <c r="C552" i="3" s="1"/>
  <c r="B553" i="3" a="1"/>
  <c r="B553" i="3" s="1"/>
  <c r="C553" i="3" s="1"/>
  <c r="B554" i="3" a="1"/>
  <c r="B554" i="3" s="1"/>
  <c r="C554" i="3" s="1"/>
  <c r="B555" i="3" a="1"/>
  <c r="B555" i="3" s="1"/>
  <c r="C555" i="3" s="1"/>
  <c r="B556" i="3" a="1"/>
  <c r="B556" i="3" s="1"/>
  <c r="C556" i="3" s="1"/>
  <c r="B557" i="3" a="1"/>
  <c r="B557" i="3"/>
  <c r="C557" i="3" s="1"/>
  <c r="B558" i="3" a="1"/>
  <c r="B558" i="3" s="1"/>
  <c r="C558" i="3" s="1"/>
  <c r="B559" i="3" a="1"/>
  <c r="B559" i="3" s="1"/>
  <c r="C559" i="3" s="1"/>
  <c r="B560" i="3" a="1"/>
  <c r="B560" i="3" s="1"/>
  <c r="C560" i="3" s="1"/>
  <c r="B561" i="3" a="1"/>
  <c r="B561" i="3" s="1"/>
  <c r="C561" i="3" s="1"/>
  <c r="B562" i="3" a="1"/>
  <c r="B562" i="3" s="1"/>
  <c r="C562" i="3" s="1"/>
  <c r="B563" i="3" a="1"/>
  <c r="B563" i="3" s="1"/>
  <c r="C563" i="3" s="1"/>
  <c r="B564" i="3" a="1"/>
  <c r="B564" i="3" s="1"/>
  <c r="C564" i="3" s="1"/>
  <c r="B565" i="3" a="1"/>
  <c r="B565" i="3" s="1"/>
  <c r="C565" i="3" s="1"/>
  <c r="B566" i="3" a="1"/>
  <c r="B566" i="3" s="1"/>
  <c r="C566" i="3" s="1"/>
  <c r="B567" i="3" a="1"/>
  <c r="B567" i="3" s="1"/>
  <c r="C567" i="3" s="1"/>
  <c r="B568" i="3" a="1"/>
  <c r="B568" i="3" s="1"/>
  <c r="C568" i="3" s="1"/>
  <c r="B569" i="3" a="1"/>
  <c r="B569" i="3" s="1"/>
  <c r="C569" i="3" s="1"/>
  <c r="B570" i="3" a="1"/>
  <c r="B570" i="3" s="1"/>
  <c r="C570" i="3" s="1"/>
  <c r="B571" i="3" a="1"/>
  <c r="B571" i="3" s="1"/>
  <c r="C571" i="3" s="1"/>
  <c r="B572" i="3" a="1"/>
  <c r="B572" i="3" s="1"/>
  <c r="C572" i="3" s="1"/>
  <c r="B573" i="3" a="1"/>
  <c r="B573" i="3"/>
  <c r="C573" i="3" s="1"/>
  <c r="B574" i="3" a="1"/>
  <c r="B574" i="3" s="1"/>
  <c r="C574" i="3" s="1"/>
  <c r="B575" i="3" a="1"/>
  <c r="B575" i="3" s="1"/>
  <c r="C575" i="3" s="1"/>
  <c r="B576" i="3" a="1"/>
  <c r="B576" i="3" s="1"/>
  <c r="C576" i="3" s="1"/>
  <c r="B577" i="3" a="1"/>
  <c r="B577" i="3" s="1"/>
  <c r="C577" i="3" s="1"/>
  <c r="B578" i="3" a="1"/>
  <c r="B578" i="3" s="1"/>
  <c r="C578" i="3" s="1"/>
  <c r="B579" i="3" a="1"/>
  <c r="B579" i="3" s="1"/>
  <c r="C579" i="3" s="1"/>
  <c r="B580" i="3" a="1"/>
  <c r="B580" i="3" s="1"/>
  <c r="C580" i="3" s="1"/>
  <c r="B581" i="3" a="1"/>
  <c r="B581" i="3" s="1"/>
  <c r="C581" i="3" s="1"/>
  <c r="B582" i="3" a="1"/>
  <c r="B582" i="3" s="1"/>
  <c r="C582" i="3" s="1"/>
  <c r="B583" i="3" a="1"/>
  <c r="B583" i="3" s="1"/>
  <c r="C583" i="3" s="1"/>
  <c r="B584" i="3" a="1"/>
  <c r="B584" i="3" s="1"/>
  <c r="C584" i="3" s="1"/>
  <c r="B585" i="3" a="1"/>
  <c r="B585" i="3" s="1"/>
  <c r="C585" i="3" s="1"/>
  <c r="B586" i="3" a="1"/>
  <c r="B586" i="3" s="1"/>
  <c r="C586" i="3" s="1"/>
  <c r="B587" i="3" a="1"/>
  <c r="B587" i="3" s="1"/>
  <c r="C587" i="3" s="1"/>
  <c r="B588" i="3" a="1"/>
  <c r="B588" i="3"/>
  <c r="C588" i="3" s="1"/>
  <c r="B589" i="3" a="1"/>
  <c r="B589" i="3" s="1"/>
  <c r="C589" i="3" s="1"/>
  <c r="B590" i="3" a="1"/>
  <c r="B590" i="3" s="1"/>
  <c r="C590" i="3" s="1"/>
  <c r="B591" i="3" a="1"/>
  <c r="B591" i="3" s="1"/>
  <c r="C591" i="3" s="1"/>
  <c r="B592" i="3" a="1"/>
  <c r="B592" i="3" s="1"/>
  <c r="C592" i="3" s="1"/>
  <c r="B593" i="3" a="1"/>
  <c r="B593" i="3" s="1"/>
  <c r="C593" i="3" s="1"/>
  <c r="B594" i="3" a="1"/>
  <c r="B594" i="3" s="1"/>
  <c r="C594" i="3" s="1"/>
  <c r="B595" i="3" a="1"/>
  <c r="B595" i="3" s="1"/>
  <c r="C595" i="3" s="1"/>
  <c r="B596" i="3" a="1"/>
  <c r="B596" i="3" s="1"/>
  <c r="C596" i="3" s="1"/>
  <c r="B597" i="3" a="1"/>
  <c r="B597" i="3" s="1"/>
  <c r="C597" i="3" s="1"/>
  <c r="B598" i="3" a="1"/>
  <c r="B598" i="3" s="1"/>
  <c r="C598" i="3" s="1"/>
  <c r="B599" i="3" a="1"/>
  <c r="B599" i="3"/>
  <c r="C599" i="3" s="1"/>
  <c r="B600" i="3" a="1"/>
  <c r="B600" i="3" s="1"/>
  <c r="C600" i="3" s="1"/>
  <c r="B601" i="3" a="1"/>
  <c r="B601" i="3" s="1"/>
  <c r="C601" i="3" s="1"/>
  <c r="B602" i="3" a="1"/>
  <c r="B602" i="3" s="1"/>
  <c r="C602" i="3" s="1"/>
  <c r="B603" i="3" a="1"/>
  <c r="B603" i="3" s="1"/>
  <c r="C603" i="3" s="1"/>
  <c r="B604" i="3" a="1"/>
  <c r="B604" i="3" s="1"/>
  <c r="C604" i="3" s="1"/>
  <c r="B605" i="3" a="1"/>
  <c r="B605" i="3" s="1"/>
  <c r="C605" i="3" s="1"/>
  <c r="B606" i="3" a="1"/>
  <c r="B606" i="3" s="1"/>
  <c r="C606" i="3" s="1"/>
  <c r="B607" i="3" a="1"/>
  <c r="B607" i="3" s="1"/>
  <c r="C607" i="3" s="1"/>
  <c r="B608" i="3" a="1"/>
  <c r="B608" i="3" s="1"/>
  <c r="C608" i="3" s="1"/>
  <c r="B609" i="3" a="1"/>
  <c r="B609" i="3" s="1"/>
  <c r="C609" i="3" s="1"/>
  <c r="B610" i="3" a="1"/>
  <c r="B610" i="3"/>
  <c r="C610" i="3" s="1"/>
  <c r="B611" i="3" a="1"/>
  <c r="B611" i="3" s="1"/>
  <c r="C611" i="3" s="1"/>
  <c r="B612" i="3" a="1"/>
  <c r="B612" i="3" s="1"/>
  <c r="C612" i="3" s="1"/>
  <c r="B613" i="3" a="1"/>
  <c r="B613" i="3" s="1"/>
  <c r="C613" i="3" s="1"/>
  <c r="B614" i="3" a="1"/>
  <c r="B614" i="3" s="1"/>
  <c r="C614" i="3" s="1"/>
  <c r="B615" i="3" a="1"/>
  <c r="B615" i="3" s="1"/>
  <c r="C615" i="3" s="1"/>
  <c r="B616" i="3" a="1"/>
  <c r="B616" i="3" s="1"/>
  <c r="C616" i="3" s="1"/>
  <c r="B617" i="3" a="1"/>
  <c r="B617" i="3" s="1"/>
  <c r="C617" i="3" s="1"/>
  <c r="B618" i="3" a="1"/>
  <c r="B618" i="3" s="1"/>
  <c r="C618" i="3" s="1"/>
  <c r="B619" i="3" a="1"/>
  <c r="B619" i="3" s="1"/>
  <c r="C619" i="3" s="1"/>
  <c r="B620" i="3" a="1"/>
  <c r="B620" i="3" s="1"/>
  <c r="C620" i="3" s="1"/>
  <c r="B621" i="3" a="1"/>
  <c r="B621" i="3" s="1"/>
  <c r="C621" i="3" s="1"/>
  <c r="B622" i="3" a="1"/>
  <c r="B622" i="3" s="1"/>
  <c r="C622" i="3" s="1"/>
  <c r="B623" i="3" a="1"/>
  <c r="B623" i="3" s="1"/>
  <c r="C623" i="3" s="1"/>
  <c r="B624" i="3" a="1"/>
  <c r="B624" i="3" s="1"/>
  <c r="C624" i="3" s="1"/>
  <c r="B625" i="3" a="1"/>
  <c r="B625" i="3" s="1"/>
  <c r="C625" i="3" s="1"/>
  <c r="B626" i="3" a="1"/>
  <c r="B626" i="3" s="1"/>
  <c r="C626" i="3" s="1"/>
  <c r="B627" i="3" a="1"/>
  <c r="B627" i="3" s="1"/>
  <c r="C627" i="3" s="1"/>
  <c r="B628" i="3" a="1"/>
  <c r="B628" i="3" s="1"/>
  <c r="C628" i="3" s="1"/>
  <c r="B629" i="3" a="1"/>
  <c r="B629" i="3" s="1"/>
  <c r="C629" i="3" s="1"/>
  <c r="B630" i="3" a="1"/>
  <c r="B630" i="3" s="1"/>
  <c r="C630" i="3" s="1"/>
  <c r="B631" i="3" a="1"/>
  <c r="B631" i="3" s="1"/>
  <c r="C631" i="3" s="1"/>
  <c r="B632" i="3" a="1"/>
  <c r="B632" i="3" s="1"/>
  <c r="C632" i="3" s="1"/>
  <c r="B633" i="3" a="1"/>
  <c r="B633" i="3" s="1"/>
  <c r="C633" i="3" s="1"/>
  <c r="B634" i="3" a="1"/>
  <c r="B634" i="3"/>
  <c r="C634" i="3" s="1"/>
  <c r="B635" i="3" a="1"/>
  <c r="B635" i="3" s="1"/>
  <c r="C635" i="3" s="1"/>
  <c r="B636" i="3" a="1"/>
  <c r="B636" i="3" s="1"/>
  <c r="C636" i="3" s="1"/>
  <c r="B637" i="3" a="1"/>
  <c r="B637" i="3" s="1"/>
  <c r="C637" i="3" s="1"/>
  <c r="B638" i="3" a="1"/>
  <c r="B638" i="3" s="1"/>
  <c r="C638" i="3" s="1"/>
  <c r="B639" i="3" a="1"/>
  <c r="B639" i="3" s="1"/>
  <c r="C639" i="3" s="1"/>
  <c r="B640" i="3" a="1"/>
  <c r="B640" i="3" s="1"/>
  <c r="C640" i="3" s="1"/>
  <c r="B641" i="3" a="1"/>
  <c r="B641" i="3" s="1"/>
  <c r="C641" i="3" s="1"/>
  <c r="B642" i="3" a="1"/>
  <c r="B642" i="3" s="1"/>
  <c r="C642" i="3" s="1"/>
  <c r="B643" i="3" a="1"/>
  <c r="B643" i="3" s="1"/>
  <c r="C643" i="3" s="1"/>
  <c r="B644" i="3" a="1"/>
  <c r="B644" i="3" s="1"/>
  <c r="C644" i="3" s="1"/>
  <c r="B645" i="3" a="1"/>
  <c r="B645" i="3" s="1"/>
  <c r="C645" i="3" s="1"/>
  <c r="B646" i="3" a="1"/>
  <c r="B646" i="3" s="1"/>
  <c r="C646" i="3" s="1"/>
  <c r="B647" i="3" a="1"/>
  <c r="B647" i="3" s="1"/>
  <c r="C647" i="3" s="1"/>
  <c r="B648" i="3" a="1"/>
  <c r="B648" i="3" s="1"/>
  <c r="C648" i="3" s="1"/>
  <c r="B649" i="3" a="1"/>
  <c r="B649" i="3" s="1"/>
  <c r="C649" i="3" s="1"/>
  <c r="B650" i="3" a="1"/>
  <c r="B650" i="3" s="1"/>
  <c r="C650" i="3" s="1"/>
  <c r="B651" i="3" a="1"/>
  <c r="B651" i="3" s="1"/>
  <c r="C651" i="3" s="1"/>
  <c r="B652" i="3" a="1"/>
  <c r="B652" i="3" s="1"/>
  <c r="C652" i="3" s="1"/>
  <c r="B653" i="3" a="1"/>
  <c r="B653" i="3" s="1"/>
  <c r="C653" i="3" s="1"/>
  <c r="B654" i="3" a="1"/>
  <c r="B654" i="3" s="1"/>
  <c r="C654" i="3" s="1"/>
  <c r="B655" i="3" a="1"/>
  <c r="B655" i="3" s="1"/>
  <c r="C655" i="3" s="1"/>
  <c r="B656" i="3" a="1"/>
  <c r="B656" i="3" s="1"/>
  <c r="C656" i="3" s="1"/>
  <c r="B657" i="3" a="1"/>
  <c r="B657" i="3" s="1"/>
  <c r="C657" i="3" s="1"/>
  <c r="B658" i="3" a="1"/>
  <c r="B658" i="3" s="1"/>
  <c r="C658" i="3" s="1"/>
  <c r="B659" i="3" a="1"/>
  <c r="B659" i="3" s="1"/>
  <c r="C659" i="3" s="1"/>
  <c r="B660" i="3" a="1"/>
  <c r="B660" i="3" s="1"/>
  <c r="C660" i="3" s="1"/>
  <c r="B661" i="3" a="1"/>
  <c r="B661" i="3" s="1"/>
  <c r="C661" i="3" s="1"/>
  <c r="B662" i="3" a="1"/>
  <c r="B662" i="3" s="1"/>
  <c r="C662" i="3" s="1"/>
  <c r="B663" i="3" a="1"/>
  <c r="B663" i="3" s="1"/>
  <c r="C663" i="3" s="1"/>
  <c r="B664" i="3" a="1"/>
  <c r="B664" i="3"/>
  <c r="C664" i="3" s="1"/>
  <c r="B665" i="3" a="1"/>
  <c r="B665" i="3" s="1"/>
  <c r="C665" i="3" s="1"/>
  <c r="B666" i="3" a="1"/>
  <c r="B666" i="3" s="1"/>
  <c r="C666" i="3" s="1"/>
  <c r="B667" i="3" a="1"/>
  <c r="B667" i="3" s="1"/>
  <c r="C667" i="3" s="1"/>
  <c r="B668" i="3" a="1"/>
  <c r="B668" i="3" s="1"/>
  <c r="C668" i="3" s="1"/>
  <c r="B669" i="3" a="1"/>
  <c r="B669" i="3" s="1"/>
  <c r="C669" i="3" s="1"/>
  <c r="B670" i="3" a="1"/>
  <c r="B670" i="3" s="1"/>
  <c r="C670" i="3" s="1"/>
  <c r="B671" i="3" a="1"/>
  <c r="B671" i="3" s="1"/>
  <c r="C671" i="3" s="1"/>
  <c r="B672" i="3" a="1"/>
  <c r="B672" i="3" s="1"/>
  <c r="C672" i="3" s="1"/>
  <c r="B673" i="3" a="1"/>
  <c r="B673" i="3" s="1"/>
  <c r="C673" i="3" s="1"/>
  <c r="B674" i="3" a="1"/>
  <c r="B674" i="3" s="1"/>
  <c r="C674" i="3" s="1"/>
  <c r="B675" i="3" a="1"/>
  <c r="B675" i="3" s="1"/>
  <c r="C675" i="3" s="1"/>
  <c r="B676" i="3" a="1"/>
  <c r="B676" i="3" s="1"/>
  <c r="C676" i="3" s="1"/>
  <c r="B677" i="3" a="1"/>
  <c r="B677" i="3" s="1"/>
  <c r="C677" i="3" s="1"/>
  <c r="B678" i="3" a="1"/>
  <c r="B678" i="3" s="1"/>
  <c r="C678" i="3" s="1"/>
  <c r="B679" i="3" a="1"/>
  <c r="B679" i="3" s="1"/>
  <c r="C679" i="3" s="1"/>
  <c r="B680" i="3" a="1"/>
  <c r="B680" i="3" s="1"/>
  <c r="C680" i="3" s="1"/>
  <c r="B681" i="3" a="1"/>
  <c r="B681" i="3" s="1"/>
  <c r="C681" i="3" s="1"/>
  <c r="B682" i="3" a="1"/>
  <c r="B682" i="3" s="1"/>
  <c r="C682" i="3" s="1"/>
  <c r="B683" i="3" a="1"/>
  <c r="B683" i="3" s="1"/>
  <c r="C683" i="3" s="1"/>
  <c r="B684" i="3" a="1"/>
  <c r="B684" i="3" s="1"/>
  <c r="C684" i="3" s="1"/>
  <c r="B685" i="3" a="1"/>
  <c r="B685" i="3" s="1"/>
  <c r="C685" i="3" s="1"/>
  <c r="B686" i="3" a="1"/>
  <c r="B686" i="3" s="1"/>
  <c r="C686" i="3" s="1"/>
  <c r="B687" i="3" a="1"/>
  <c r="B687" i="3" s="1"/>
  <c r="C687" i="3" s="1"/>
  <c r="B688" i="3" a="1"/>
  <c r="B688" i="3"/>
  <c r="C688" i="3" s="1"/>
  <c r="B689" i="3" a="1"/>
  <c r="B689" i="3" s="1"/>
  <c r="C689" i="3" s="1"/>
  <c r="B690" i="3" a="1"/>
  <c r="B690" i="3" s="1"/>
  <c r="C690" i="3" s="1"/>
  <c r="B691" i="3" a="1"/>
  <c r="B691" i="3" s="1"/>
  <c r="C691" i="3" s="1"/>
  <c r="B692" i="3" a="1"/>
  <c r="B692" i="3" s="1"/>
  <c r="C692" i="3" s="1"/>
  <c r="B693" i="3" a="1"/>
  <c r="B693" i="3" s="1"/>
  <c r="C693" i="3" s="1"/>
  <c r="B694" i="3" a="1"/>
  <c r="B694" i="3" s="1"/>
  <c r="C694" i="3" s="1"/>
  <c r="B695" i="3" a="1"/>
  <c r="B695" i="3" s="1"/>
  <c r="C695" i="3" s="1"/>
  <c r="B696" i="3" a="1"/>
  <c r="B696" i="3" s="1"/>
  <c r="C696" i="3" s="1"/>
  <c r="B697" i="3" a="1"/>
  <c r="B697" i="3" s="1"/>
  <c r="C697" i="3" s="1"/>
  <c r="B698" i="3" a="1"/>
  <c r="B698" i="3" s="1"/>
  <c r="C698" i="3" s="1"/>
  <c r="B699" i="3" a="1"/>
  <c r="B699" i="3" s="1"/>
  <c r="C699" i="3" s="1"/>
  <c r="B700" i="3" a="1"/>
  <c r="B700" i="3" s="1"/>
  <c r="C700" i="3" s="1"/>
  <c r="B701" i="3" a="1"/>
  <c r="B701" i="3"/>
  <c r="C701" i="3" s="1"/>
  <c r="B702" i="3" a="1"/>
  <c r="B702" i="3" s="1"/>
  <c r="C702" i="3" s="1"/>
  <c r="B703" i="3" a="1"/>
  <c r="B703" i="3" s="1"/>
  <c r="C703" i="3" s="1"/>
  <c r="B704" i="3" a="1"/>
  <c r="B704" i="3" s="1"/>
  <c r="C704" i="3" s="1"/>
  <c r="B705" i="3" a="1"/>
  <c r="B705" i="3" s="1"/>
  <c r="C705" i="3" s="1"/>
  <c r="B706" i="3" a="1"/>
  <c r="B706" i="3" s="1"/>
  <c r="C706" i="3" s="1"/>
  <c r="B707" i="3" a="1"/>
  <c r="B707" i="3" s="1"/>
  <c r="C707" i="3" s="1"/>
  <c r="B708" i="3" a="1"/>
  <c r="B708" i="3" s="1"/>
  <c r="C708" i="3" s="1"/>
  <c r="B709" i="3" a="1"/>
  <c r="B709" i="3" s="1"/>
  <c r="C709" i="3" s="1"/>
  <c r="B710" i="3" a="1"/>
  <c r="B710" i="3" s="1"/>
  <c r="C710" i="3" s="1"/>
  <c r="B711" i="3" a="1"/>
  <c r="B711" i="3"/>
  <c r="C711" i="3" s="1"/>
  <c r="B712" i="3" a="1"/>
  <c r="B712" i="3" s="1"/>
  <c r="C712" i="3" s="1"/>
  <c r="B713" i="3" a="1"/>
  <c r="B713" i="3" s="1"/>
  <c r="C713" i="3" s="1"/>
  <c r="B714" i="3" a="1"/>
  <c r="B714" i="3" s="1"/>
  <c r="C714" i="3" s="1"/>
  <c r="B715" i="3" a="1"/>
  <c r="B715" i="3" s="1"/>
  <c r="C715" i="3" s="1"/>
  <c r="B716" i="3" a="1"/>
  <c r="B716" i="3" s="1"/>
  <c r="C716" i="3" s="1"/>
  <c r="B717" i="3" a="1"/>
  <c r="B717" i="3" s="1"/>
  <c r="C717" i="3" s="1"/>
  <c r="B718" i="3" a="1"/>
  <c r="B718" i="3" s="1"/>
  <c r="C718" i="3" s="1"/>
  <c r="B719" i="3" a="1"/>
  <c r="B719" i="3" s="1"/>
  <c r="C719" i="3" s="1"/>
  <c r="B720" i="3" a="1"/>
  <c r="B720" i="3" s="1"/>
  <c r="C720" i="3" s="1"/>
  <c r="B721" i="3" a="1"/>
  <c r="B721" i="3" s="1"/>
  <c r="C721" i="3" s="1"/>
  <c r="B722" i="3" a="1"/>
  <c r="B722" i="3" s="1"/>
  <c r="C722" i="3" s="1"/>
  <c r="B723" i="3" a="1"/>
  <c r="B723" i="3" s="1"/>
  <c r="C723" i="3" s="1"/>
  <c r="B724" i="3" a="1"/>
  <c r="B724" i="3" s="1"/>
  <c r="C724" i="3" s="1"/>
  <c r="B725" i="3" a="1"/>
  <c r="B725" i="3" s="1"/>
  <c r="C725" i="3" s="1"/>
  <c r="B726" i="3" a="1"/>
  <c r="B726" i="3" s="1"/>
  <c r="C726" i="3" s="1"/>
  <c r="B727" i="3" a="1"/>
  <c r="B727" i="3" s="1"/>
  <c r="C727" i="3" s="1"/>
  <c r="B728" i="3" a="1"/>
  <c r="B728" i="3" s="1"/>
  <c r="C728" i="3" s="1"/>
  <c r="B729" i="3" a="1"/>
  <c r="B729" i="3" s="1"/>
  <c r="C729" i="3" s="1"/>
  <c r="B730" i="3" a="1"/>
  <c r="B730" i="3" s="1"/>
  <c r="C730" i="3" s="1"/>
  <c r="B731" i="3" a="1"/>
  <c r="B731" i="3" s="1"/>
  <c r="C731" i="3" s="1"/>
  <c r="B732" i="3" a="1"/>
  <c r="B732" i="3" s="1"/>
  <c r="C732" i="3" s="1"/>
  <c r="B733" i="3" a="1"/>
  <c r="B733" i="3" s="1"/>
  <c r="C733" i="3" s="1"/>
  <c r="B734" i="3" a="1"/>
  <c r="B734" i="3" s="1"/>
  <c r="C734" i="3" s="1"/>
  <c r="B735" i="3" a="1"/>
  <c r="B735" i="3" s="1"/>
  <c r="C735" i="3" s="1"/>
  <c r="B736" i="3" a="1"/>
  <c r="B736" i="3" s="1"/>
  <c r="C736" i="3" s="1"/>
  <c r="B737" i="3" a="1"/>
  <c r="B737" i="3" s="1"/>
  <c r="C737" i="3" s="1"/>
  <c r="B738" i="3" a="1"/>
  <c r="B738" i="3" s="1"/>
  <c r="C738" i="3" s="1"/>
  <c r="B739" i="3" a="1"/>
  <c r="B739" i="3" s="1"/>
  <c r="C739" i="3" s="1"/>
  <c r="B740" i="3" a="1"/>
  <c r="B740" i="3" s="1"/>
  <c r="C740" i="3" s="1"/>
  <c r="B741" i="3" a="1"/>
  <c r="B741" i="3" s="1"/>
  <c r="C741" i="3" s="1"/>
  <c r="B742" i="3" a="1"/>
  <c r="B742" i="3" s="1"/>
  <c r="C742" i="3" s="1"/>
  <c r="B743" i="3" a="1"/>
  <c r="B743" i="3" s="1"/>
  <c r="C743" i="3" s="1"/>
  <c r="B744" i="3" a="1"/>
  <c r="B744" i="3" s="1"/>
  <c r="C744" i="3" s="1"/>
  <c r="B745" i="3" a="1"/>
  <c r="B745" i="3" s="1"/>
  <c r="C745" i="3" s="1"/>
  <c r="B746" i="3" a="1"/>
  <c r="B746" i="3" s="1"/>
  <c r="C746" i="3" s="1"/>
  <c r="B747" i="3" a="1"/>
  <c r="B747" i="3" s="1"/>
  <c r="C747" i="3" s="1"/>
  <c r="B748" i="3" a="1"/>
  <c r="B748" i="3" s="1"/>
  <c r="C748" i="3" s="1"/>
  <c r="B749" i="3" a="1"/>
  <c r="B749" i="3" s="1"/>
  <c r="C749" i="3" s="1"/>
  <c r="B750" i="3" a="1"/>
  <c r="B750" i="3" s="1"/>
  <c r="C750" i="3" s="1"/>
  <c r="B751" i="3" a="1"/>
  <c r="B751" i="3" s="1"/>
  <c r="C751" i="3" s="1"/>
  <c r="B752" i="3" a="1"/>
  <c r="B752" i="3" s="1"/>
  <c r="C752" i="3" s="1"/>
  <c r="B753" i="3" a="1"/>
  <c r="B753" i="3" s="1"/>
  <c r="C753" i="3" s="1"/>
  <c r="B754" i="3" a="1"/>
  <c r="B754" i="3" s="1"/>
  <c r="C754" i="3" s="1"/>
  <c r="B755" i="3" a="1"/>
  <c r="B755" i="3" s="1"/>
  <c r="C755" i="3" s="1"/>
  <c r="B756" i="3" a="1"/>
  <c r="B756" i="3" s="1"/>
  <c r="C756" i="3" s="1"/>
  <c r="B757" i="3" a="1"/>
  <c r="B757" i="3" s="1"/>
  <c r="C757" i="3" s="1"/>
  <c r="B758" i="3" a="1"/>
  <c r="B758" i="3" s="1"/>
  <c r="C758" i="3" s="1"/>
  <c r="B759" i="3" a="1"/>
  <c r="B759" i="3" s="1"/>
  <c r="C759" i="3" s="1"/>
  <c r="B760" i="3" a="1"/>
  <c r="B760" i="3" s="1"/>
  <c r="C760" i="3" s="1"/>
  <c r="B761" i="3" a="1"/>
  <c r="B761" i="3" s="1"/>
  <c r="C761" i="3" s="1"/>
  <c r="B762" i="3" a="1"/>
  <c r="B762" i="3" s="1"/>
  <c r="C762" i="3" s="1"/>
  <c r="B763" i="3" a="1"/>
  <c r="B763" i="3" s="1"/>
  <c r="C763" i="3" s="1"/>
  <c r="B764" i="3" a="1"/>
  <c r="B764" i="3" s="1"/>
  <c r="C764" i="3" s="1"/>
  <c r="B765" i="3" a="1"/>
  <c r="B765" i="3" s="1"/>
  <c r="C765" i="3" s="1"/>
  <c r="B766" i="3" a="1"/>
  <c r="B766" i="3" s="1"/>
  <c r="C766" i="3" s="1"/>
  <c r="B767" i="3" a="1"/>
  <c r="B767" i="3" s="1"/>
  <c r="C767" i="3" s="1"/>
  <c r="B768" i="3" a="1"/>
  <c r="B768" i="3" s="1"/>
  <c r="C768" i="3" s="1"/>
  <c r="B769" i="3" a="1"/>
  <c r="B769" i="3" s="1"/>
  <c r="C769" i="3" s="1"/>
  <c r="B770" i="3" a="1"/>
  <c r="B770" i="3" s="1"/>
  <c r="C770" i="3" s="1"/>
  <c r="B771" i="3" a="1"/>
  <c r="B771" i="3" s="1"/>
  <c r="C771" i="3" s="1"/>
  <c r="B772" i="3" a="1"/>
  <c r="B772" i="3" s="1"/>
  <c r="C772" i="3" s="1"/>
  <c r="B773" i="3" a="1"/>
  <c r="B773" i="3" s="1"/>
  <c r="C773" i="3" s="1"/>
  <c r="B774" i="3" a="1"/>
  <c r="B774" i="3" s="1"/>
  <c r="C774" i="3" s="1"/>
  <c r="B775" i="3" a="1"/>
  <c r="B775" i="3" s="1"/>
  <c r="C775" i="3" s="1"/>
  <c r="B776" i="3" a="1"/>
  <c r="B776" i="3" s="1"/>
  <c r="C776" i="3" s="1"/>
  <c r="B777" i="3" a="1"/>
  <c r="B777" i="3"/>
  <c r="C777" i="3" s="1"/>
  <c r="B778" i="3" a="1"/>
  <c r="B778" i="3" s="1"/>
  <c r="C778" i="3" s="1"/>
  <c r="B779" i="3" a="1"/>
  <c r="B779" i="3" s="1"/>
  <c r="C779" i="3" s="1"/>
  <c r="B780" i="3" a="1"/>
  <c r="B780" i="3" s="1"/>
  <c r="C780" i="3" s="1"/>
  <c r="B781" i="3" a="1"/>
  <c r="B781" i="3" s="1"/>
  <c r="C781" i="3" s="1"/>
  <c r="B782" i="3" a="1"/>
  <c r="B782" i="3" s="1"/>
  <c r="C782" i="3" s="1"/>
  <c r="B783" i="3" a="1"/>
  <c r="B783" i="3" s="1"/>
  <c r="C783" i="3" s="1"/>
  <c r="B784" i="3" a="1"/>
  <c r="B784" i="3" s="1"/>
  <c r="C784" i="3" s="1"/>
  <c r="B785" i="3" a="1"/>
  <c r="B785" i="3" s="1"/>
  <c r="C785" i="3" s="1"/>
  <c r="B786" i="3" a="1"/>
  <c r="B786" i="3" s="1"/>
  <c r="C786" i="3" s="1"/>
  <c r="B787" i="3" a="1"/>
  <c r="B787" i="3" s="1"/>
  <c r="C787" i="3" s="1"/>
  <c r="B788" i="3" a="1"/>
  <c r="B788" i="3" s="1"/>
  <c r="C788" i="3" s="1"/>
  <c r="B789" i="3" a="1"/>
  <c r="B789" i="3"/>
  <c r="C789" i="3" s="1"/>
  <c r="B790" i="3" a="1"/>
  <c r="B790" i="3" s="1"/>
  <c r="C790" i="3" s="1"/>
  <c r="B791" i="3" a="1"/>
  <c r="B791" i="3" s="1"/>
  <c r="C791" i="3" s="1"/>
  <c r="B792" i="3" a="1"/>
  <c r="B792" i="3" s="1"/>
  <c r="C792" i="3" s="1"/>
  <c r="B793" i="3" a="1"/>
  <c r="B793" i="3"/>
  <c r="C793" i="3" s="1"/>
  <c r="B794" i="3" a="1"/>
  <c r="B794" i="3" s="1"/>
  <c r="C794" i="3" s="1"/>
  <c r="B795" i="3" a="1"/>
  <c r="B795" i="3" s="1"/>
  <c r="C795" i="3" s="1"/>
  <c r="B796" i="3" a="1"/>
  <c r="B796" i="3" s="1"/>
  <c r="C796" i="3" s="1"/>
  <c r="B797" i="3" a="1"/>
  <c r="B797" i="3" s="1"/>
  <c r="C797" i="3" s="1"/>
  <c r="B798" i="3" a="1"/>
  <c r="B798" i="3" s="1"/>
  <c r="C798" i="3" s="1"/>
  <c r="B799" i="3" a="1"/>
  <c r="B799" i="3" s="1"/>
  <c r="C799" i="3" s="1"/>
  <c r="B800" i="3" a="1"/>
  <c r="B800" i="3" s="1"/>
  <c r="C800" i="3" s="1"/>
  <c r="B801" i="3" a="1"/>
  <c r="B801" i="3" s="1"/>
  <c r="C801" i="3" s="1"/>
  <c r="B802" i="3" a="1"/>
  <c r="B802" i="3" s="1"/>
  <c r="C802" i="3" s="1"/>
  <c r="B803" i="3" a="1"/>
  <c r="B803" i="3" s="1"/>
  <c r="C803" i="3" s="1"/>
  <c r="B804" i="3" a="1"/>
  <c r="B804" i="3" s="1"/>
  <c r="C804" i="3" s="1"/>
  <c r="B805" i="3" a="1"/>
  <c r="B805" i="3" s="1"/>
  <c r="C805" i="3" s="1"/>
  <c r="B806" i="3" a="1"/>
  <c r="B806" i="3" s="1"/>
  <c r="C806" i="3" s="1"/>
  <c r="B807" i="3" a="1"/>
  <c r="B807" i="3" s="1"/>
  <c r="C807" i="3" s="1"/>
  <c r="B808" i="3" a="1"/>
  <c r="B808" i="3" s="1"/>
  <c r="C808" i="3" s="1"/>
  <c r="B809" i="3" a="1"/>
  <c r="B809" i="3" s="1"/>
  <c r="C809" i="3" s="1"/>
  <c r="B810" i="3" a="1"/>
  <c r="B810" i="3" s="1"/>
  <c r="C810" i="3" s="1"/>
  <c r="B811" i="3" a="1"/>
  <c r="B811" i="3"/>
  <c r="C811" i="3" s="1"/>
  <c r="B812" i="3" a="1"/>
  <c r="B812" i="3" s="1"/>
  <c r="C812" i="3" s="1"/>
  <c r="B813" i="3" a="1"/>
  <c r="B813" i="3" s="1"/>
  <c r="C813" i="3" s="1"/>
  <c r="B814" i="3" a="1"/>
  <c r="B814" i="3" s="1"/>
  <c r="C814" i="3" s="1"/>
  <c r="B815" i="3" a="1"/>
  <c r="B815" i="3" s="1"/>
  <c r="C815" i="3" s="1"/>
  <c r="B816" i="3" a="1"/>
  <c r="B816" i="3" s="1"/>
  <c r="C816" i="3" s="1"/>
  <c r="B817" i="3" a="1"/>
  <c r="B817" i="3" s="1"/>
  <c r="C817" i="3" s="1"/>
  <c r="B818" i="3" a="1"/>
  <c r="B818" i="3" s="1"/>
  <c r="C818" i="3" s="1"/>
  <c r="B819" i="3" a="1"/>
  <c r="B819" i="3" s="1"/>
  <c r="C819" i="3" s="1"/>
  <c r="B820" i="3" a="1"/>
  <c r="B820" i="3" s="1"/>
  <c r="C820" i="3" s="1"/>
  <c r="B821" i="3" a="1"/>
  <c r="B821" i="3" s="1"/>
  <c r="C821" i="3" s="1"/>
  <c r="B822" i="3" a="1"/>
  <c r="B822" i="3" s="1"/>
  <c r="C822" i="3" s="1"/>
  <c r="B823" i="3" a="1"/>
  <c r="B823" i="3" s="1"/>
  <c r="C823" i="3" s="1"/>
  <c r="B824" i="3" a="1"/>
  <c r="B824" i="3" s="1"/>
  <c r="C824" i="3" s="1"/>
  <c r="B825" i="3" a="1"/>
  <c r="B825" i="3"/>
  <c r="C825" i="3" s="1"/>
  <c r="B826" i="3" a="1"/>
  <c r="B826" i="3" s="1"/>
  <c r="C826" i="3" s="1"/>
  <c r="B827" i="3" a="1"/>
  <c r="B827" i="3" s="1"/>
  <c r="C827" i="3" s="1"/>
  <c r="B828" i="3" a="1"/>
  <c r="B828" i="3" s="1"/>
  <c r="C828" i="3" s="1"/>
  <c r="B829" i="3" a="1"/>
  <c r="B829" i="3" s="1"/>
  <c r="C829" i="3" s="1"/>
  <c r="B830" i="3" a="1"/>
  <c r="B830" i="3" s="1"/>
  <c r="C830" i="3" s="1"/>
  <c r="B831" i="3" a="1"/>
  <c r="B831" i="3" s="1"/>
  <c r="C831" i="3" s="1"/>
  <c r="B832" i="3" a="1"/>
  <c r="B832" i="3" s="1"/>
  <c r="C832" i="3" s="1"/>
  <c r="B833" i="3" a="1"/>
  <c r="B833" i="3" s="1"/>
  <c r="C833" i="3" s="1"/>
  <c r="B834" i="3" a="1"/>
  <c r="B834" i="3" s="1"/>
  <c r="C834" i="3" s="1"/>
  <c r="B835" i="3" a="1"/>
  <c r="B835" i="3"/>
  <c r="C835" i="3" s="1"/>
  <c r="B836" i="3" a="1"/>
  <c r="B836" i="3" s="1"/>
  <c r="C836" i="3" s="1"/>
  <c r="B837" i="3" a="1"/>
  <c r="B837" i="3" s="1"/>
  <c r="C837" i="3" s="1"/>
  <c r="B838" i="3" a="1"/>
  <c r="B838" i="3" s="1"/>
  <c r="C838" i="3" s="1"/>
  <c r="B839" i="3" a="1"/>
  <c r="B839" i="3" s="1"/>
  <c r="C839" i="3" s="1"/>
  <c r="B840" i="3" a="1"/>
  <c r="B840" i="3" s="1"/>
  <c r="C840" i="3" s="1"/>
  <c r="B841" i="3" a="1"/>
  <c r="B841" i="3" s="1"/>
  <c r="C841" i="3" s="1"/>
  <c r="B842" i="3" a="1"/>
  <c r="B842" i="3" s="1"/>
  <c r="C842" i="3" s="1"/>
  <c r="B843" i="3" a="1"/>
  <c r="B843" i="3" s="1"/>
  <c r="C843" i="3" s="1"/>
  <c r="B844" i="3" a="1"/>
  <c r="B844" i="3" s="1"/>
  <c r="C844" i="3" s="1"/>
  <c r="B845" i="3" a="1"/>
  <c r="B845" i="3" s="1"/>
  <c r="C845" i="3" s="1"/>
  <c r="B846" i="3" a="1"/>
  <c r="B846" i="3" s="1"/>
  <c r="C846" i="3" s="1"/>
  <c r="B847" i="3" a="1"/>
  <c r="B847" i="3" s="1"/>
  <c r="C847" i="3" s="1"/>
  <c r="B848" i="3" a="1"/>
  <c r="B848" i="3" s="1"/>
  <c r="C848" i="3" s="1"/>
  <c r="B849" i="3" a="1"/>
  <c r="B849" i="3" s="1"/>
  <c r="C849" i="3" s="1"/>
  <c r="B850" i="3" a="1"/>
  <c r="B850" i="3" s="1"/>
  <c r="C850" i="3" s="1"/>
  <c r="B851" i="3" a="1"/>
  <c r="B851" i="3" s="1"/>
  <c r="C851" i="3" s="1"/>
  <c r="B852" i="3" a="1"/>
  <c r="B852" i="3" s="1"/>
  <c r="C852" i="3" s="1"/>
  <c r="B853" i="3" a="1"/>
  <c r="B853" i="3" s="1"/>
  <c r="C853" i="3" s="1"/>
  <c r="B854" i="3" a="1"/>
  <c r="B854" i="3" s="1"/>
  <c r="C854" i="3" s="1"/>
  <c r="B855" i="3" a="1"/>
  <c r="B855" i="3" s="1"/>
  <c r="C855" i="3" s="1"/>
  <c r="B856" i="3" a="1"/>
  <c r="B856" i="3" s="1"/>
  <c r="C856" i="3" s="1"/>
  <c r="B857" i="3" a="1"/>
  <c r="B857" i="3" s="1"/>
  <c r="C857" i="3" s="1"/>
  <c r="B858" i="3" a="1"/>
  <c r="B858" i="3" s="1"/>
  <c r="C858" i="3" s="1"/>
  <c r="B859" i="3" a="1"/>
  <c r="B859" i="3" s="1"/>
  <c r="C859" i="3" s="1"/>
  <c r="B860" i="3" a="1"/>
  <c r="B860" i="3" s="1"/>
  <c r="C860" i="3" s="1"/>
  <c r="B861" i="3" a="1"/>
  <c r="B861" i="3" s="1"/>
  <c r="C861" i="3" s="1"/>
  <c r="B862" i="3" a="1"/>
  <c r="B862" i="3" s="1"/>
  <c r="C862" i="3" s="1"/>
  <c r="B863" i="3" a="1"/>
  <c r="B863" i="3"/>
  <c r="C863" i="3" s="1"/>
  <c r="B864" i="3" a="1"/>
  <c r="B864" i="3" s="1"/>
  <c r="C864" i="3" s="1"/>
  <c r="B865" i="3" a="1"/>
  <c r="B865" i="3" s="1"/>
  <c r="C865" i="3" s="1"/>
  <c r="B866" i="3" a="1"/>
  <c r="B866" i="3" s="1"/>
  <c r="C866" i="3" s="1"/>
  <c r="B867" i="3" a="1"/>
  <c r="B867" i="3" s="1"/>
  <c r="C867" i="3" s="1"/>
  <c r="B868" i="3" a="1"/>
  <c r="B868" i="3" s="1"/>
  <c r="C868" i="3" s="1"/>
  <c r="B869" i="3" a="1"/>
  <c r="B869" i="3" s="1"/>
  <c r="C869" i="3" s="1"/>
  <c r="B870" i="3" a="1"/>
  <c r="B870" i="3" s="1"/>
  <c r="C870" i="3" s="1"/>
  <c r="B871" i="3" a="1"/>
  <c r="B871" i="3" s="1"/>
  <c r="C871" i="3" s="1"/>
  <c r="B872" i="3" a="1"/>
  <c r="B872" i="3" s="1"/>
  <c r="C872" i="3" s="1"/>
  <c r="B873" i="3" a="1"/>
  <c r="B873" i="3" s="1"/>
  <c r="C873" i="3" s="1"/>
  <c r="B874" i="3" a="1"/>
  <c r="B874" i="3" s="1"/>
  <c r="C874" i="3" s="1"/>
  <c r="B875" i="3" a="1"/>
  <c r="B875" i="3" s="1"/>
  <c r="C875" i="3" s="1"/>
  <c r="B876" i="3" a="1"/>
  <c r="B876" i="3" s="1"/>
  <c r="C876" i="3" s="1"/>
  <c r="B877" i="3" a="1"/>
  <c r="B877" i="3" s="1"/>
  <c r="C877" i="3" s="1"/>
  <c r="B878" i="3" a="1"/>
  <c r="B878" i="3"/>
  <c r="C878" i="3" s="1"/>
  <c r="B879" i="3" a="1"/>
  <c r="B879" i="3" s="1"/>
  <c r="C879" i="3" s="1"/>
  <c r="B880" i="3" a="1"/>
  <c r="B880" i="3" s="1"/>
  <c r="C880" i="3" s="1"/>
  <c r="B881" i="3" a="1"/>
  <c r="B881" i="3" s="1"/>
  <c r="C881" i="3" s="1"/>
  <c r="B882" i="3" a="1"/>
  <c r="B882" i="3" s="1"/>
  <c r="C882" i="3" s="1"/>
  <c r="B883" i="3" a="1"/>
  <c r="B883" i="3" s="1"/>
  <c r="C883" i="3" s="1"/>
  <c r="B884" i="3" a="1"/>
  <c r="B884" i="3" s="1"/>
  <c r="C884" i="3" s="1"/>
  <c r="B885" i="3" a="1"/>
  <c r="B885" i="3" s="1"/>
  <c r="C885" i="3" s="1"/>
  <c r="B886" i="3" a="1"/>
  <c r="B886" i="3" s="1"/>
  <c r="C886" i="3" s="1"/>
  <c r="B887" i="3" a="1"/>
  <c r="B887" i="3" s="1"/>
  <c r="C887" i="3" s="1"/>
  <c r="B888" i="3" a="1"/>
  <c r="B888" i="3" s="1"/>
  <c r="C888" i="3" s="1"/>
  <c r="B889" i="3" a="1"/>
  <c r="B889" i="3" s="1"/>
  <c r="C889" i="3" s="1"/>
  <c r="B890" i="3" a="1"/>
  <c r="B890" i="3" s="1"/>
  <c r="C890" i="3" s="1"/>
  <c r="B891" i="3" a="1"/>
  <c r="B891" i="3"/>
  <c r="C891" i="3" s="1"/>
  <c r="B892" i="3" a="1"/>
  <c r="B892" i="3" s="1"/>
  <c r="C892" i="3" s="1"/>
  <c r="B893" i="3" a="1"/>
  <c r="B893" i="3" s="1"/>
  <c r="C893" i="3" s="1"/>
  <c r="B894" i="3" a="1"/>
  <c r="B894" i="3" s="1"/>
  <c r="C894" i="3" s="1"/>
  <c r="B895" i="3" a="1"/>
  <c r="B895" i="3" s="1"/>
  <c r="C895" i="3" s="1"/>
  <c r="B896" i="3" a="1"/>
  <c r="B896" i="3" s="1"/>
  <c r="C896" i="3" s="1"/>
  <c r="B897" i="3" a="1"/>
  <c r="B897" i="3" s="1"/>
  <c r="C897" i="3" s="1"/>
  <c r="B898" i="3" a="1"/>
  <c r="B898" i="3" s="1"/>
  <c r="C898" i="3" s="1"/>
  <c r="B899" i="3" a="1"/>
  <c r="B899" i="3" s="1"/>
  <c r="C899" i="3" s="1"/>
  <c r="B900" i="3" a="1"/>
  <c r="B900" i="3" s="1"/>
  <c r="C900" i="3" s="1"/>
  <c r="B901" i="3" a="1"/>
  <c r="B901" i="3" s="1"/>
  <c r="C901" i="3" s="1"/>
  <c r="B902" i="3" a="1"/>
  <c r="B902" i="3" s="1"/>
  <c r="C902" i="3" s="1"/>
  <c r="B903" i="3" a="1"/>
  <c r="B903" i="3" s="1"/>
  <c r="C903" i="3" s="1"/>
  <c r="B904" i="3" a="1"/>
  <c r="B904" i="3" s="1"/>
  <c r="C904" i="3" s="1"/>
  <c r="B905" i="3" a="1"/>
  <c r="B905" i="3" s="1"/>
  <c r="C905" i="3" s="1"/>
  <c r="B906" i="3" a="1"/>
  <c r="B906" i="3" s="1"/>
  <c r="C906" i="3" s="1"/>
  <c r="B907" i="3" a="1"/>
  <c r="B907" i="3"/>
  <c r="C907" i="3" s="1"/>
  <c r="B908" i="3" a="1"/>
  <c r="B908" i="3" s="1"/>
  <c r="C908" i="3" s="1"/>
  <c r="B909" i="3" a="1"/>
  <c r="B909" i="3" s="1"/>
  <c r="C909" i="3" s="1"/>
  <c r="B910" i="3" a="1"/>
  <c r="B910" i="3" s="1"/>
  <c r="C910" i="3" s="1"/>
  <c r="B911" i="3" a="1"/>
  <c r="B911" i="3" s="1"/>
  <c r="C911" i="3" s="1"/>
  <c r="B912" i="3" a="1"/>
  <c r="B912" i="3" s="1"/>
  <c r="C912" i="3" s="1"/>
  <c r="B913" i="3" a="1"/>
  <c r="B913" i="3" s="1"/>
  <c r="C913" i="3" s="1"/>
  <c r="B914" i="3" a="1"/>
  <c r="B914" i="3" s="1"/>
  <c r="C914" i="3" s="1"/>
  <c r="B915" i="3" a="1"/>
  <c r="B915" i="3" s="1"/>
  <c r="C915" i="3" s="1"/>
  <c r="B916" i="3" a="1"/>
  <c r="B916" i="3" s="1"/>
  <c r="C916" i="3" s="1"/>
  <c r="B917" i="3" a="1"/>
  <c r="B917" i="3" s="1"/>
  <c r="C917" i="3" s="1"/>
  <c r="B918" i="3" a="1"/>
  <c r="B918" i="3" s="1"/>
  <c r="C918" i="3" s="1"/>
  <c r="B919" i="3" a="1"/>
  <c r="B919" i="3" s="1"/>
  <c r="C919" i="3" s="1"/>
  <c r="B920" i="3" a="1"/>
  <c r="B920" i="3" s="1"/>
  <c r="C920" i="3" s="1"/>
  <c r="B921" i="3" a="1"/>
  <c r="B921" i="3" s="1"/>
  <c r="C921" i="3" s="1"/>
  <c r="B922" i="3" a="1"/>
  <c r="B922" i="3" s="1"/>
  <c r="C922" i="3" s="1"/>
  <c r="B923" i="3" a="1"/>
  <c r="B923" i="3"/>
  <c r="C923" i="3" s="1"/>
  <c r="B924" i="3" a="1"/>
  <c r="B924" i="3" s="1"/>
  <c r="C924" i="3" s="1"/>
  <c r="B925" i="3" a="1"/>
  <c r="B925" i="3" s="1"/>
  <c r="C925" i="3" s="1"/>
  <c r="B926" i="3" a="1"/>
  <c r="B926" i="3" s="1"/>
  <c r="C926" i="3" s="1"/>
  <c r="B927" i="3" a="1"/>
  <c r="B927" i="3" s="1"/>
  <c r="C927" i="3" s="1"/>
  <c r="B928" i="3" a="1"/>
  <c r="B928" i="3" s="1"/>
  <c r="C928" i="3" s="1"/>
  <c r="B929" i="3" a="1"/>
  <c r="B929" i="3" s="1"/>
  <c r="C929" i="3" s="1"/>
  <c r="B930" i="3" a="1"/>
  <c r="B930" i="3" s="1"/>
  <c r="C930" i="3" s="1"/>
  <c r="B931" i="3" a="1"/>
  <c r="B931" i="3" s="1"/>
  <c r="C931" i="3" s="1"/>
  <c r="B932" i="3" a="1"/>
  <c r="B932" i="3" s="1"/>
  <c r="C932" i="3" s="1"/>
  <c r="B933" i="3" a="1"/>
  <c r="B933" i="3"/>
  <c r="C933" i="3" s="1"/>
  <c r="B934" i="3" a="1"/>
  <c r="B934" i="3" s="1"/>
  <c r="C934" i="3" s="1"/>
  <c r="B935" i="3" a="1"/>
  <c r="B935" i="3"/>
  <c r="C935" i="3" s="1"/>
  <c r="B936" i="3" a="1"/>
  <c r="B936" i="3" s="1"/>
  <c r="C936" i="3" s="1"/>
  <c r="B937" i="3" a="1"/>
  <c r="B937" i="3" s="1"/>
  <c r="C937" i="3" s="1"/>
  <c r="B938" i="3" a="1"/>
  <c r="B938" i="3" s="1"/>
  <c r="C938" i="3" s="1"/>
  <c r="B939" i="3" a="1"/>
  <c r="B939" i="3" s="1"/>
  <c r="C939" i="3" s="1"/>
  <c r="B940" i="3" a="1"/>
  <c r="B940" i="3" s="1"/>
  <c r="C940" i="3" s="1"/>
  <c r="B941" i="3" a="1"/>
  <c r="B941" i="3" s="1"/>
  <c r="C941" i="3" s="1"/>
  <c r="B942" i="3" a="1"/>
  <c r="B942" i="3" s="1"/>
  <c r="C942" i="3" s="1"/>
  <c r="B943" i="3" a="1"/>
  <c r="B943" i="3" s="1"/>
  <c r="C943" i="3" s="1"/>
  <c r="B944" i="3" a="1"/>
  <c r="B944" i="3" s="1"/>
  <c r="C944" i="3" s="1"/>
  <c r="B945" i="3" a="1"/>
  <c r="B945" i="3" s="1"/>
  <c r="C945" i="3" s="1"/>
  <c r="B946" i="3" a="1"/>
  <c r="B946" i="3" s="1"/>
  <c r="C946" i="3" s="1"/>
  <c r="B947" i="3" a="1"/>
  <c r="B947" i="3" s="1"/>
  <c r="C947" i="3" s="1"/>
  <c r="B948" i="3" a="1"/>
  <c r="B948" i="3" s="1"/>
  <c r="C948" i="3" s="1"/>
  <c r="B949" i="3" a="1"/>
  <c r="B949" i="3" s="1"/>
  <c r="C949" i="3" s="1"/>
  <c r="B950" i="3" a="1"/>
  <c r="B950" i="3" s="1"/>
  <c r="C950" i="3" s="1"/>
  <c r="B951" i="3" a="1"/>
  <c r="B951" i="3" s="1"/>
  <c r="C951" i="3" s="1"/>
  <c r="B952" i="3" a="1"/>
  <c r="B952" i="3" s="1"/>
  <c r="C952" i="3" s="1"/>
  <c r="B953" i="3" a="1"/>
  <c r="B953" i="3" s="1"/>
  <c r="C953" i="3" s="1"/>
  <c r="B954" i="3" a="1"/>
  <c r="B954" i="3" s="1"/>
  <c r="C954" i="3" s="1"/>
  <c r="B955" i="3" a="1"/>
  <c r="B955" i="3" s="1"/>
  <c r="C955" i="3" s="1"/>
  <c r="B956" i="3" a="1"/>
  <c r="B956" i="3" s="1"/>
  <c r="C956" i="3" s="1"/>
  <c r="B957" i="3" a="1"/>
  <c r="B957" i="3" s="1"/>
  <c r="C957" i="3" s="1"/>
  <c r="B958" i="3" a="1"/>
  <c r="B958" i="3" s="1"/>
  <c r="C958" i="3" s="1"/>
  <c r="B959" i="3" a="1"/>
  <c r="B959" i="3" s="1"/>
  <c r="C959" i="3" s="1"/>
  <c r="B960" i="3" a="1"/>
  <c r="B960" i="3" s="1"/>
  <c r="C960" i="3" s="1"/>
  <c r="B961" i="3" a="1"/>
  <c r="B961" i="3" s="1"/>
  <c r="C961" i="3" s="1"/>
  <c r="B962" i="3" a="1"/>
  <c r="B962" i="3" s="1"/>
  <c r="C962" i="3" s="1"/>
  <c r="B963" i="3" a="1"/>
  <c r="B963" i="3" s="1"/>
  <c r="C963" i="3" s="1"/>
  <c r="B964" i="3" a="1"/>
  <c r="B964" i="3" s="1"/>
  <c r="C964" i="3" s="1"/>
  <c r="B965" i="3" a="1"/>
  <c r="B965" i="3" s="1"/>
  <c r="C965" i="3" s="1"/>
  <c r="B966" i="3" a="1"/>
  <c r="B966" i="3" s="1"/>
  <c r="C966" i="3" s="1"/>
  <c r="B967" i="3" a="1"/>
  <c r="B967" i="3"/>
  <c r="C967" i="3" s="1"/>
  <c r="B968" i="3" a="1"/>
  <c r="B968" i="3" s="1"/>
  <c r="C968" i="3" s="1"/>
  <c r="B969" i="3" a="1"/>
  <c r="B969" i="3" s="1"/>
  <c r="C969" i="3" s="1"/>
  <c r="B970" i="3" a="1"/>
  <c r="B970" i="3" s="1"/>
  <c r="C970" i="3" s="1"/>
  <c r="B971" i="3" a="1"/>
  <c r="B971" i="3" s="1"/>
  <c r="C971" i="3" s="1"/>
  <c r="B972" i="3" a="1"/>
  <c r="B972" i="3" s="1"/>
  <c r="C972" i="3" s="1"/>
  <c r="B973" i="3" a="1"/>
  <c r="B973" i="3" s="1"/>
  <c r="C973" i="3" s="1"/>
  <c r="B974" i="3" a="1"/>
  <c r="B974" i="3" s="1"/>
  <c r="C974" i="3" s="1"/>
  <c r="B975" i="3" a="1"/>
  <c r="B975" i="3" s="1"/>
  <c r="C975" i="3" s="1"/>
  <c r="B976" i="3" a="1"/>
  <c r="B976" i="3"/>
  <c r="C976" i="3" s="1"/>
  <c r="B977" i="3" a="1"/>
  <c r="B977" i="3"/>
  <c r="C977" i="3" s="1"/>
  <c r="B978" i="3" a="1"/>
  <c r="B978" i="3" s="1"/>
  <c r="C978" i="3" s="1"/>
  <c r="B979" i="3" a="1"/>
  <c r="B979" i="3" s="1"/>
  <c r="C979" i="3" s="1"/>
  <c r="B980" i="3" a="1"/>
  <c r="B980" i="3" s="1"/>
  <c r="C980" i="3" s="1"/>
  <c r="B981" i="3" a="1"/>
  <c r="B981" i="3" s="1"/>
  <c r="C981" i="3" s="1"/>
  <c r="B982" i="3" a="1"/>
  <c r="B982" i="3" s="1"/>
  <c r="C982" i="3" s="1"/>
  <c r="B983" i="3" a="1"/>
  <c r="B983" i="3"/>
  <c r="C983" i="3" s="1"/>
  <c r="B984" i="3" a="1"/>
  <c r="B984" i="3" s="1"/>
  <c r="C984" i="3" s="1"/>
  <c r="B985" i="3" a="1"/>
  <c r="B985" i="3" s="1"/>
  <c r="C985" i="3" s="1"/>
  <c r="B986" i="3" a="1"/>
  <c r="B986" i="3" s="1"/>
  <c r="C986" i="3" s="1"/>
  <c r="B987" i="3" a="1"/>
  <c r="B987" i="3"/>
  <c r="C987" i="3" s="1"/>
  <c r="B988" i="3" a="1"/>
  <c r="B988" i="3" s="1"/>
  <c r="C988" i="3" s="1"/>
  <c r="B989" i="3" a="1"/>
  <c r="B989" i="3" s="1"/>
  <c r="C989" i="3" s="1"/>
  <c r="B990" i="3" a="1"/>
  <c r="B990" i="3" s="1"/>
  <c r="C990" i="3" s="1"/>
  <c r="B991" i="3" a="1"/>
  <c r="B991" i="3" s="1"/>
  <c r="C991" i="3" s="1"/>
  <c r="B992" i="3" a="1"/>
  <c r="B992" i="3" s="1"/>
  <c r="C992" i="3" s="1"/>
  <c r="B993" i="3" a="1"/>
  <c r="B993" i="3" s="1"/>
  <c r="C993" i="3" s="1"/>
  <c r="B994" i="3" a="1"/>
  <c r="B994" i="3" s="1"/>
  <c r="C994" i="3" s="1"/>
  <c r="B995" i="3" a="1"/>
  <c r="B995" i="3" s="1"/>
  <c r="C995" i="3" s="1"/>
  <c r="B996" i="3" a="1"/>
  <c r="B996" i="3" s="1"/>
  <c r="C996" i="3" s="1"/>
  <c r="B997" i="3" a="1"/>
  <c r="B997" i="3" s="1"/>
  <c r="C997" i="3" s="1"/>
  <c r="B998" i="3" a="1"/>
  <c r="B998" i="3" s="1"/>
  <c r="C998" i="3" s="1"/>
  <c r="B999" i="3" a="1"/>
  <c r="B999" i="3" s="1"/>
  <c r="C999" i="3" s="1"/>
  <c r="B1000" i="3" a="1"/>
  <c r="B1000" i="3" s="1"/>
  <c r="C1000" i="3" s="1"/>
  <c r="B1001" i="3" a="1"/>
  <c r="B1001" i="3" s="1"/>
  <c r="C1001" i="3" s="1"/>
  <c r="B1002" i="3" a="1"/>
  <c r="B1002" i="3" s="1"/>
  <c r="C1002" i="3" s="1"/>
  <c r="B1003" i="3" a="1"/>
  <c r="B1003" i="3" s="1"/>
  <c r="C1003" i="3" s="1"/>
  <c r="B1004" i="3" a="1"/>
  <c r="B1004" i="3" s="1"/>
  <c r="C1004" i="3" s="1"/>
  <c r="B1005" i="3" a="1"/>
  <c r="B1005" i="3"/>
  <c r="C1005" i="3" s="1"/>
  <c r="B1006" i="3" a="1"/>
  <c r="B1006" i="3" s="1"/>
  <c r="C1006" i="3" s="1"/>
  <c r="B1007" i="3" a="1"/>
  <c r="B1007" i="3" s="1"/>
  <c r="C1007" i="3" s="1"/>
  <c r="B1008" i="3" a="1"/>
  <c r="B1008" i="3" s="1"/>
  <c r="C1008" i="3" s="1"/>
  <c r="B1009" i="3" a="1"/>
  <c r="B1009" i="3" s="1"/>
  <c r="C1009" i="3" s="1"/>
  <c r="B1010" i="3" a="1"/>
  <c r="B1010" i="3" s="1"/>
  <c r="C1010" i="3" s="1"/>
  <c r="B1011" i="3" a="1"/>
  <c r="B1011" i="3" s="1"/>
  <c r="C1011" i="3" s="1"/>
  <c r="B1012" i="3" a="1"/>
  <c r="B1012" i="3" s="1"/>
  <c r="C1012" i="3" s="1"/>
  <c r="B1013" i="3" a="1"/>
  <c r="B1013" i="3" s="1"/>
  <c r="C1013" i="3" s="1"/>
  <c r="B1014" i="3" a="1"/>
  <c r="B1014" i="3" s="1"/>
  <c r="C1014" i="3" s="1"/>
  <c r="B1015" i="3" a="1"/>
  <c r="B1015" i="3" s="1"/>
  <c r="C1015" i="3" s="1"/>
  <c r="B1016" i="3" a="1"/>
  <c r="B1016" i="3" s="1"/>
  <c r="C1016" i="3" s="1"/>
  <c r="B1017" i="3" a="1"/>
  <c r="B1017" i="3" s="1"/>
  <c r="C1017" i="3" s="1"/>
  <c r="B1018" i="3" a="1"/>
  <c r="B1018" i="3" s="1"/>
  <c r="C1018" i="3" s="1"/>
  <c r="B1019" i="3" a="1"/>
  <c r="B1019" i="3"/>
  <c r="C1019" i="3" s="1"/>
  <c r="B1020" i="3" a="1"/>
  <c r="B1020" i="3" s="1"/>
  <c r="C1020" i="3" s="1"/>
  <c r="B1021" i="3" a="1"/>
  <c r="B1021" i="3" s="1"/>
  <c r="C1021" i="3" s="1"/>
  <c r="B1022" i="3" a="1"/>
  <c r="B1022" i="3" s="1"/>
  <c r="C1022" i="3" s="1"/>
  <c r="B1023" i="3" a="1"/>
  <c r="B1023" i="3" s="1"/>
  <c r="C1023" i="3" s="1"/>
  <c r="B1024" i="3" a="1"/>
  <c r="B1024" i="3" s="1"/>
  <c r="C1024" i="3" s="1"/>
  <c r="B1025" i="3" a="1"/>
  <c r="B1025" i="3" s="1"/>
  <c r="C1025" i="3" s="1"/>
  <c r="B1026" i="3" a="1"/>
  <c r="B1026" i="3" s="1"/>
  <c r="C1026" i="3" s="1"/>
  <c r="B1027" i="3" a="1"/>
  <c r="B1027" i="3" s="1"/>
  <c r="C1027" i="3" s="1"/>
  <c r="B1028" i="3" a="1"/>
  <c r="B1028" i="3" s="1"/>
  <c r="C1028" i="3" s="1"/>
  <c r="B1029" i="3" a="1"/>
  <c r="B1029" i="3" s="1"/>
  <c r="C1029" i="3" s="1"/>
  <c r="B1030" i="3" a="1"/>
  <c r="B1030" i="3" s="1"/>
  <c r="C1030" i="3" s="1"/>
  <c r="B1031" i="3" a="1"/>
  <c r="B1031" i="3"/>
  <c r="C1031" i="3" s="1"/>
  <c r="B1032" i="3" a="1"/>
  <c r="B1032" i="3" s="1"/>
  <c r="C1032" i="3" s="1"/>
  <c r="B1033" i="3" a="1"/>
  <c r="B1033" i="3" s="1"/>
  <c r="C1033" i="3" s="1"/>
  <c r="B1034" i="3" a="1"/>
  <c r="B1034" i="3" s="1"/>
  <c r="C1034" i="3" s="1"/>
  <c r="B1035" i="3" a="1"/>
  <c r="B1035" i="3" s="1"/>
  <c r="C1035" i="3" s="1"/>
  <c r="B1036" i="3" a="1"/>
  <c r="B1036" i="3" s="1"/>
  <c r="C1036" i="3" s="1"/>
  <c r="B1037" i="3" a="1"/>
  <c r="B1037" i="3" s="1"/>
  <c r="C1037" i="3" s="1"/>
  <c r="B1038" i="3" a="1"/>
  <c r="B1038" i="3" s="1"/>
  <c r="C1038" i="3" s="1"/>
  <c r="B1039" i="3" a="1"/>
  <c r="B1039" i="3" s="1"/>
  <c r="C1039" i="3" s="1"/>
  <c r="B1040" i="3" a="1"/>
  <c r="B1040" i="3"/>
  <c r="C1040" i="3" s="1"/>
  <c r="B1041" i="3" a="1"/>
  <c r="B1041" i="3"/>
  <c r="C1041" i="3" s="1"/>
  <c r="B1042" i="3" a="1"/>
  <c r="B1042" i="3" s="1"/>
  <c r="C1042" i="3" s="1"/>
  <c r="B1043" i="3" a="1"/>
  <c r="B1043" i="3" s="1"/>
  <c r="C1043" i="3" s="1"/>
  <c r="B1044" i="3" a="1"/>
  <c r="B1044" i="3" s="1"/>
  <c r="C1044" i="3" s="1"/>
  <c r="B1045" i="3" a="1"/>
  <c r="B1045" i="3" s="1"/>
  <c r="B1046" i="3" a="1"/>
  <c r="B1046" i="3" s="1"/>
  <c r="C1046" i="3" s="1"/>
  <c r="B1047" i="3" a="1"/>
  <c r="B1047" i="3" s="1"/>
  <c r="C1047" i="3" s="1"/>
  <c r="B1048" i="3" a="1"/>
  <c r="B1048" i="3" s="1"/>
  <c r="C1048" i="3" s="1"/>
  <c r="B1049" i="3" a="1"/>
  <c r="B1049" i="3" s="1"/>
  <c r="C1049" i="3" s="1"/>
  <c r="B1050" i="3" a="1"/>
  <c r="B1050" i="3" s="1"/>
  <c r="C1050" i="3" s="1"/>
  <c r="B1051" i="3" a="1"/>
  <c r="B1051" i="3" s="1"/>
  <c r="C1051" i="3" s="1"/>
  <c r="B1052" i="3" a="1"/>
  <c r="B1052" i="3" s="1"/>
  <c r="C1052" i="3" s="1"/>
  <c r="B1053" i="3" a="1"/>
  <c r="B1053" i="3" s="1"/>
  <c r="C1053" i="3" s="1"/>
  <c r="B1054" i="3" a="1"/>
  <c r="B1054" i="3" s="1"/>
  <c r="C1054" i="3" s="1"/>
  <c r="B1055" i="3" a="1"/>
  <c r="B1055" i="3" s="1"/>
  <c r="B1056" i="3" a="1"/>
  <c r="B1056" i="3" s="1"/>
  <c r="C1056" i="3" s="1"/>
  <c r="B1057" i="3" a="1"/>
  <c r="B1057" i="3" s="1"/>
  <c r="C1057" i="3" s="1"/>
  <c r="B1058" i="3" a="1"/>
  <c r="B1058" i="3" s="1"/>
  <c r="C1058" i="3" s="1"/>
  <c r="B1059" i="3" a="1"/>
  <c r="B1059" i="3" s="1"/>
  <c r="C1059" i="3" s="1"/>
  <c r="B1060" i="3" a="1"/>
  <c r="B1060" i="3" s="1"/>
  <c r="C1060" i="3" s="1"/>
  <c r="B1061" i="3" a="1"/>
  <c r="B1061" i="3" s="1"/>
  <c r="C1061" i="3" s="1"/>
  <c r="B1062" i="3" a="1"/>
  <c r="B1062" i="3" s="1"/>
  <c r="C1062" i="3" s="1"/>
  <c r="B1063" i="3" a="1"/>
  <c r="B1063" i="3" s="1"/>
  <c r="C1063" i="3" s="1"/>
  <c r="B1064" i="3" a="1"/>
  <c r="B1064" i="3"/>
  <c r="C1064" i="3" s="1"/>
  <c r="B1065" i="3" a="1"/>
  <c r="B1065" i="3" s="1"/>
  <c r="C1065" i="3" s="1"/>
  <c r="B1066" i="3" a="1"/>
  <c r="B1066" i="3" s="1"/>
  <c r="C1066" i="3" s="1"/>
  <c r="B1067" i="3" a="1"/>
  <c r="B1067" i="3" s="1"/>
  <c r="C1067" i="3" s="1"/>
  <c r="B1068" i="3" a="1"/>
  <c r="B1068" i="3" s="1"/>
  <c r="C1068" i="3" s="1"/>
  <c r="B1069" i="3" a="1"/>
  <c r="B1069" i="3" s="1"/>
  <c r="C1069" i="3" s="1"/>
  <c r="B1070" i="3" a="1"/>
  <c r="B1070" i="3" s="1"/>
  <c r="C1070" i="3" s="1"/>
  <c r="B1071" i="3" a="1"/>
  <c r="B1071" i="3" s="1"/>
  <c r="C1071" i="3" s="1"/>
  <c r="B1072" i="3" a="1"/>
  <c r="B1072" i="3" s="1"/>
  <c r="C1072" i="3" s="1"/>
  <c r="B1073" i="3" a="1"/>
  <c r="B1073" i="3" s="1"/>
  <c r="C1073" i="3" s="1"/>
  <c r="B1074" i="3" a="1"/>
  <c r="B1074" i="3" s="1"/>
  <c r="C1074" i="3" s="1"/>
  <c r="B1075" i="3" a="1"/>
  <c r="B1075" i="3" s="1"/>
  <c r="C1075" i="3" s="1"/>
  <c r="B1076" i="3" a="1"/>
  <c r="B1076" i="3" s="1"/>
  <c r="C1076" i="3" s="1"/>
  <c r="B1077" i="3" a="1"/>
  <c r="B1077" i="3" s="1"/>
  <c r="C1077" i="3" s="1"/>
  <c r="B1078" i="3" a="1"/>
  <c r="B1078" i="3" s="1"/>
  <c r="C1078" i="3" s="1"/>
  <c r="B1079" i="3" a="1"/>
  <c r="B1079" i="3" s="1"/>
  <c r="C1079" i="3" s="1"/>
  <c r="B1080" i="3" a="1"/>
  <c r="B1080" i="3" s="1"/>
  <c r="C1080" i="3" s="1"/>
  <c r="B1081" i="3" a="1"/>
  <c r="B1081" i="3" s="1"/>
  <c r="C1081" i="3" s="1"/>
  <c r="B1082" i="3" a="1"/>
  <c r="B1082" i="3" s="1"/>
  <c r="C1082" i="3" s="1"/>
  <c r="B1083" i="3" a="1"/>
  <c r="B1083" i="3" s="1"/>
  <c r="C1083" i="3" s="1"/>
  <c r="B1084" i="3" a="1"/>
  <c r="B1084" i="3" s="1"/>
  <c r="C1084" i="3" s="1"/>
  <c r="B1085" i="3" a="1"/>
  <c r="B1085" i="3"/>
  <c r="C1085" i="3" s="1"/>
  <c r="B1086" i="3" a="1"/>
  <c r="B1086" i="3" s="1"/>
  <c r="C1086" i="3" s="1"/>
  <c r="B1087" i="3" a="1"/>
  <c r="B1087" i="3"/>
  <c r="C1087" i="3" s="1"/>
  <c r="B1088" i="3" a="1"/>
  <c r="B1088" i="3" s="1"/>
  <c r="C1088" i="3" s="1"/>
  <c r="B1089" i="3" a="1"/>
  <c r="B1089" i="3" s="1"/>
  <c r="C1089" i="3" s="1"/>
  <c r="B1090" i="3" a="1"/>
  <c r="B1090" i="3" s="1"/>
  <c r="C1090" i="3" s="1"/>
  <c r="B1091" i="3" a="1"/>
  <c r="B1091" i="3" s="1"/>
  <c r="C1091" i="3" s="1"/>
  <c r="B1092" i="3" a="1"/>
  <c r="B1092" i="3" s="1"/>
  <c r="C1092" i="3" s="1"/>
  <c r="B1093" i="3" a="1"/>
  <c r="B1093" i="3" s="1"/>
  <c r="C1093" i="3" s="1"/>
  <c r="B1094" i="3" a="1"/>
  <c r="B1094" i="3"/>
  <c r="C1094" i="3" s="1"/>
  <c r="B1095" i="3" a="1"/>
  <c r="B1095" i="3" s="1"/>
  <c r="C1095" i="3" s="1"/>
  <c r="B1096" i="3" a="1"/>
  <c r="B1096" i="3" s="1"/>
  <c r="C1096" i="3" s="1"/>
  <c r="B1097" i="3" a="1"/>
  <c r="B1097" i="3" s="1"/>
  <c r="C1097" i="3" s="1"/>
  <c r="B1098" i="3" a="1"/>
  <c r="B1098" i="3" s="1"/>
  <c r="C1098" i="3" s="1"/>
  <c r="B1099" i="3" a="1"/>
  <c r="B1099" i="3" s="1"/>
  <c r="C1099" i="3" s="1"/>
  <c r="B1100" i="3" a="1"/>
  <c r="B1100" i="3" s="1"/>
  <c r="C1100" i="3" s="1"/>
  <c r="B1101" i="3" a="1"/>
  <c r="B1101" i="3" s="1"/>
  <c r="C1101" i="3" s="1"/>
  <c r="B1102" i="3" a="1"/>
  <c r="B1102" i="3" s="1"/>
  <c r="C1102" i="3" s="1"/>
  <c r="B1103" i="3" a="1"/>
  <c r="B1103" i="3" s="1"/>
  <c r="C1103" i="3" s="1"/>
  <c r="B1104" i="3" a="1"/>
  <c r="B1104" i="3" s="1"/>
  <c r="C1104" i="3" s="1"/>
  <c r="B1105" i="3" a="1"/>
  <c r="B1105" i="3" s="1"/>
  <c r="C1105" i="3" s="1"/>
  <c r="B1106" i="3" a="1"/>
  <c r="B1106" i="3" s="1"/>
  <c r="C1106" i="3" s="1"/>
  <c r="B1107" i="3" a="1"/>
  <c r="B1107" i="3" s="1"/>
  <c r="C1107" i="3" s="1"/>
  <c r="B1108" i="3" a="1"/>
  <c r="B1108" i="3"/>
  <c r="C1108" i="3" s="1"/>
  <c r="B1109" i="3" a="1"/>
  <c r="B1109" i="3" s="1"/>
  <c r="C1109" i="3" s="1"/>
  <c r="B1110" i="3" a="1"/>
  <c r="B1110" i="3" s="1"/>
  <c r="C1110" i="3" s="1"/>
  <c r="B1111" i="3" a="1"/>
  <c r="B1111" i="3" s="1"/>
  <c r="C1111" i="3" s="1"/>
  <c r="B1112" i="3" a="1"/>
  <c r="B1112" i="3" s="1"/>
  <c r="C1112" i="3" s="1"/>
  <c r="B1113" i="3" a="1"/>
  <c r="B1113" i="3" s="1"/>
  <c r="C1113" i="3" s="1"/>
  <c r="B1114" i="3" a="1"/>
  <c r="B1114" i="3" s="1"/>
  <c r="C1114" i="3" s="1"/>
  <c r="B1115" i="3" a="1"/>
  <c r="B1115" i="3" s="1"/>
  <c r="C1115" i="3" s="1"/>
  <c r="B1116" i="3" a="1"/>
  <c r="B1116" i="3" s="1"/>
  <c r="C1116" i="3" s="1"/>
  <c r="B1117" i="3" a="1"/>
  <c r="B1117" i="3" s="1"/>
  <c r="C1117" i="3" s="1"/>
  <c r="B1118" i="3" a="1"/>
  <c r="B1118" i="3" s="1"/>
  <c r="C1118" i="3" s="1"/>
  <c r="B1119" i="3" a="1"/>
  <c r="B1119" i="3" s="1"/>
  <c r="C1119" i="3" s="1"/>
  <c r="B1120" i="3" a="1"/>
  <c r="B1120" i="3" s="1"/>
  <c r="C1120" i="3" s="1"/>
  <c r="B1121" i="3" a="1"/>
  <c r="B1121" i="3" s="1"/>
  <c r="C1121" i="3" s="1"/>
  <c r="B1122" i="3" a="1"/>
  <c r="B1122" i="3" s="1"/>
  <c r="C1122" i="3" s="1"/>
  <c r="B1123" i="3" a="1"/>
  <c r="B1123" i="3" s="1"/>
  <c r="C1123" i="3" s="1"/>
  <c r="B1124" i="3" a="1"/>
  <c r="B1124" i="3" s="1"/>
  <c r="C1124" i="3" s="1"/>
  <c r="B1125" i="3" a="1"/>
  <c r="B1125" i="3" s="1"/>
  <c r="C1125" i="3" s="1"/>
  <c r="B1126" i="3" a="1"/>
  <c r="B1126" i="3" s="1"/>
  <c r="C1126" i="3" s="1"/>
  <c r="B1127" i="3" a="1"/>
  <c r="B1127" i="3" s="1"/>
  <c r="C1127" i="3" s="1"/>
  <c r="B1128" i="3" a="1"/>
  <c r="B1128" i="3" s="1"/>
  <c r="C1128" i="3" s="1"/>
  <c r="B1129" i="3" a="1"/>
  <c r="B1129" i="3" s="1"/>
  <c r="C1129" i="3" s="1"/>
  <c r="B1130" i="3" a="1"/>
  <c r="B1130" i="3" s="1"/>
  <c r="C1130" i="3" s="1"/>
  <c r="B1131" i="3" a="1"/>
  <c r="B1131" i="3" s="1"/>
  <c r="C1131" i="3" s="1"/>
  <c r="B1132" i="3" a="1"/>
  <c r="B1132" i="3"/>
  <c r="C1132" i="3" s="1"/>
  <c r="B1133" i="3" a="1"/>
  <c r="B1133" i="3" s="1"/>
  <c r="C1133" i="3" s="1"/>
  <c r="B1134" i="3" a="1"/>
  <c r="B1134" i="3" s="1"/>
  <c r="C1134" i="3" s="1"/>
  <c r="B1135" i="3" a="1"/>
  <c r="B1135" i="3" s="1"/>
  <c r="C1135" i="3" s="1"/>
  <c r="B1136" i="3" a="1"/>
  <c r="B1136" i="3" s="1"/>
  <c r="C1136" i="3" s="1"/>
  <c r="B1137" i="3" a="1"/>
  <c r="B1137" i="3" s="1"/>
  <c r="C1137" i="3" s="1"/>
  <c r="B1138" i="3" a="1"/>
  <c r="B1138" i="3"/>
  <c r="C1138" i="3" s="1"/>
  <c r="B1139" i="3" a="1"/>
  <c r="B1139" i="3" s="1"/>
  <c r="C1139" i="3" s="1"/>
  <c r="B1140" i="3" a="1"/>
  <c r="B1140" i="3" s="1"/>
  <c r="C1140" i="3" s="1"/>
  <c r="B1141" i="3" a="1"/>
  <c r="B1141" i="3" s="1"/>
  <c r="C1141" i="3" s="1"/>
  <c r="B1142" i="3" a="1"/>
  <c r="B1142" i="3" s="1"/>
  <c r="C1142" i="3" s="1"/>
  <c r="B1143" i="3" a="1"/>
  <c r="B1143" i="3" s="1"/>
  <c r="C1143" i="3" s="1"/>
  <c r="B1144" i="3" a="1"/>
  <c r="B1144" i="3" s="1"/>
  <c r="C1144" i="3" s="1"/>
  <c r="B1145" i="3" a="1"/>
  <c r="B1145" i="3" s="1"/>
  <c r="C1145" i="3" s="1"/>
  <c r="B1146" i="3" a="1"/>
  <c r="B1146" i="3" s="1"/>
  <c r="C1146" i="3" s="1"/>
  <c r="B1147" i="3" a="1"/>
  <c r="B1147" i="3" s="1"/>
  <c r="C1147" i="3" s="1"/>
  <c r="B1148" i="3" a="1"/>
  <c r="B1148" i="3" s="1"/>
  <c r="C1148" i="3" s="1"/>
  <c r="B1149" i="3" a="1"/>
  <c r="B1149" i="3"/>
  <c r="C1149" i="3" s="1"/>
  <c r="B1150" i="3" a="1"/>
  <c r="B1150" i="3" s="1"/>
  <c r="C1150" i="3" s="1"/>
  <c r="B1151" i="3" a="1"/>
  <c r="B1151" i="3" s="1"/>
  <c r="C1151" i="3" s="1"/>
  <c r="B1152" i="3" a="1"/>
  <c r="B1152" i="3" s="1"/>
  <c r="C1152" i="3" s="1"/>
  <c r="B1153" i="3" a="1"/>
  <c r="B1153" i="3" s="1"/>
  <c r="C1153" i="3" s="1"/>
  <c r="B1154" i="3" a="1"/>
  <c r="B1154" i="3" s="1"/>
  <c r="C1154" i="3" s="1"/>
  <c r="B1155" i="3" a="1"/>
  <c r="B1155" i="3" s="1"/>
  <c r="C1155" i="3" s="1"/>
  <c r="B1156" i="3" a="1"/>
  <c r="B1156" i="3" s="1"/>
  <c r="C1156" i="3" s="1"/>
  <c r="B1157" i="3" a="1"/>
  <c r="B1157" i="3" s="1"/>
  <c r="C1157" i="3" s="1"/>
  <c r="B1158" i="3" a="1"/>
  <c r="B1158" i="3" s="1"/>
  <c r="C1158" i="3" s="1"/>
  <c r="B1159" i="3" a="1"/>
  <c r="B1159" i="3" s="1"/>
  <c r="C1159" i="3" s="1"/>
  <c r="B1160" i="3" a="1"/>
  <c r="B1160" i="3" s="1"/>
  <c r="C1160" i="3" s="1"/>
  <c r="B1161" i="3" a="1"/>
  <c r="B1161" i="3" s="1"/>
  <c r="C1161" i="3" s="1"/>
  <c r="B1162" i="3" a="1"/>
  <c r="B1162" i="3" s="1"/>
  <c r="C1162" i="3" s="1"/>
  <c r="B1163" i="3" a="1"/>
  <c r="B1163" i="3" s="1"/>
  <c r="C1163" i="3" s="1"/>
  <c r="B1164" i="3" a="1"/>
  <c r="B1164" i="3" s="1"/>
  <c r="C1164" i="3" s="1"/>
  <c r="B1165" i="3" a="1"/>
  <c r="B1165" i="3" s="1"/>
  <c r="C1165" i="3" s="1"/>
  <c r="B1166" i="3" a="1"/>
  <c r="B1166" i="3" s="1"/>
  <c r="C1166" i="3" s="1"/>
  <c r="B1167" i="3" a="1"/>
  <c r="B1167" i="3" s="1"/>
  <c r="C1167" i="3" s="1"/>
  <c r="B1168" i="3" a="1"/>
  <c r="B1168" i="3" s="1"/>
  <c r="C1168" i="3" s="1"/>
  <c r="B1169" i="3" a="1"/>
  <c r="B1169" i="3" s="1"/>
  <c r="C1169" i="3" s="1"/>
  <c r="B1170" i="3" a="1"/>
  <c r="B1170" i="3" s="1"/>
  <c r="C1170" i="3" s="1"/>
  <c r="B1171" i="3" a="1"/>
  <c r="B1171" i="3" s="1"/>
  <c r="C1171" i="3" s="1"/>
  <c r="B1172" i="3" a="1"/>
  <c r="B1172" i="3" s="1"/>
  <c r="C1172" i="3" s="1"/>
  <c r="B1173" i="3" a="1"/>
  <c r="B1173" i="3" s="1"/>
  <c r="C1173" i="3" s="1"/>
  <c r="B1174" i="3" a="1"/>
  <c r="B1174" i="3" s="1"/>
  <c r="C1174" i="3" s="1"/>
  <c r="B1175" i="3" a="1"/>
  <c r="B1175" i="3" s="1"/>
  <c r="C1175" i="3" s="1"/>
  <c r="B1176" i="3" a="1"/>
  <c r="B1176" i="3" s="1"/>
  <c r="C1176" i="3" s="1"/>
  <c r="B1177" i="3" a="1"/>
  <c r="B1177" i="3" s="1"/>
  <c r="C1177" i="3" s="1"/>
  <c r="B1178" i="3" a="1"/>
  <c r="B1178" i="3" s="1"/>
  <c r="C1178" i="3" s="1"/>
  <c r="B1179" i="3" a="1"/>
  <c r="B1179" i="3" s="1"/>
  <c r="C1179" i="3" s="1"/>
  <c r="B1180" i="3" a="1"/>
  <c r="B1180" i="3" s="1"/>
  <c r="C1180" i="3" s="1"/>
  <c r="B1181" i="3" a="1"/>
  <c r="B1181" i="3" s="1"/>
  <c r="C1181" i="3" s="1"/>
  <c r="B1182" i="3" a="1"/>
  <c r="B1182" i="3" s="1"/>
  <c r="C1182" i="3" s="1"/>
  <c r="B1183" i="3" a="1"/>
  <c r="B1183" i="3" s="1"/>
  <c r="C1183" i="3" s="1"/>
  <c r="B1184" i="3" a="1"/>
  <c r="B1184" i="3" s="1"/>
  <c r="C1184" i="3" s="1"/>
  <c r="B1185" i="3" a="1"/>
  <c r="B1185" i="3"/>
  <c r="C1185" i="3" s="1"/>
  <c r="B1186" i="3" a="1"/>
  <c r="B1186" i="3" s="1"/>
  <c r="C1186" i="3" s="1"/>
  <c r="B1187" i="3" a="1"/>
  <c r="B1187" i="3" s="1"/>
  <c r="C1187" i="3" s="1"/>
  <c r="B1188" i="3" a="1"/>
  <c r="B1188" i="3" s="1"/>
  <c r="C1188" i="3" s="1"/>
  <c r="B1189" i="3" a="1"/>
  <c r="B1189" i="3" s="1"/>
  <c r="C1189" i="3" s="1"/>
  <c r="B1190" i="3" a="1"/>
  <c r="B1190" i="3"/>
  <c r="C1190" i="3" s="1"/>
  <c r="B1191" i="3" a="1"/>
  <c r="B1191" i="3" s="1"/>
  <c r="C1191" i="3" s="1"/>
  <c r="B1192" i="3" a="1"/>
  <c r="B1192" i="3" s="1"/>
  <c r="C1192" i="3" s="1"/>
  <c r="B1193" i="3" a="1"/>
  <c r="B1193" i="3" s="1"/>
  <c r="C1193" i="3" s="1"/>
  <c r="B1194" i="3" a="1"/>
  <c r="B1194" i="3" s="1"/>
  <c r="C1194" i="3" s="1"/>
  <c r="B1195" i="3" a="1"/>
  <c r="B1195" i="3" s="1"/>
  <c r="C1195" i="3" s="1"/>
  <c r="B1196" i="3" a="1"/>
  <c r="B1196" i="3" s="1"/>
  <c r="C1196" i="3" s="1"/>
  <c r="B1197" i="3" a="1"/>
  <c r="B1197" i="3" s="1"/>
  <c r="C1197" i="3" s="1"/>
  <c r="B1198" i="3" a="1"/>
  <c r="B1198" i="3" s="1"/>
  <c r="C1198" i="3" s="1"/>
  <c r="B1199" i="3" a="1"/>
  <c r="B1199" i="3" s="1"/>
  <c r="C1199" i="3" s="1"/>
  <c r="B1200" i="3" a="1"/>
  <c r="B1200" i="3" s="1"/>
  <c r="C1200" i="3" s="1"/>
  <c r="B1201" i="3" a="1"/>
  <c r="B1201" i="3" s="1"/>
  <c r="C1201" i="3" s="1"/>
  <c r="B1202" i="3" a="1"/>
  <c r="B1202" i="3" s="1"/>
  <c r="C1202" i="3" s="1"/>
  <c r="B1203" i="3" a="1"/>
  <c r="B1203" i="3" s="1"/>
  <c r="C1203" i="3" s="1"/>
  <c r="B1204" i="3" a="1"/>
  <c r="B1204" i="3" s="1"/>
  <c r="C1204" i="3" s="1"/>
  <c r="B1205" i="3" a="1"/>
  <c r="B1205" i="3" s="1"/>
  <c r="C1205" i="3" s="1"/>
  <c r="B1206" i="3" a="1"/>
  <c r="B1206" i="3" s="1"/>
  <c r="C1206" i="3" s="1"/>
  <c r="B1207" i="3" a="1"/>
  <c r="B1207" i="3" s="1"/>
  <c r="C1207" i="3" s="1"/>
  <c r="B1208" i="3" a="1"/>
  <c r="B1208" i="3" s="1"/>
  <c r="C1208" i="3" s="1"/>
  <c r="B1209" i="3" a="1"/>
  <c r="B1209" i="3" s="1"/>
  <c r="C1209" i="3" s="1"/>
  <c r="B1210" i="3" a="1"/>
  <c r="B1210" i="3" s="1"/>
  <c r="C1210" i="3" s="1"/>
  <c r="B1211" i="3" a="1"/>
  <c r="B1211" i="3" s="1"/>
  <c r="C1211" i="3" s="1"/>
  <c r="B1212" i="3" a="1"/>
  <c r="B1212" i="3" s="1"/>
  <c r="C1212" i="3" s="1"/>
  <c r="B1213" i="3" a="1"/>
  <c r="B1213" i="3" s="1"/>
  <c r="C1213" i="3" s="1"/>
  <c r="B1214" i="3" a="1"/>
  <c r="B1214" i="3" s="1"/>
  <c r="C1214" i="3" s="1"/>
  <c r="B1215" i="3" a="1"/>
  <c r="B1215" i="3" s="1"/>
  <c r="C1215" i="3" s="1"/>
  <c r="B1216" i="3" a="1"/>
  <c r="B1216" i="3" s="1"/>
  <c r="C1216" i="3" s="1"/>
  <c r="B1217" i="3" a="1"/>
  <c r="B1217" i="3" s="1"/>
  <c r="C1217" i="3" s="1"/>
  <c r="B1218" i="3" a="1"/>
  <c r="B1218" i="3" s="1"/>
  <c r="C1218" i="3" s="1"/>
  <c r="B1219" i="3" a="1"/>
  <c r="B1219" i="3" s="1"/>
  <c r="C1219" i="3" s="1"/>
  <c r="B1220" i="3" a="1"/>
  <c r="B1220" i="3" s="1"/>
  <c r="C1220" i="3" s="1"/>
  <c r="B1221" i="3" a="1"/>
  <c r="B1221" i="3" s="1"/>
  <c r="C1221" i="3" s="1"/>
  <c r="B1222" i="3" a="1"/>
  <c r="B1222" i="3" s="1"/>
  <c r="C1222" i="3" s="1"/>
  <c r="B1223" i="3" a="1"/>
  <c r="B1223" i="3" s="1"/>
  <c r="C1223" i="3" s="1"/>
  <c r="B1224" i="3" a="1"/>
  <c r="B1224" i="3" s="1"/>
  <c r="C1224" i="3" s="1"/>
  <c r="B1225" i="3" a="1"/>
  <c r="B1225" i="3" s="1"/>
  <c r="C1225" i="3" s="1"/>
  <c r="B1226" i="3" a="1"/>
  <c r="B1226" i="3" s="1"/>
  <c r="C1226" i="3" s="1"/>
  <c r="B1227" i="3" a="1"/>
  <c r="B1227" i="3" s="1"/>
  <c r="C1227" i="3" s="1"/>
  <c r="B1228" i="3" a="1"/>
  <c r="B1228" i="3" s="1"/>
  <c r="C1228" i="3" s="1"/>
  <c r="B1229" i="3" a="1"/>
  <c r="B1229" i="3" s="1"/>
  <c r="C1229" i="3" s="1"/>
  <c r="B1230" i="3" a="1"/>
  <c r="B1230" i="3" s="1"/>
  <c r="C1230" i="3" s="1"/>
  <c r="B1231" i="3" a="1"/>
  <c r="B1231" i="3" s="1"/>
  <c r="C1231" i="3" s="1"/>
  <c r="B1232" i="3" a="1"/>
  <c r="B1232" i="3" s="1"/>
  <c r="C1232" i="3" s="1"/>
  <c r="B1233" i="3" a="1"/>
  <c r="B1233" i="3" s="1"/>
  <c r="C1233" i="3" s="1"/>
  <c r="B1234" i="3" a="1"/>
  <c r="B1234" i="3" s="1"/>
  <c r="C1234" i="3" s="1"/>
  <c r="B1235" i="3" a="1"/>
  <c r="B1235" i="3" s="1"/>
  <c r="C1235" i="3" s="1"/>
  <c r="B1236" i="3" a="1"/>
  <c r="B1236" i="3" s="1"/>
  <c r="C1236" i="3" s="1"/>
  <c r="B1237" i="3" a="1"/>
  <c r="B1237" i="3" s="1"/>
  <c r="C1237" i="3" s="1"/>
  <c r="B1238" i="3" a="1"/>
  <c r="B1238" i="3" s="1"/>
  <c r="C1238" i="3" s="1"/>
  <c r="B1239" i="3" a="1"/>
  <c r="B1239" i="3" s="1"/>
  <c r="C1239" i="3" s="1"/>
  <c r="B1240" i="3" a="1"/>
  <c r="B1240" i="3" s="1"/>
  <c r="C1240" i="3" s="1"/>
  <c r="B1241" i="3" a="1"/>
  <c r="B1241" i="3" s="1"/>
  <c r="C1241" i="3" s="1"/>
  <c r="B1242" i="3" a="1"/>
  <c r="B1242" i="3" s="1"/>
  <c r="C1242" i="3" s="1"/>
  <c r="B1243" i="3" a="1"/>
  <c r="B1243" i="3" s="1"/>
  <c r="C1243" i="3" s="1"/>
  <c r="B1244" i="3" a="1"/>
  <c r="B1244" i="3" s="1"/>
  <c r="C1244" i="3" s="1"/>
  <c r="B1245" i="3" a="1"/>
  <c r="B1245" i="3" s="1"/>
  <c r="C1245" i="3" s="1"/>
  <c r="B1246" i="3" a="1"/>
  <c r="B1246" i="3" s="1"/>
  <c r="C1246" i="3" s="1"/>
  <c r="B1247" i="3" a="1"/>
  <c r="B1247" i="3"/>
  <c r="C1247" i="3" s="1"/>
  <c r="B1248" i="3" a="1"/>
  <c r="B1248" i="3" s="1"/>
  <c r="C1248" i="3" s="1"/>
  <c r="B1249" i="3" a="1"/>
  <c r="B1249" i="3" s="1"/>
  <c r="C1249" i="3" s="1"/>
  <c r="B1250" i="3" a="1"/>
  <c r="B1250" i="3" s="1"/>
  <c r="C1250" i="3" s="1"/>
  <c r="B1251" i="3" a="1"/>
  <c r="B1251" i="3" s="1"/>
  <c r="C1251" i="3" s="1"/>
  <c r="B1252" i="3" a="1"/>
  <c r="B1252" i="3" s="1"/>
  <c r="C1252" i="3" s="1"/>
  <c r="B1253" i="3" a="1"/>
  <c r="B1253" i="3" s="1"/>
  <c r="C1253" i="3" s="1"/>
  <c r="B1254" i="3" a="1"/>
  <c r="B1254" i="3" s="1"/>
  <c r="C1254" i="3" s="1"/>
  <c r="B1255" i="3" a="1"/>
  <c r="B1255" i="3" s="1"/>
  <c r="C1255" i="3" s="1"/>
  <c r="B1256" i="3" a="1"/>
  <c r="B1256" i="3" s="1"/>
  <c r="C1256" i="3" s="1"/>
  <c r="B1257" i="3" a="1"/>
  <c r="B1257" i="3" s="1"/>
  <c r="C1257" i="3" s="1"/>
  <c r="B1258" i="3" a="1"/>
  <c r="B1258" i="3" s="1"/>
  <c r="C1258" i="3" s="1"/>
  <c r="B1259" i="3" a="1"/>
  <c r="B1259" i="3" s="1"/>
  <c r="C1259" i="3" s="1"/>
  <c r="B1260" i="3" a="1"/>
  <c r="B1260" i="3" s="1"/>
  <c r="C1260" i="3" s="1"/>
  <c r="B1261" i="3" a="1"/>
  <c r="B1261" i="3" s="1"/>
  <c r="C1261" i="3" s="1"/>
  <c r="B1262" i="3" a="1"/>
  <c r="B1262" i="3" s="1"/>
  <c r="C1262" i="3" s="1"/>
  <c r="B1263" i="3" a="1"/>
  <c r="B1263" i="3" s="1"/>
  <c r="C1263" i="3" s="1"/>
  <c r="B1264" i="3" a="1"/>
  <c r="B1264" i="3" s="1"/>
  <c r="C1264" i="3" s="1"/>
  <c r="B1265" i="3" a="1"/>
  <c r="B1265" i="3" s="1"/>
  <c r="C1265" i="3" s="1"/>
  <c r="B1266" i="3" a="1"/>
  <c r="B1266" i="3" s="1"/>
  <c r="C1266" i="3" s="1"/>
  <c r="B1267" i="3" a="1"/>
  <c r="B1267" i="3" s="1"/>
  <c r="C1267" i="3" s="1"/>
  <c r="B1268" i="3" a="1"/>
  <c r="B1268" i="3" s="1"/>
  <c r="C1268" i="3" s="1"/>
  <c r="B1269" i="3" a="1"/>
  <c r="B1269" i="3"/>
  <c r="C1269" i="3" s="1"/>
  <c r="B1270" i="3" a="1"/>
  <c r="B1270" i="3" s="1"/>
  <c r="C1270" i="3" s="1"/>
  <c r="B1271" i="3" a="1"/>
  <c r="B1271" i="3" s="1"/>
  <c r="C1271" i="3" s="1"/>
  <c r="B1272" i="3" a="1"/>
  <c r="B1272" i="3" s="1"/>
  <c r="C1272" i="3" s="1"/>
  <c r="B1273" i="3" a="1"/>
  <c r="B1273" i="3" s="1"/>
  <c r="C1273" i="3" s="1"/>
  <c r="B1274" i="3" a="1"/>
  <c r="B1274" i="3" s="1"/>
  <c r="C1274" i="3" s="1"/>
  <c r="B1275" i="3" a="1"/>
  <c r="B1275" i="3" s="1"/>
  <c r="C1275" i="3" s="1"/>
  <c r="B1276" i="3" a="1"/>
  <c r="B1276" i="3" s="1"/>
  <c r="C1276" i="3" s="1"/>
  <c r="B1277" i="3" a="1"/>
  <c r="B1277" i="3" s="1"/>
  <c r="C1277" i="3" s="1"/>
  <c r="B1278" i="3" a="1"/>
  <c r="B1278" i="3" s="1"/>
  <c r="C1278" i="3" s="1"/>
  <c r="B1279" i="3" a="1"/>
  <c r="B1279" i="3" s="1"/>
  <c r="C1279" i="3" s="1"/>
  <c r="B1280" i="3" a="1"/>
  <c r="B1280" i="3" s="1"/>
  <c r="C1280" i="3" s="1"/>
  <c r="B1281" i="3" a="1"/>
  <c r="B1281" i="3" s="1"/>
  <c r="C1281" i="3" s="1"/>
  <c r="B1282" i="3" a="1"/>
  <c r="B1282" i="3" s="1"/>
  <c r="C1282" i="3" s="1"/>
  <c r="B1283" i="3" a="1"/>
  <c r="B1283" i="3" s="1"/>
  <c r="C1283" i="3" s="1"/>
  <c r="B1284" i="3" a="1"/>
  <c r="B1284" i="3" s="1"/>
  <c r="C1284" i="3" s="1"/>
  <c r="B1285" i="3" a="1"/>
  <c r="B1285" i="3" s="1"/>
  <c r="C1285" i="3" s="1"/>
  <c r="B1286" i="3" a="1"/>
  <c r="B1286" i="3" s="1"/>
  <c r="C1286" i="3" s="1"/>
  <c r="B1287" i="3" a="1"/>
  <c r="B1287" i="3"/>
  <c r="C1287" i="3" s="1"/>
  <c r="B1288" i="3" a="1"/>
  <c r="B1288" i="3" s="1"/>
  <c r="C1288" i="3" s="1"/>
  <c r="B1289" i="3" a="1"/>
  <c r="B1289" i="3" s="1"/>
  <c r="C1289" i="3" s="1"/>
  <c r="B1290" i="3" a="1"/>
  <c r="B1290" i="3" s="1"/>
  <c r="C1290" i="3" s="1"/>
  <c r="B1291" i="3" a="1"/>
  <c r="B1291" i="3" s="1"/>
  <c r="C1291" i="3" s="1"/>
  <c r="B1292" i="3" a="1"/>
  <c r="B1292" i="3" s="1"/>
  <c r="C1292" i="3" s="1"/>
  <c r="B1293" i="3" a="1"/>
  <c r="B1293" i="3" s="1"/>
  <c r="C1293" i="3" s="1"/>
  <c r="B1294" i="3" a="1"/>
  <c r="B1294" i="3" s="1"/>
  <c r="C1294" i="3" s="1"/>
  <c r="B1295" i="3" a="1"/>
  <c r="B1295" i="3" s="1"/>
  <c r="C1295" i="3" s="1"/>
  <c r="B1296" i="3" a="1"/>
  <c r="B1296" i="3" s="1"/>
  <c r="C1296" i="3" s="1"/>
  <c r="B1297" i="3" a="1"/>
  <c r="B1297" i="3" s="1"/>
  <c r="C1297" i="3" s="1"/>
  <c r="B1298" i="3" a="1"/>
  <c r="B1298" i="3" s="1"/>
  <c r="C1298" i="3" s="1"/>
  <c r="B1299" i="3" a="1"/>
  <c r="B1299" i="3" s="1"/>
  <c r="C1299" i="3" s="1"/>
  <c r="B1300" i="3" a="1"/>
  <c r="B1300" i="3" s="1"/>
  <c r="C1300" i="3" s="1"/>
  <c r="B1301" i="3" a="1"/>
  <c r="B1301" i="3" s="1"/>
  <c r="C1301" i="3" s="1"/>
  <c r="B1302" i="3" a="1"/>
  <c r="B1302" i="3" s="1"/>
  <c r="C1302" i="3" s="1"/>
  <c r="B1303" i="3" a="1"/>
  <c r="B1303" i="3" s="1"/>
  <c r="C1303" i="3" s="1"/>
  <c r="B1304" i="3" a="1"/>
  <c r="B1304" i="3" s="1"/>
  <c r="C1304" i="3" s="1"/>
  <c r="B1305" i="3" a="1"/>
  <c r="B1305" i="3" s="1"/>
  <c r="C1305" i="3" s="1"/>
  <c r="B1306" i="3" a="1"/>
  <c r="B1306" i="3" s="1"/>
  <c r="C1306" i="3" s="1"/>
  <c r="B1307" i="3" a="1"/>
  <c r="B1307" i="3" s="1"/>
  <c r="C1307" i="3" s="1"/>
  <c r="B1308" i="3" a="1"/>
  <c r="B1308" i="3" s="1"/>
  <c r="C1308" i="3" s="1"/>
  <c r="B1309" i="3" a="1"/>
  <c r="B1309" i="3" s="1"/>
  <c r="C1309" i="3" s="1"/>
  <c r="B1310" i="3" a="1"/>
  <c r="B1310" i="3"/>
  <c r="C1310" i="3" s="1"/>
  <c r="B1311" i="3" a="1"/>
  <c r="B1311" i="3" s="1"/>
  <c r="C1311" i="3" s="1"/>
  <c r="B1312" i="3" a="1"/>
  <c r="B1312" i="3" s="1"/>
  <c r="C1312" i="3" s="1"/>
  <c r="B1313" i="3" a="1"/>
  <c r="B1313" i="3"/>
  <c r="C1313" i="3" s="1"/>
  <c r="B1314" i="3" a="1"/>
  <c r="B1314" i="3" s="1"/>
  <c r="C1314" i="3" s="1"/>
  <c r="B1315" i="3" a="1"/>
  <c r="B1315" i="3" s="1"/>
  <c r="C1315" i="3" s="1"/>
  <c r="B1316" i="3" a="1"/>
  <c r="B1316" i="3" s="1"/>
  <c r="C1316" i="3" s="1"/>
  <c r="B1317" i="3" a="1"/>
  <c r="B1317" i="3" s="1"/>
  <c r="C1317" i="3" s="1"/>
  <c r="B1318" i="3" a="1"/>
  <c r="B1318" i="3" s="1"/>
  <c r="C1318" i="3" s="1"/>
  <c r="B1319" i="3" a="1"/>
  <c r="B1319" i="3" s="1"/>
  <c r="C1319" i="3" s="1"/>
  <c r="B1320" i="3" a="1"/>
  <c r="B1320" i="3" s="1"/>
  <c r="C1320" i="3" s="1"/>
  <c r="B1321" i="3" a="1"/>
  <c r="B1321" i="3" s="1"/>
  <c r="C1321" i="3" s="1"/>
  <c r="B1322" i="3" a="1"/>
  <c r="B1322" i="3" s="1"/>
  <c r="C1322" i="3" s="1"/>
  <c r="B1323" i="3" a="1"/>
  <c r="B1323" i="3" s="1"/>
  <c r="C1323" i="3" s="1"/>
  <c r="B1324" i="3" a="1"/>
  <c r="B1324" i="3" s="1"/>
  <c r="C1324" i="3" s="1"/>
  <c r="B1325" i="3" a="1"/>
  <c r="B1325" i="3" s="1"/>
  <c r="C1325" i="3" s="1"/>
  <c r="B1326" i="3" a="1"/>
  <c r="B1326" i="3" s="1"/>
  <c r="C1326" i="3" s="1"/>
  <c r="B1327" i="3" a="1"/>
  <c r="B1327" i="3" s="1"/>
  <c r="C1327" i="3" s="1"/>
  <c r="B1328" i="3" a="1"/>
  <c r="B1328" i="3" s="1"/>
  <c r="C1328" i="3" s="1"/>
  <c r="B1329" i="3" a="1"/>
  <c r="B1329" i="3" s="1"/>
  <c r="C1329" i="3" s="1"/>
  <c r="B1330" i="3" a="1"/>
  <c r="B1330" i="3" s="1"/>
  <c r="C1330" i="3" s="1"/>
  <c r="B1331" i="3" a="1"/>
  <c r="B1331" i="3" s="1"/>
  <c r="C1331" i="3" s="1"/>
  <c r="B1332" i="3" a="1"/>
  <c r="B1332" i="3" s="1"/>
  <c r="C1332" i="3" s="1"/>
  <c r="B1333" i="3" a="1"/>
  <c r="B1333" i="3"/>
  <c r="C1333" i="3" s="1"/>
  <c r="B1334" i="3" a="1"/>
  <c r="B1334" i="3" s="1"/>
  <c r="C1334" i="3" s="1"/>
  <c r="B1335" i="3" a="1"/>
  <c r="B1335" i="3" s="1"/>
  <c r="C1335" i="3" s="1"/>
  <c r="B1336" i="3" a="1"/>
  <c r="B1336" i="3" s="1"/>
  <c r="C1336" i="3" s="1"/>
  <c r="B1337" i="3" a="1"/>
  <c r="B1337" i="3" s="1"/>
  <c r="C1337" i="3" s="1"/>
  <c r="B1338" i="3" a="1"/>
  <c r="B1338" i="3" s="1"/>
  <c r="C1338" i="3" s="1"/>
  <c r="B1339" i="3" a="1"/>
  <c r="B1339" i="3" s="1"/>
  <c r="C1339" i="3" s="1"/>
  <c r="B1340" i="3" a="1"/>
  <c r="B1340" i="3" s="1"/>
  <c r="C1340" i="3" s="1"/>
  <c r="B1341" i="3" a="1"/>
  <c r="B1341" i="3" s="1"/>
  <c r="C1341" i="3" s="1"/>
  <c r="B1342" i="3" a="1"/>
  <c r="B1342" i="3" s="1"/>
  <c r="C1342" i="3" s="1"/>
  <c r="B1343" i="3" a="1"/>
  <c r="B1343" i="3" s="1"/>
  <c r="C1343" i="3" s="1"/>
  <c r="B1344" i="3" a="1"/>
  <c r="B1344" i="3" s="1"/>
  <c r="C1344" i="3" s="1"/>
  <c r="B1345" i="3" a="1"/>
  <c r="B1345" i="3" s="1"/>
  <c r="C1345" i="3" s="1"/>
  <c r="B1346" i="3" a="1"/>
  <c r="B1346" i="3" s="1"/>
  <c r="C1346" i="3" s="1"/>
  <c r="B1347" i="3" a="1"/>
  <c r="B1347" i="3" s="1"/>
  <c r="C1347" i="3" s="1"/>
  <c r="B1348" i="3" a="1"/>
  <c r="B1348" i="3" s="1"/>
  <c r="C1348" i="3" s="1"/>
  <c r="B1349" i="3" a="1"/>
  <c r="B1349" i="3" s="1"/>
  <c r="C1349" i="3" s="1"/>
  <c r="B1350" i="3" a="1"/>
  <c r="B1350" i="3" s="1"/>
  <c r="C1350" i="3" s="1"/>
  <c r="B1351" i="3" a="1"/>
  <c r="B1351" i="3" s="1"/>
  <c r="C1351" i="3" s="1"/>
  <c r="B1352" i="3" a="1"/>
  <c r="B1352" i="3" s="1"/>
  <c r="C1352" i="3" s="1"/>
  <c r="B1353" i="3" a="1"/>
  <c r="B1353" i="3" s="1"/>
  <c r="C1353" i="3" s="1"/>
  <c r="B1354" i="3" a="1"/>
  <c r="B1354" i="3" s="1"/>
  <c r="C1354" i="3" s="1"/>
  <c r="B1355" i="3" a="1"/>
  <c r="B1355" i="3" s="1"/>
  <c r="C1355" i="3" s="1"/>
  <c r="B1356" i="3" a="1"/>
  <c r="B1356" i="3" s="1"/>
  <c r="C1356" i="3" s="1"/>
  <c r="B1357" i="3" a="1"/>
  <c r="B1357" i="3" s="1"/>
  <c r="C1357" i="3" s="1"/>
  <c r="B1358" i="3" a="1"/>
  <c r="B1358" i="3" s="1"/>
  <c r="C1358" i="3" s="1"/>
  <c r="B1359" i="3" a="1"/>
  <c r="B1359" i="3" s="1"/>
  <c r="C1359" i="3" s="1"/>
  <c r="B1360" i="3" a="1"/>
  <c r="B1360" i="3" s="1"/>
  <c r="C1360" i="3" s="1"/>
  <c r="B1361" i="3" a="1"/>
  <c r="B1361" i="3" s="1"/>
  <c r="C1361" i="3" s="1"/>
  <c r="B1362" i="3" a="1"/>
  <c r="B1362" i="3" s="1"/>
  <c r="C1362" i="3" s="1"/>
  <c r="B1363" i="3" a="1"/>
  <c r="B1363" i="3"/>
  <c r="C1363" i="3" s="1"/>
  <c r="B1364" i="3" a="1"/>
  <c r="B1364" i="3" s="1"/>
  <c r="C1364" i="3" s="1"/>
  <c r="B1365" i="3" a="1"/>
  <c r="B1365" i="3"/>
  <c r="C1365" i="3" s="1"/>
  <c r="B1366" i="3" a="1"/>
  <c r="B1366" i="3" s="1"/>
  <c r="C1366" i="3" s="1"/>
  <c r="B1367" i="3" a="1"/>
  <c r="B1367" i="3" s="1"/>
  <c r="C1367" i="3" s="1"/>
  <c r="B1368" i="3" a="1"/>
  <c r="B1368" i="3" s="1"/>
  <c r="C1368" i="3" s="1"/>
  <c r="B1369" i="3" a="1"/>
  <c r="B1369" i="3" s="1"/>
  <c r="C1369" i="3" s="1"/>
  <c r="B1370" i="3" a="1"/>
  <c r="B1370" i="3" s="1"/>
  <c r="C1370" i="3" s="1"/>
  <c r="B1371" i="3" a="1"/>
  <c r="B1371" i="3" s="1"/>
  <c r="C1371" i="3" s="1"/>
  <c r="B1372" i="3" a="1"/>
  <c r="B1372" i="3" s="1"/>
  <c r="C1372" i="3" s="1"/>
  <c r="B1373" i="3" a="1"/>
  <c r="B1373" i="3" s="1"/>
  <c r="C1373" i="3" s="1"/>
  <c r="B1374" i="3" a="1"/>
  <c r="B1374" i="3" s="1"/>
  <c r="C1374" i="3" s="1"/>
  <c r="B1375" i="3" a="1"/>
  <c r="B1375" i="3" s="1"/>
  <c r="C1375" i="3" s="1"/>
  <c r="B1376" i="3" a="1"/>
  <c r="B1376" i="3" s="1"/>
  <c r="C1376" i="3" s="1"/>
  <c r="B1377" i="3" a="1"/>
  <c r="B1377" i="3" s="1"/>
  <c r="C1377" i="3" s="1"/>
  <c r="B1378" i="3" a="1"/>
  <c r="B1378" i="3"/>
  <c r="C1378" i="3" s="1"/>
  <c r="B1379" i="3" a="1"/>
  <c r="B1379" i="3" s="1"/>
  <c r="C1379" i="3" s="1"/>
  <c r="B1380" i="3" a="1"/>
  <c r="B1380" i="3" s="1"/>
  <c r="C1380" i="3" s="1"/>
  <c r="B1381" i="3" a="1"/>
  <c r="B1381" i="3" s="1"/>
  <c r="C1381" i="3" s="1"/>
  <c r="B1382" i="3" a="1"/>
  <c r="B1382" i="3" s="1"/>
  <c r="C1382" i="3" s="1"/>
  <c r="B1383" i="3" a="1"/>
  <c r="B1383" i="3" s="1"/>
  <c r="C1383" i="3" s="1"/>
  <c r="B1384" i="3" a="1"/>
  <c r="B1384" i="3" s="1"/>
  <c r="C1384" i="3" s="1"/>
  <c r="B1385" i="3" a="1"/>
  <c r="B1385" i="3" s="1"/>
  <c r="C1385" i="3" s="1"/>
  <c r="B1386" i="3" a="1"/>
  <c r="B1386" i="3" s="1"/>
  <c r="C1386" i="3" s="1"/>
  <c r="B1387" i="3" a="1"/>
  <c r="B1387" i="3" s="1"/>
  <c r="C1387" i="3" s="1"/>
  <c r="B1388" i="3" a="1"/>
  <c r="B1388" i="3" s="1"/>
  <c r="C1388" i="3" s="1"/>
  <c r="B1389" i="3" a="1"/>
  <c r="B1389" i="3" s="1"/>
  <c r="C1389" i="3" s="1"/>
  <c r="B1390" i="3" a="1"/>
  <c r="B1390" i="3" s="1"/>
  <c r="C1390" i="3" s="1"/>
  <c r="B1391" i="3" a="1"/>
  <c r="B1391" i="3" s="1"/>
  <c r="C1391" i="3" s="1"/>
  <c r="B1392" i="3" a="1"/>
  <c r="B1392" i="3" s="1"/>
  <c r="C1392" i="3" s="1"/>
  <c r="B1393" i="3" a="1"/>
  <c r="B1393" i="3" s="1"/>
  <c r="C1393" i="3" s="1"/>
  <c r="B1394" i="3" a="1"/>
  <c r="B1394" i="3" s="1"/>
  <c r="C1394" i="3" s="1"/>
  <c r="B1395" i="3" a="1"/>
  <c r="B1395" i="3"/>
  <c r="C1395" i="3" s="1"/>
  <c r="B1396" i="3" a="1"/>
  <c r="B1396" i="3" s="1"/>
  <c r="C1396" i="3" s="1"/>
  <c r="B1397" i="3" a="1"/>
  <c r="B1397" i="3" s="1"/>
  <c r="C1397" i="3" s="1"/>
  <c r="B1398" i="3" a="1"/>
  <c r="B1398" i="3" s="1"/>
  <c r="C1398" i="3" s="1"/>
  <c r="B1399" i="3" a="1"/>
  <c r="B1399" i="3" s="1"/>
  <c r="C1399" i="3" s="1"/>
  <c r="B1400" i="3" a="1"/>
  <c r="B1400" i="3" s="1"/>
  <c r="C1400" i="3" s="1"/>
  <c r="B1401" i="3" a="1"/>
  <c r="B1401" i="3" s="1"/>
  <c r="C1401" i="3" s="1"/>
  <c r="B1402" i="3" a="1"/>
  <c r="B1402" i="3" s="1"/>
  <c r="C1402" i="3" s="1"/>
  <c r="B1403" i="3" a="1"/>
  <c r="B1403" i="3" s="1"/>
  <c r="C1403" i="3" s="1"/>
  <c r="B1404" i="3" a="1"/>
  <c r="B1404" i="3" s="1"/>
  <c r="C1404" i="3" s="1"/>
  <c r="B1405" i="3" a="1"/>
  <c r="B1405" i="3" s="1"/>
  <c r="C1405" i="3" s="1"/>
  <c r="B1406" i="3" a="1"/>
  <c r="B1406" i="3" s="1"/>
  <c r="C1406" i="3" s="1"/>
  <c r="B1407" i="3" a="1"/>
  <c r="B1407" i="3" s="1"/>
  <c r="C1407" i="3" s="1"/>
  <c r="B1408" i="3" a="1"/>
  <c r="B1408" i="3" s="1"/>
  <c r="C1408" i="3" s="1"/>
  <c r="B1409" i="3" a="1"/>
  <c r="B1409" i="3" s="1"/>
  <c r="C1409" i="3" s="1"/>
  <c r="B1410" i="3" a="1"/>
  <c r="B1410" i="3" s="1"/>
  <c r="C1410" i="3" s="1"/>
  <c r="B1411" i="3" a="1"/>
  <c r="B1411" i="3" s="1"/>
  <c r="C1411" i="3" s="1"/>
  <c r="B1412" i="3" a="1"/>
  <c r="B1412" i="3" s="1"/>
  <c r="C1412" i="3" s="1"/>
  <c r="B1413" i="3" a="1"/>
  <c r="B1413" i="3" s="1"/>
  <c r="C1413" i="3" s="1"/>
  <c r="B1414" i="3" a="1"/>
  <c r="B1414" i="3" s="1"/>
  <c r="C1414" i="3" s="1"/>
  <c r="B1415" i="3" a="1"/>
  <c r="B1415" i="3" s="1"/>
  <c r="C1415" i="3" s="1"/>
  <c r="B1416" i="3" a="1"/>
  <c r="B1416" i="3" s="1"/>
  <c r="C1416" i="3" s="1"/>
  <c r="B1417" i="3" a="1"/>
  <c r="B1417" i="3" s="1"/>
  <c r="C1417" i="3" s="1"/>
  <c r="B1418" i="3" a="1"/>
  <c r="B1418" i="3" s="1"/>
  <c r="C1418" i="3" s="1"/>
  <c r="B1419" i="3" a="1"/>
  <c r="B1419" i="3" s="1"/>
  <c r="C1419" i="3" s="1"/>
  <c r="B1420" i="3" a="1"/>
  <c r="B1420" i="3" s="1"/>
  <c r="C1420" i="3" s="1"/>
  <c r="B1421" i="3" a="1"/>
  <c r="B1421" i="3" s="1"/>
  <c r="C1421" i="3" s="1"/>
  <c r="B1422" i="3" a="1"/>
  <c r="B1422" i="3" s="1"/>
  <c r="C1422" i="3" s="1"/>
  <c r="B1423" i="3" a="1"/>
  <c r="B1423" i="3" s="1"/>
  <c r="C1423" i="3" s="1"/>
  <c r="B1424" i="3" a="1"/>
  <c r="B1424" i="3" s="1"/>
  <c r="C1424" i="3" s="1"/>
  <c r="B1425" i="3" a="1"/>
  <c r="B1425" i="3" s="1"/>
  <c r="C1425" i="3" s="1"/>
  <c r="B1426" i="3" a="1"/>
  <c r="B1426" i="3" s="1"/>
  <c r="C1426" i="3" s="1"/>
  <c r="B1427" i="3" a="1"/>
  <c r="B1427" i="3" s="1"/>
  <c r="C1427" i="3" s="1"/>
  <c r="B1428" i="3" a="1"/>
  <c r="B1428" i="3" s="1"/>
  <c r="C1428" i="3" s="1"/>
  <c r="B1429" i="3" a="1"/>
  <c r="B1429" i="3" s="1"/>
  <c r="C1429" i="3" s="1"/>
  <c r="B1430" i="3" a="1"/>
  <c r="B1430" i="3" s="1"/>
  <c r="C1430" i="3" s="1"/>
  <c r="B1431" i="3" a="1"/>
  <c r="B1431" i="3" s="1"/>
  <c r="C1431" i="3" s="1"/>
  <c r="B1432" i="3" a="1"/>
  <c r="B1432" i="3" s="1"/>
  <c r="C1432" i="3" s="1"/>
  <c r="B1433" i="3" a="1"/>
  <c r="B1433" i="3" s="1"/>
  <c r="C1433" i="3" s="1"/>
  <c r="B1434" i="3" a="1"/>
  <c r="B1434" i="3" s="1"/>
  <c r="C1434" i="3" s="1"/>
  <c r="B1435" i="3" a="1"/>
  <c r="B1435" i="3"/>
  <c r="C1435" i="3" s="1"/>
  <c r="B1436" i="3" a="1"/>
  <c r="B1436" i="3" s="1"/>
  <c r="C1436" i="3" s="1"/>
  <c r="B1437" i="3" a="1"/>
  <c r="B1437" i="3" s="1"/>
  <c r="C1437" i="3" s="1"/>
  <c r="B1438" i="3" a="1"/>
  <c r="B1438" i="3" s="1"/>
  <c r="C1438" i="3" s="1"/>
  <c r="B1439" i="3" a="1"/>
  <c r="B1439" i="3" s="1"/>
  <c r="C1439" i="3" s="1"/>
  <c r="B1440" i="3" a="1"/>
  <c r="B1440" i="3" s="1"/>
  <c r="C1440" i="3" s="1"/>
  <c r="B1441" i="3" a="1"/>
  <c r="B1441" i="3" s="1"/>
  <c r="C1441" i="3" s="1"/>
  <c r="B1442" i="3" a="1"/>
  <c r="B1442" i="3" s="1"/>
  <c r="C1442" i="3" s="1"/>
  <c r="B1443" i="3" a="1"/>
  <c r="B1443" i="3" s="1"/>
  <c r="C1443" i="3" s="1"/>
  <c r="B1444" i="3" a="1"/>
  <c r="B1444" i="3" s="1"/>
  <c r="C1444" i="3" s="1"/>
  <c r="B1445" i="3" a="1"/>
  <c r="B1445" i="3" s="1"/>
  <c r="C1445" i="3" s="1"/>
  <c r="B1446" i="3" a="1"/>
  <c r="B1446" i="3" s="1"/>
  <c r="C1446" i="3" s="1"/>
  <c r="B1447" i="3" a="1"/>
  <c r="B1447" i="3" s="1"/>
  <c r="C1447" i="3" s="1"/>
  <c r="B1448" i="3" a="1"/>
  <c r="B1448" i="3" s="1"/>
  <c r="C1448" i="3" s="1"/>
  <c r="B1449" i="3" a="1"/>
  <c r="B1449" i="3" s="1"/>
  <c r="C1449" i="3" s="1"/>
  <c r="B1450" i="3" a="1"/>
  <c r="B1450" i="3" s="1"/>
  <c r="C1450" i="3" s="1"/>
  <c r="B1451" i="3" a="1"/>
  <c r="B1451" i="3" s="1"/>
  <c r="C1451" i="3" s="1"/>
  <c r="B1452" i="3" a="1"/>
  <c r="B1452" i="3" s="1"/>
  <c r="C1452" i="3" s="1"/>
  <c r="B1453" i="3" a="1"/>
  <c r="B1453" i="3" s="1"/>
  <c r="C1453" i="3" s="1"/>
  <c r="B1454" i="3" a="1"/>
  <c r="B1454" i="3" s="1"/>
  <c r="C1454" i="3" s="1"/>
  <c r="B1455" i="3" a="1"/>
  <c r="B1455" i="3" s="1"/>
  <c r="C1455" i="3" s="1"/>
  <c r="B1456" i="3" a="1"/>
  <c r="B1456" i="3" s="1"/>
  <c r="C1456" i="3" s="1"/>
  <c r="B1457" i="3" a="1"/>
  <c r="B1457" i="3" s="1"/>
  <c r="C1457" i="3" s="1"/>
  <c r="B1458" i="3" a="1"/>
  <c r="B1458" i="3" s="1"/>
  <c r="C1458" i="3" s="1"/>
  <c r="B1459" i="3" a="1"/>
  <c r="B1459" i="3" s="1"/>
  <c r="C1459" i="3" s="1"/>
  <c r="B1460" i="3" a="1"/>
  <c r="B1460" i="3" s="1"/>
  <c r="C1460" i="3" s="1"/>
  <c r="B1461" i="3" a="1"/>
  <c r="B1461" i="3" s="1"/>
  <c r="C1461" i="3" s="1"/>
  <c r="B1462" i="3" a="1"/>
  <c r="B1462" i="3" s="1"/>
  <c r="C1462" i="3" s="1"/>
  <c r="B1463" i="3" a="1"/>
  <c r="B1463" i="3" s="1"/>
  <c r="C1463" i="3" s="1"/>
  <c r="B1464" i="3" a="1"/>
  <c r="B1464" i="3" s="1"/>
  <c r="C1464" i="3" s="1"/>
  <c r="B1465" i="3" a="1"/>
  <c r="B1465" i="3" s="1"/>
  <c r="C1465" i="3" s="1"/>
  <c r="B1466" i="3" a="1"/>
  <c r="B1466" i="3" s="1"/>
  <c r="C1466" i="3" s="1"/>
  <c r="B1467" i="3" a="1"/>
  <c r="B1467" i="3" s="1"/>
  <c r="C1467" i="3" s="1"/>
  <c r="B1468" i="3" a="1"/>
  <c r="B1468" i="3" s="1"/>
  <c r="C1468" i="3" s="1"/>
  <c r="B1469" i="3" a="1"/>
  <c r="B1469" i="3" s="1"/>
  <c r="C1469" i="3" s="1"/>
  <c r="B1470" i="3" a="1"/>
  <c r="B1470" i="3" s="1"/>
  <c r="C1470" i="3" s="1"/>
  <c r="B1471" i="3" a="1"/>
  <c r="B1471" i="3" s="1"/>
  <c r="C1471" i="3" s="1"/>
  <c r="B1472" i="3" a="1"/>
  <c r="B1472" i="3" s="1"/>
  <c r="C1472" i="3" s="1"/>
  <c r="B1473" i="3" a="1"/>
  <c r="B1473" i="3" s="1"/>
  <c r="C1473" i="3" s="1"/>
  <c r="B1474" i="3" a="1"/>
  <c r="B1474" i="3" s="1"/>
  <c r="C1474" i="3" s="1"/>
  <c r="B1475" i="3" a="1"/>
  <c r="B1475" i="3" s="1"/>
  <c r="C1475" i="3" s="1"/>
  <c r="B1476" i="3" a="1"/>
  <c r="B1476" i="3" s="1"/>
  <c r="C1476" i="3" s="1"/>
  <c r="B1477" i="3" a="1"/>
  <c r="B1477" i="3" s="1"/>
  <c r="C1477" i="3" s="1"/>
  <c r="B1478" i="3" a="1"/>
  <c r="B1478" i="3" s="1"/>
  <c r="C1478" i="3" s="1"/>
  <c r="B1479" i="3" a="1"/>
  <c r="B1479" i="3" s="1"/>
  <c r="C1479" i="3" s="1"/>
  <c r="B1480" i="3" a="1"/>
  <c r="B1480" i="3" s="1"/>
  <c r="C1480" i="3" s="1"/>
  <c r="B1481" i="3" a="1"/>
  <c r="B1481" i="3" s="1"/>
  <c r="C1481" i="3" s="1"/>
  <c r="B1482" i="3" a="1"/>
  <c r="B1482" i="3" s="1"/>
  <c r="C1482" i="3" s="1"/>
  <c r="B1483" i="3" a="1"/>
  <c r="B1483" i="3"/>
  <c r="C1483" i="3" s="1"/>
  <c r="B1484" i="3" a="1"/>
  <c r="B1484" i="3" s="1"/>
  <c r="C1484" i="3" s="1"/>
  <c r="B1485" i="3" a="1"/>
  <c r="B1485" i="3" s="1"/>
  <c r="C1485" i="3" s="1"/>
  <c r="B1486" i="3" a="1"/>
  <c r="B1486" i="3" s="1"/>
  <c r="C1486" i="3" s="1"/>
  <c r="B1487" i="3" a="1"/>
  <c r="B1487" i="3" s="1"/>
  <c r="C1487" i="3" s="1"/>
  <c r="B1488" i="3" a="1"/>
  <c r="B1488" i="3" s="1"/>
  <c r="C1488" i="3" s="1"/>
  <c r="B1489" i="3" a="1"/>
  <c r="B1489" i="3" s="1"/>
  <c r="C1489" i="3" s="1"/>
  <c r="B1490" i="3" a="1"/>
  <c r="B1490" i="3" s="1"/>
  <c r="C1490" i="3" s="1"/>
  <c r="B1491" i="3" a="1"/>
  <c r="B1491" i="3" s="1"/>
  <c r="C1491" i="3" s="1"/>
  <c r="B1492" i="3" a="1"/>
  <c r="B1492" i="3" s="1"/>
  <c r="C1492" i="3" s="1"/>
  <c r="B1493" i="3" a="1"/>
  <c r="B1493" i="3" s="1"/>
  <c r="C1493" i="3" s="1"/>
  <c r="B1494" i="3" a="1"/>
  <c r="B1494" i="3" s="1"/>
  <c r="C1494" i="3" s="1"/>
  <c r="B1495" i="3" a="1"/>
  <c r="B1495" i="3" s="1"/>
  <c r="C1495" i="3" s="1"/>
  <c r="B1496" i="3" a="1"/>
  <c r="B1496" i="3" s="1"/>
  <c r="C1496" i="3" s="1"/>
  <c r="B1497" i="3" a="1"/>
  <c r="B1497" i="3" s="1"/>
  <c r="C1497" i="3" s="1"/>
  <c r="B1498" i="3" a="1"/>
  <c r="B1498" i="3" s="1"/>
  <c r="C1498" i="3" s="1"/>
  <c r="B1499" i="3" a="1"/>
  <c r="B1499" i="3"/>
  <c r="C1499" i="3" s="1"/>
  <c r="B1500" i="3" a="1"/>
  <c r="B1500" i="3" s="1"/>
  <c r="C1500" i="3" s="1"/>
  <c r="B1501" i="3" a="1"/>
  <c r="B1501" i="3" s="1"/>
  <c r="C1501" i="3" s="1"/>
  <c r="B1502" i="3" a="1"/>
  <c r="B1502" i="3" s="1"/>
  <c r="C1502" i="3" s="1"/>
  <c r="B1503" i="3" a="1"/>
  <c r="B1503" i="3" s="1"/>
  <c r="C1503" i="3" s="1"/>
  <c r="B1504" i="3" a="1"/>
  <c r="B1504" i="3" s="1"/>
  <c r="C1504" i="3" s="1"/>
  <c r="B1505" i="3" a="1"/>
  <c r="B1505" i="3" s="1"/>
  <c r="C1505" i="3" s="1"/>
  <c r="B1506" i="3" a="1"/>
  <c r="B1506" i="3" s="1"/>
  <c r="C1506" i="3" s="1"/>
  <c r="B1507" i="3" a="1"/>
  <c r="B1507" i="3" s="1"/>
  <c r="C1507" i="3" s="1"/>
  <c r="B1508" i="3" a="1"/>
  <c r="B1508" i="3" s="1"/>
  <c r="C1508" i="3" s="1"/>
  <c r="B1509" i="3" a="1"/>
  <c r="B1509" i="3"/>
  <c r="C1509" i="3" s="1"/>
  <c r="B1510" i="3" a="1"/>
  <c r="B1510" i="3" s="1"/>
  <c r="C1510" i="3" s="1"/>
  <c r="B1511" i="3" a="1"/>
  <c r="B1511" i="3" s="1"/>
  <c r="C1511" i="3" s="1"/>
  <c r="B1512" i="3" a="1"/>
  <c r="B1512" i="3" s="1"/>
  <c r="C1512" i="3" s="1"/>
  <c r="B1513" i="3" a="1"/>
  <c r="B1513" i="3" s="1"/>
  <c r="C1513" i="3" s="1"/>
  <c r="B1514" i="3" a="1"/>
  <c r="B1514" i="3" s="1"/>
  <c r="C1514" i="3" s="1"/>
  <c r="B1515" i="3" a="1"/>
  <c r="B1515" i="3" s="1"/>
  <c r="C1515" i="3" s="1"/>
  <c r="B1516" i="3" a="1"/>
  <c r="B1516" i="3" s="1"/>
  <c r="C1516" i="3" s="1"/>
  <c r="B1517" i="3" a="1"/>
  <c r="B1517" i="3" s="1"/>
  <c r="C1517" i="3" s="1"/>
  <c r="B1518" i="3" a="1"/>
  <c r="B1518" i="3" s="1"/>
  <c r="C1518" i="3" s="1"/>
  <c r="B1519" i="3" a="1"/>
  <c r="B1519" i="3" s="1"/>
  <c r="C1519" i="3" s="1"/>
  <c r="B1520" i="3" a="1"/>
  <c r="B1520" i="3" s="1"/>
  <c r="C1520" i="3" s="1"/>
  <c r="B1521" i="3" a="1"/>
  <c r="B1521" i="3" s="1"/>
  <c r="C1521" i="3" s="1"/>
  <c r="B1522" i="3" a="1"/>
  <c r="B1522" i="3" s="1"/>
  <c r="C1522" i="3" s="1"/>
  <c r="B1523" i="3" a="1"/>
  <c r="B1523" i="3" s="1"/>
  <c r="C1523" i="3" s="1"/>
  <c r="B1524" i="3" a="1"/>
  <c r="B1524" i="3" s="1"/>
  <c r="C1524" i="3" s="1"/>
  <c r="B1525" i="3" a="1"/>
  <c r="B1525" i="3" s="1"/>
  <c r="C1525" i="3" s="1"/>
  <c r="B1526" i="3" a="1"/>
  <c r="B1526" i="3" s="1"/>
  <c r="C1526" i="3" s="1"/>
  <c r="B1527" i="3" a="1"/>
  <c r="B1527" i="3" s="1"/>
  <c r="C1527" i="3" s="1"/>
  <c r="B1528" i="3" a="1"/>
  <c r="B1528" i="3" s="1"/>
  <c r="C1528" i="3" s="1"/>
  <c r="B1529" i="3" a="1"/>
  <c r="B1529" i="3" s="1"/>
  <c r="C1529" i="3" s="1"/>
  <c r="B1530" i="3" a="1"/>
  <c r="B1530" i="3" s="1"/>
  <c r="C1530" i="3" s="1"/>
  <c r="B1531" i="3" a="1"/>
  <c r="B1531" i="3"/>
  <c r="C1531" i="3" s="1"/>
  <c r="C1045" i="3" l="1"/>
  <c r="C105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<sst xmlns="http://schemas.openxmlformats.org/spreadsheetml/2006/main" count="24499" uniqueCount="3058">
  <si>
    <t>Healthy</t>
  </si>
  <si>
    <t>Good_food</t>
  </si>
  <si>
    <t>Protein_rich</t>
  </si>
  <si>
    <t>Fibre_rich</t>
  </si>
  <si>
    <t>Sugar</t>
  </si>
  <si>
    <t>Oil</t>
  </si>
  <si>
    <t>Ghee</t>
  </si>
  <si>
    <t>Fried</t>
  </si>
  <si>
    <t>Junk</t>
  </si>
  <si>
    <t>Refined</t>
  </si>
  <si>
    <t>Rating</t>
  </si>
  <si>
    <t>Name</t>
  </si>
  <si>
    <t>Score</t>
  </si>
  <si>
    <t>Category</t>
  </si>
  <si>
    <t>Course</t>
  </si>
  <si>
    <t>Diet</t>
  </si>
  <si>
    <t>Flavor</t>
  </si>
  <si>
    <t>Ingredients</t>
  </si>
  <si>
    <t>Adjust</t>
  </si>
  <si>
    <t>Aloo paratha</t>
  </si>
  <si>
    <t>Breads &amp; Rotis</t>
  </si>
  <si>
    <t>breakfast</t>
  </si>
  <si>
    <t>vegetarian</t>
  </si>
  <si>
    <t>spicy</t>
  </si>
  <si>
    <t>Whole wheat flour, potato, green chilli, butter</t>
  </si>
  <si>
    <t>No</t>
  </si>
  <si>
    <t>Yes</t>
  </si>
  <si>
    <t>Amritsari kulcha</t>
  </si>
  <si>
    <t>main course</t>
  </si>
  <si>
    <t>mild</t>
  </si>
  <si>
    <t>Maida, potato stuffing, butter</t>
  </si>
  <si>
    <t>Appa roti</t>
  </si>
  <si>
    <t>Rice flour roti</t>
  </si>
  <si>
    <t>Bajra roti</t>
  </si>
  <si>
    <t>Pearl millet flour</t>
  </si>
  <si>
    <t>Bajri no rotlo</t>
  </si>
  <si>
    <t>Wheat flour, pearl millet flour, hot water</t>
  </si>
  <si>
    <t>Baqarkhani</t>
  </si>
  <si>
    <t>Maida, ghee, layered</t>
  </si>
  <si>
    <t>Bhakri</t>
  </si>
  <si>
    <t>Jowar flour, sesame seeds</t>
  </si>
  <si>
    <t>Bhakri jowar</t>
  </si>
  <si>
    <t>Sorghum, water</t>
  </si>
  <si>
    <t>Bhatura</t>
  </si>
  <si>
    <t>Chole, rava, yogurt, plain flour, baking soda</t>
  </si>
  <si>
    <t>Butter naan</t>
  </si>
  <si>
    <t>Refined flour, butter, yogurt</t>
  </si>
  <si>
    <t>Butter roti</t>
  </si>
  <si>
    <t>Whole wheat, butter</t>
  </si>
  <si>
    <t>Chapati</t>
  </si>
  <si>
    <t>Whole wheat flour, olive oil, hot water, all purpose flour</t>
  </si>
  <si>
    <t>Chapati with oil</t>
  </si>
  <si>
    <t>Wheat, oil</t>
  </si>
  <si>
    <t>Cheese naan</t>
  </si>
  <si>
    <t>Maida, cheese, butter</t>
  </si>
  <si>
    <t>Daal baati churma</t>
  </si>
  <si>
    <t>Moong dal, masoor dal, chana dal, wheat flour, almond</t>
  </si>
  <si>
    <t>Daal puri</t>
  </si>
  <si>
    <t>Moong dal, garam masala powder, garlic, green chilli, all purpose flour</t>
  </si>
  <si>
    <t>Egg paratha</t>
  </si>
  <si>
    <t>non vegetarian</t>
  </si>
  <si>
    <t>Whole wheat flour, egg, onion, oil</t>
  </si>
  <si>
    <t>Farsi Puri</t>
  </si>
  <si>
    <t>snack</t>
  </si>
  <si>
    <t>Semolina, clarified butter, oil, white flour, black pepper</t>
  </si>
  <si>
    <t>Garlic naan</t>
  </si>
  <si>
    <t>Maida, garlic, butter</t>
  </si>
  <si>
    <t>Gobi paratha</t>
  </si>
  <si>
    <t>Whole wheat flour, cauliflower, green chilli, oil</t>
  </si>
  <si>
    <t>Jowar roti</t>
  </si>
  <si>
    <t>Sorghum flour</t>
  </si>
  <si>
    <t>Keema naan</t>
  </si>
  <si>
    <t>Maida, mutton mince, butter</t>
  </si>
  <si>
    <t>Keema paratha</t>
  </si>
  <si>
    <t>Whole wheat flour, minced mutton, onion, oil</t>
  </si>
  <si>
    <t>Khakhra</t>
  </si>
  <si>
    <t>Whole wheat flour, low fat, bengal gram flour</t>
  </si>
  <si>
    <t>Kulcha</t>
  </si>
  <si>
    <t>Refined flour, yogurt, baking soda, butter</t>
  </si>
  <si>
    <t>Kulcha masala</t>
  </si>
  <si>
    <t>Maida, spices</t>
  </si>
  <si>
    <t>Lachha paratha ghee</t>
  </si>
  <si>
    <t>Wheat, ghee layered</t>
  </si>
  <si>
    <t>Litti chokha</t>
  </si>
  <si>
    <t>Wheat flour, roasted gram flour, tomato, nigella seeds, chilli</t>
  </si>
  <si>
    <t>Makki di roti sarson da saag</t>
  </si>
  <si>
    <t>Palak, makki atta, mustard green, garam masala, ginger</t>
  </si>
  <si>
    <t>Makki roti</t>
  </si>
  <si>
    <t>Corn flour</t>
  </si>
  <si>
    <t>Makki roti with butter</t>
  </si>
  <si>
    <t>Corn flour, white butter</t>
  </si>
  <si>
    <t>Masala poori</t>
  </si>
  <si>
    <t>Wheat, spices, fried</t>
  </si>
  <si>
    <t>Misi roti</t>
  </si>
  <si>
    <t>Whole wheat flour, chickpea flour, green chilies</t>
  </si>
  <si>
    <t>Missi roti with butter</t>
  </si>
  <si>
    <t>Besan, wheat, butter</t>
  </si>
  <si>
    <t>Multigrain bread</t>
  </si>
  <si>
    <t>Mixed grains bread</t>
  </si>
  <si>
    <t>Multigrain roti</t>
  </si>
  <si>
    <t>Mixed grain flour</t>
  </si>
  <si>
    <t>Naan</t>
  </si>
  <si>
    <t>Whole wheat flour, honey, butter, garlic</t>
  </si>
  <si>
    <t>Onion kulcha</t>
  </si>
  <si>
    <t>Maida, onion stuffing</t>
  </si>
  <si>
    <t>Paneer bhatura</t>
  </si>
  <si>
    <t>Maida, paneer stuffing, fried</t>
  </si>
  <si>
    <t>Paneer kulcha</t>
  </si>
  <si>
    <t>Maida, paneer stuffing, butter</t>
  </si>
  <si>
    <t>Paneer paratha</t>
  </si>
  <si>
    <t>Whole wheat flour, paneer, green chilli, butter</t>
  </si>
  <si>
    <t>Paratha</t>
  </si>
  <si>
    <t>Wheat flour, butter, potato, coriander</t>
  </si>
  <si>
    <t>Pathiri</t>
  </si>
  <si>
    <t>Rice flour, coconut</t>
  </si>
  <si>
    <t>Pav bun</t>
  </si>
  <si>
    <t>Soft maida bun</t>
  </si>
  <si>
    <t>Phulka</t>
  </si>
  <si>
    <t>Whole wheat, no oil</t>
  </si>
  <si>
    <t>Pita bread</t>
  </si>
  <si>
    <t>Maida pita</t>
  </si>
  <si>
    <t>Plain kulcha</t>
  </si>
  <si>
    <t>Maida, tandoor</t>
  </si>
  <si>
    <t>Poori</t>
  </si>
  <si>
    <t>Whole wheat, deep fried</t>
  </si>
  <si>
    <t>Puri</t>
  </si>
  <si>
    <t>Whole wheat flour, oil, salt</t>
  </si>
  <si>
    <t>Ragi chapati</t>
  </si>
  <si>
    <t>Finger millet and wheat</t>
  </si>
  <si>
    <t>Ragi mudde with sambar</t>
  </si>
  <si>
    <t>Finger millet ball, sambar</t>
  </si>
  <si>
    <t>Rice roti</t>
  </si>
  <si>
    <t>Rice flour</t>
  </si>
  <si>
    <t>Roomali with butter</t>
  </si>
  <si>
    <t>Maida, butter</t>
  </si>
  <si>
    <t>Roti</t>
  </si>
  <si>
    <t>Whole wheat flour, water, salt</t>
  </si>
  <si>
    <t>Roti with ghee</t>
  </si>
  <si>
    <t>Whole wheat, ghee</t>
  </si>
  <si>
    <t>Rumali roti</t>
  </si>
  <si>
    <t>Maida, thin, tawa</t>
  </si>
  <si>
    <t>Sheermal</t>
  </si>
  <si>
    <t>Maida, milk, saffron, ghee</t>
  </si>
  <si>
    <t>Taftan</t>
  </si>
  <si>
    <t>Maida, milk, yogurt</t>
  </si>
  <si>
    <t>Tandoori paratha</t>
  </si>
  <si>
    <t>Wheat, tandoor</t>
  </si>
  <si>
    <t>Tandoori roti</t>
  </si>
  <si>
    <t>Thepla</t>
  </si>
  <si>
    <t>Chickpea flour, methi leaves, jowar flour, wheat flour</t>
  </si>
  <si>
    <t>Tortilla wrap</t>
  </si>
  <si>
    <t>Maida tortilla</t>
  </si>
  <si>
    <t>Veg Kolhapuri</t>
  </si>
  <si>
    <t>Gobi, potato, beans, khus khus, coconut</t>
  </si>
  <si>
    <t>Wheat bread</t>
  </si>
  <si>
    <t>Whole wheat sliced bread</t>
  </si>
  <si>
    <t>White bread</t>
  </si>
  <si>
    <t>Maida sliced bread</t>
  </si>
  <si>
    <t>Aloo bonda</t>
  </si>
  <si>
    <t>Chaat &amp; Street Food</t>
  </si>
  <si>
    <t>Potato, besan, deep fried</t>
  </si>
  <si>
    <t>Aloo chaat</t>
  </si>
  <si>
    <t>sour</t>
  </si>
  <si>
    <t>Potato, onion, tamarind chutney, chaat masala</t>
  </si>
  <si>
    <t>Aloo tikki</t>
  </si>
  <si>
    <t>Rice flour, potato, bread crumbs, garam masala, salt</t>
  </si>
  <si>
    <t>Aloo tikki chaat</t>
  </si>
  <si>
    <t>Aloo tikki, chole, curd, chutneys</t>
  </si>
  <si>
    <t>Baked samosa</t>
  </si>
  <si>
    <t>Potato, peas, whole wheat pastry, baked</t>
  </si>
  <si>
    <t>Banarasi tamatar chaat</t>
  </si>
  <si>
    <t>Tomato, potato, spices, ghee</t>
  </si>
  <si>
    <t>Batata vada</t>
  </si>
  <si>
    <t>Potato, besan batter, deep fried</t>
  </si>
  <si>
    <t>Bedmi puri aloo</t>
  </si>
  <si>
    <t>Urad dal puri, aloo sabzi</t>
  </si>
  <si>
    <t>Bhel puri</t>
  </si>
  <si>
    <t>Puffed rice, sev, onion, tomato, tamarind chutney</t>
  </si>
  <si>
    <t>Bhutta</t>
  </si>
  <si>
    <t>Roasted corn cob, lemon, masala</t>
  </si>
  <si>
    <t>Bonda</t>
  </si>
  <si>
    <t>Potato, gram flour, oil</t>
  </si>
  <si>
    <t>Bread pakora</t>
  </si>
  <si>
    <t>White bread, gram flour, potato, oil</t>
  </si>
  <si>
    <t>Bun maska</t>
  </si>
  <si>
    <t>Bun, butter</t>
  </si>
  <si>
    <t>Chana jor garam</t>
  </si>
  <si>
    <t>Spiced flattened roasted chickpeas</t>
  </si>
  <si>
    <t>Cheese corn samosa</t>
  </si>
  <si>
    <t>Corn, cheese, maida pastry, deep fried</t>
  </si>
  <si>
    <t>Cheese dosa street</t>
  </si>
  <si>
    <t>Dosa, cheese, butter</t>
  </si>
  <si>
    <t>Cheese pav bhaji</t>
  </si>
  <si>
    <t>Mixed veg mash, butter, cheese, pav</t>
  </si>
  <si>
    <t>Cheese vada pav</t>
  </si>
  <si>
    <t>Vada, pav, cheese, chutney</t>
  </si>
  <si>
    <t>Chicken chaat</t>
  </si>
  <si>
    <t>Fried chicken pieces, onion, chutney</t>
  </si>
  <si>
    <t>Chicken pakora</t>
  </si>
  <si>
    <t>starter</t>
  </si>
  <si>
    <t>Chicken, gram flour, spices, oil</t>
  </si>
  <si>
    <t>Chinese bhel</t>
  </si>
  <si>
    <t>Fried noodles, sauces, vegetables</t>
  </si>
  <si>
    <t>Chole kulche</t>
  </si>
  <si>
    <t>Kulcha, chickpea curry, onion</t>
  </si>
  <si>
    <t>Churumuri</t>
  </si>
  <si>
    <t>Puffed rice, onion, tomato, masala</t>
  </si>
  <si>
    <t>Corn bhel</t>
  </si>
  <si>
    <t>Sweet corn, puffed rice, onion, chutney</t>
  </si>
  <si>
    <t>Corn chaat</t>
  </si>
  <si>
    <t>Sweet corn, onion, tomato, lemon juice</t>
  </si>
  <si>
    <t>Corn cheese balls</t>
  </si>
  <si>
    <t>Corn, cheese, potato, deep fried</t>
  </si>
  <si>
    <t>Dabeli</t>
  </si>
  <si>
    <t>Pav, potato masala, peanuts, sweet chutney</t>
  </si>
  <si>
    <t>Dahi bhalla</t>
  </si>
  <si>
    <t>Urad dal, curd, tamarind chutney, oil</t>
  </si>
  <si>
    <t>Dahi ke kebab</t>
  </si>
  <si>
    <t>Hung curd, besan, spices, shallow fried</t>
  </si>
  <si>
    <t>Dahi misal</t>
  </si>
  <si>
    <t>Misal with curd, farsan</t>
  </si>
  <si>
    <t>Dahi puri</t>
  </si>
  <si>
    <t>Puri, curd, potato, tamarind chutney, sev</t>
  </si>
  <si>
    <t>Dahi vada</t>
  </si>
  <si>
    <t>Urad dal, bhuna chana, garam masala, dates, tamarind</t>
  </si>
  <si>
    <t>Dal vada</t>
  </si>
  <si>
    <t>Chana dal, onion, curry leaves, deep fried</t>
  </si>
  <si>
    <t>Egg chaat</t>
  </si>
  <si>
    <t>Boiled egg, onion, chutneys</t>
  </si>
  <si>
    <t>Egg pakoda</t>
  </si>
  <si>
    <t>Boiled egg, besan, deep fried</t>
  </si>
  <si>
    <t>Fafda jalebi</t>
  </si>
  <si>
    <t>Gram flour fafda, jalebi, kadhi</t>
  </si>
  <si>
    <t>Fruit chaat</t>
  </si>
  <si>
    <t>Apple, banana, pomegranate, chaat masala</t>
  </si>
  <si>
    <t>Ganthiya</t>
  </si>
  <si>
    <t>Gram flour sticks, deep fried</t>
  </si>
  <si>
    <t>Gobi pakoda</t>
  </si>
  <si>
    <t>Cauliflower, besan, deep fried</t>
  </si>
  <si>
    <t>Golgappa dahi</t>
  </si>
  <si>
    <t>Puri, curd, tamarind water</t>
  </si>
  <si>
    <t>Hara bhara kebab</t>
  </si>
  <si>
    <t>Spinach, peas, potato, shallow fried</t>
  </si>
  <si>
    <t>Jhal muri</t>
  </si>
  <si>
    <t>Puffed rice, mustard oil, peanuts, onion</t>
  </si>
  <si>
    <t>Kachori</t>
  </si>
  <si>
    <t>Moong dal, rava, garam masala, dough, fennel seeds</t>
  </si>
  <si>
    <t>Kachori chaat</t>
  </si>
  <si>
    <t>Kachori, curd, chutneys</t>
  </si>
  <si>
    <t>Kachori sabzi</t>
  </si>
  <si>
    <t>Kachori, aloo sabzi</t>
  </si>
  <si>
    <t>Kadhi pakoda</t>
  </si>
  <si>
    <t>Besan, garam masala powder, gram flour, ginger, curry leaves</t>
  </si>
  <si>
    <t>Kanda bhaji</t>
  </si>
  <si>
    <t>Onion, besan, spices, deep fried</t>
  </si>
  <si>
    <t>Kanda poha chaat</t>
  </si>
  <si>
    <t>Poha, onion, sev, lemon</t>
  </si>
  <si>
    <t>Keema samosa</t>
  </si>
  <si>
    <t>Minced meat, maida pastry, deep fried</t>
  </si>
  <si>
    <t>Lilva Kachori</t>
  </si>
  <si>
    <t>Green garlic chutney, fresh green peas, ginger, lemon juice, plain flour</t>
  </si>
  <si>
    <t>Masala puri</t>
  </si>
  <si>
    <t>Crushed papdi, ragda, onion, chutney, sev</t>
  </si>
  <si>
    <t>Mini samosa</t>
  </si>
  <si>
    <t>Potato, peas, small pastry, deep fried</t>
  </si>
  <si>
    <t>Mirchi bajji</t>
  </si>
  <si>
    <t>Green chilli, gram flour, oil</t>
  </si>
  <si>
    <t>Mirchi vada</t>
  </si>
  <si>
    <t>Green chilli, besan batter, deep fried</t>
  </si>
  <si>
    <t>Misal pav</t>
  </si>
  <si>
    <t>Moth beans, farsan, pav, spicy curry</t>
  </si>
  <si>
    <t>Moong dal chaat</t>
  </si>
  <si>
    <t>Fried moong dal, onion, lemon, chaat masala</t>
  </si>
  <si>
    <t>Onion pakoda</t>
  </si>
  <si>
    <t>Onion, gram flour, oil</t>
  </si>
  <si>
    <t>Palak pakoda</t>
  </si>
  <si>
    <t>Spinach, besan, spices, deep fried</t>
  </si>
  <si>
    <t>Palak patta chaat</t>
  </si>
  <si>
    <t>Crispy spinach leaves, curd, chutney</t>
  </si>
  <si>
    <t>Paneer 65</t>
  </si>
  <si>
    <t>Paneer, curd, chilli, deep fried</t>
  </si>
  <si>
    <t>Paneer pakoda</t>
  </si>
  <si>
    <t>Paneer, besan, spices, deep fried</t>
  </si>
  <si>
    <t>Pani puri</t>
  </si>
  <si>
    <t>Kala chana, mashed potato, boondi, sev, lemon</t>
  </si>
  <si>
    <t>Pani puri whole wheat</t>
  </si>
  <si>
    <t>Whole wheat puri, spiced water, chickpea</t>
  </si>
  <si>
    <t>Papdi chaat</t>
  </si>
  <si>
    <t>Papdi, potato, chickpeas, curd, tamarind chutney</t>
  </si>
  <si>
    <t>Pav Bhaji</t>
  </si>
  <si>
    <t>Pav bhaji masala, gobi, potatoes, green peas, dinner rolls</t>
  </si>
  <si>
    <t>Pav usal</t>
  </si>
  <si>
    <t>Pav, usal curry</t>
  </si>
  <si>
    <t>Punjabi samosa</t>
  </si>
  <si>
    <t>Potato, peas, maida pastry, deep fried</t>
  </si>
  <si>
    <t>Puri Bhaji</t>
  </si>
  <si>
    <t>Aloo, urad dal, mustard, ginger, curry leaves</t>
  </si>
  <si>
    <t>Pyaaz kachori</t>
  </si>
  <si>
    <t>Onion, flour, spices, deep fried</t>
  </si>
  <si>
    <t>Ragda pattice</t>
  </si>
  <si>
    <t>Potato, white peas, onion, tamarind chutney, oil</t>
  </si>
  <si>
    <t>Ragda patties</t>
  </si>
  <si>
    <t>Potato patties, white pea ragda</t>
  </si>
  <si>
    <t>Ragda puri</t>
  </si>
  <si>
    <t>Puri, white peas ragda, chutneys</t>
  </si>
  <si>
    <t>Raj kachori chaat</t>
  </si>
  <si>
    <t>Kachori shell, curd, sprouts, chutneys</t>
  </si>
  <si>
    <t>Raw mango chaat</t>
  </si>
  <si>
    <t>Raw mango, onion, masala</t>
  </si>
  <si>
    <t>Roasted sweet potato chaat</t>
  </si>
  <si>
    <t>Sweet potato, lemon, chaat masala</t>
  </si>
  <si>
    <t>Sabudana vada</t>
  </si>
  <si>
    <t>Sabudana, peanuts, potato, deep fried</t>
  </si>
  <si>
    <t>Samosa</t>
  </si>
  <si>
    <t>Potatoes, green peas, garam masala, ginger, dough</t>
  </si>
  <si>
    <t>Samosa chaat</t>
  </si>
  <si>
    <t>Samosa, chickpeas, curd, tamarind chutney, sev</t>
  </si>
  <si>
    <t>Samosa pav</t>
  </si>
  <si>
    <t>Samosa, pav, chutney</t>
  </si>
  <si>
    <t>Schezwan dosa street</t>
  </si>
  <si>
    <t>Dosa, schezwan sauce, veggies</t>
  </si>
  <si>
    <t>Sev batata puri</t>
  </si>
  <si>
    <t>Papdi, potato, chutneys, sev</t>
  </si>
  <si>
    <t>Sev puri</t>
  </si>
  <si>
    <t>Papdi, potato, sev, onion, tamarind chutney</t>
  </si>
  <si>
    <t>Sprouts bhel</t>
  </si>
  <si>
    <t>Sprouts, onion, tomato, lemon</t>
  </si>
  <si>
    <t>Sukha puri</t>
  </si>
  <si>
    <t>Dry puri, spiced potato, chutney</t>
  </si>
  <si>
    <t>Tikki chole</t>
  </si>
  <si>
    <t>Potato tikki, chickpea curry, onion</t>
  </si>
  <si>
    <t>Tokri chaat</t>
  </si>
  <si>
    <t>Fried potato basket, chole, curd</t>
  </si>
  <si>
    <t>Usal pav</t>
  </si>
  <si>
    <t>Sprouted matki, pav, spices</t>
  </si>
  <si>
    <t>Vada pav</t>
  </si>
  <si>
    <t>Pav, potato, gram flour, garlic chutney, oil</t>
  </si>
  <si>
    <t>Vada sambar</t>
  </si>
  <si>
    <t>Medu vada, sambar</t>
  </si>
  <si>
    <t>Veg seekh kebab</t>
  </si>
  <si>
    <t>Mixed veg, paneer, spices, grilled</t>
  </si>
  <si>
    <t>Aloo gobi</t>
  </si>
  <si>
    <t>Curries, Dal &amp; Veg Dishes</t>
  </si>
  <si>
    <t>Cauliflower, potato, garam masala, turmeric, curry leaves</t>
  </si>
  <si>
    <t>Aloo ke gutke</t>
  </si>
  <si>
    <t>Potato, mustard oil</t>
  </si>
  <si>
    <t>Aloo matar</t>
  </si>
  <si>
    <t>Potato, peas, chillies, ginger, garam masala, garlic</t>
  </si>
  <si>
    <t>Aloo methi</t>
  </si>
  <si>
    <t>bitter</t>
  </si>
  <si>
    <t>Potato, fenugreek leaves, chillies, salt, oil</t>
  </si>
  <si>
    <t>Aloo posto</t>
  </si>
  <si>
    <t>Potato, poppy seeds, mustard oil</t>
  </si>
  <si>
    <t>Aloo shimla mirch</t>
  </si>
  <si>
    <t>Potato, shimla mirch, garam masala, amchur powder, salt</t>
  </si>
  <si>
    <t>Alu Pitika</t>
  </si>
  <si>
    <t>Potatoes, mustard oil, fish, green chillies</t>
  </si>
  <si>
    <t>Amritsari chole</t>
  </si>
  <si>
    <t>amritsari chole, onion, tomato, spices</t>
  </si>
  <si>
    <t>Amritsari paneer bhurji</t>
  </si>
  <si>
    <t>Crumbled paneer, onion, spices</t>
  </si>
  <si>
    <t>Amti</t>
  </si>
  <si>
    <t>Kala masala, arhar dal, curry leaves, mustard seeds, hot water</t>
  </si>
  <si>
    <t>Amti dal</t>
  </si>
  <si>
    <t>Dal, kokum, goda masala</t>
  </si>
  <si>
    <t>Ash gourd poriyal</t>
  </si>
  <si>
    <t>petha, coconut, mustard, curry leaves</t>
  </si>
  <si>
    <t>Avial</t>
  </si>
  <si>
    <t>Raw banana, elephant foot yam, long beans, tindora, urad dal</t>
  </si>
  <si>
    <t>Baby corn poriyal</t>
  </si>
  <si>
    <t>baby corn, coconut, mustard, curry leaves</t>
  </si>
  <si>
    <t>Baingan bharta</t>
  </si>
  <si>
    <t>Brinjal, onion, tomato, oil, garlic</t>
  </si>
  <si>
    <t>Baingan bharta with roti</t>
  </si>
  <si>
    <t>Roasted brinjal, onion, tomato</t>
  </si>
  <si>
    <t>Bajra khichdi Rajasthani</t>
  </si>
  <si>
    <t>Millet, dal, ghee</t>
  </si>
  <si>
    <t>Beans kootu</t>
  </si>
  <si>
    <t>beans, moong dal, coconut</t>
  </si>
  <si>
    <t>Beans poriyal</t>
  </si>
  <si>
    <t>french beans, coconut, mustard, curry leaves</t>
  </si>
  <si>
    <t>Beans sabzi</t>
  </si>
  <si>
    <t>french beans, onion, tomato, spices</t>
  </si>
  <si>
    <t>Beans stir fry</t>
  </si>
  <si>
    <t>side dish</t>
  </si>
  <si>
    <t>french beans, garlic, little oil</t>
  </si>
  <si>
    <t>Beans thoran</t>
  </si>
  <si>
    <t>Beans, coconut</t>
  </si>
  <si>
    <t>Beetroot poriyal</t>
  </si>
  <si>
    <t>beetroot, coconut, mustard, curry leaves</t>
  </si>
  <si>
    <t>Begun bhaja</t>
  </si>
  <si>
    <t>Brinjal slices, shallow fried</t>
  </si>
  <si>
    <t>Bendakaya fry</t>
  </si>
  <si>
    <t>Okra fry</t>
  </si>
  <si>
    <t>Bengena Pitika</t>
  </si>
  <si>
    <t>Brinjal, onions, salt, sesame seeds, coriander</t>
  </si>
  <si>
    <t>Bharli vangi</t>
  </si>
  <si>
    <t>Stuffed brinjal</t>
  </si>
  <si>
    <t>Bhatt ki churkani</t>
  </si>
  <si>
    <t>Black soybean curry</t>
  </si>
  <si>
    <t>Bhindi do pyaza</t>
  </si>
  <si>
    <t>Okra, onion</t>
  </si>
  <si>
    <t>Bhindi masala</t>
  </si>
  <si>
    <t>Ladies finger, garam masala, kasuri methi, tomatoes, chili powder</t>
  </si>
  <si>
    <t>Bilahi Maas</t>
  </si>
  <si>
    <t>Potatoes, garam masala, tomatoes, mustard oil, bay leaf</t>
  </si>
  <si>
    <t>Bitter gourd poriyal</t>
  </si>
  <si>
    <t>karela, coconut, mustard, curry leaves</t>
  </si>
  <si>
    <t>Bitter gourd sabzi</t>
  </si>
  <si>
    <t>karela, onion, tomato, spices</t>
  </si>
  <si>
    <t>Bitter gourd stir fry</t>
  </si>
  <si>
    <t>karela, garlic, little oil</t>
  </si>
  <si>
    <t>Black eyed pea curry</t>
  </si>
  <si>
    <t>black eyed pea curry, onion, tomato, spices</t>
  </si>
  <si>
    <t>Bora Sawul</t>
  </si>
  <si>
    <t>Biryani masala, mixed vegetables, yellow moong daal, whole red, mustard seeds</t>
  </si>
  <si>
    <t>Bottle gourd kootu</t>
  </si>
  <si>
    <t>bottle gourd, moong dal, coconut</t>
  </si>
  <si>
    <t>Bottle gourd poriyal</t>
  </si>
  <si>
    <t>lauki, coconut, mustard, curry leaves</t>
  </si>
  <si>
    <t>Bottle gourd sabzi</t>
  </si>
  <si>
    <t>lauki, onion, tomato, spices</t>
  </si>
  <si>
    <t>Bottle gourd stir fry</t>
  </si>
  <si>
    <t>lauki, garlic, little oil</t>
  </si>
  <si>
    <t>Brinjal poriyal</t>
  </si>
  <si>
    <t>brinjal, coconut, mustard, curry leaves</t>
  </si>
  <si>
    <t>Brinjal sabzi</t>
  </si>
  <si>
    <t>brinjal, onion, tomato, spices</t>
  </si>
  <si>
    <t>Brinjal sambar</t>
  </si>
  <si>
    <t>brinjal, toor dal, tamarind, sambar powder</t>
  </si>
  <si>
    <t>Brinjal stir fry</t>
  </si>
  <si>
    <t>brinjal, garlic, little oil</t>
  </si>
  <si>
    <t>Broccoli poriyal</t>
  </si>
  <si>
    <t>broccoli, coconut, mustard, curry leaves</t>
  </si>
  <si>
    <t>Cabbage kootu</t>
  </si>
  <si>
    <t>cabbage, moong dal, coconut</t>
  </si>
  <si>
    <t>Cabbage poriyal</t>
  </si>
  <si>
    <t>Cabbage, coconut, mustard seeds, curry leaves, oil</t>
  </si>
  <si>
    <t>Cabbage sabzi</t>
  </si>
  <si>
    <t>cabbage, onion, tomato, spices</t>
  </si>
  <si>
    <t>Cabbage stir fry</t>
  </si>
  <si>
    <t>cabbage, garlic, little oil</t>
  </si>
  <si>
    <t>Capsicum poriyal</t>
  </si>
  <si>
    <t>capsicum, coconut, mustard, curry leaves</t>
  </si>
  <si>
    <t>Carrot poriyal</t>
  </si>
  <si>
    <t>carrot, coconut, mustard, curry leaves</t>
  </si>
  <si>
    <t>Carrot sabzi</t>
  </si>
  <si>
    <t>carrot, onion, tomato, spices</t>
  </si>
  <si>
    <t>Carrot stir fry</t>
  </si>
  <si>
    <t>carrot, garlic, little oil</t>
  </si>
  <si>
    <t>Cauliflower poriyal</t>
  </si>
  <si>
    <t>cauliflower, coconut, mustard, curry leaves</t>
  </si>
  <si>
    <t>Cauliflower sabzi</t>
  </si>
  <si>
    <t>cauliflower, onion, tomato, spices</t>
  </si>
  <si>
    <t>Cauliflower stir fry</t>
  </si>
  <si>
    <t>cauliflower, garlic, little oil</t>
  </si>
  <si>
    <t>Chana dal tadka</t>
  </si>
  <si>
    <t>chana dal, ghee tadka, garlic</t>
  </si>
  <si>
    <t>Chhana curry</t>
  </si>
  <si>
    <t>Paneer, spices</t>
  </si>
  <si>
    <t>Chingri Bhape</t>
  </si>
  <si>
    <t>Coconut, prawns, curd, mustard seed, green chili</t>
  </si>
  <si>
    <t>Chingri malai curry</t>
  </si>
  <si>
    <t>Coconut milk, lobster, fresh green chilli, ginger, red onion</t>
  </si>
  <si>
    <t>Cholar dal</t>
  </si>
  <si>
    <t>Bengal gram, coconut</t>
  </si>
  <si>
    <t>Chole</t>
  </si>
  <si>
    <t>Chickpeas, onion, tomato, oil, garam masala</t>
  </si>
  <si>
    <t>Chole bhature</t>
  </si>
  <si>
    <t>Chole, bhatura, garam masala, bay leaf, cinnamon stick</t>
  </si>
  <si>
    <t>Chole bhature style</t>
  </si>
  <si>
    <t>chole bhature style, onion, tomato, spices</t>
  </si>
  <si>
    <t>Cluster beans poriyal</t>
  </si>
  <si>
    <t>gavar, coconut, mustard, curry leaves</t>
  </si>
  <si>
    <t>Colocasia poriyal</t>
  </si>
  <si>
    <t>arbi, coconut, mustard, curry leaves</t>
  </si>
  <si>
    <t>Copra paak</t>
  </si>
  <si>
    <t>Condensed milk, nestle cream, coconut ice, red food coloring, desiccated coconut</t>
  </si>
  <si>
    <t>Daal Dhokli</t>
  </si>
  <si>
    <t>Whole wheat flour, dal, kokum, gur, bengal gram flour</t>
  </si>
  <si>
    <t>Dal baati</t>
  </si>
  <si>
    <t>Dal, baked wheat balls, ghee</t>
  </si>
  <si>
    <t>Dal bukhara</t>
  </si>
  <si>
    <t>Black lentil, butter, cream</t>
  </si>
  <si>
    <t>Dal fry</t>
  </si>
  <si>
    <t>Pigeon peas, onion, tomato, garlic, oil</t>
  </si>
  <si>
    <t>Dal kolhapuri</t>
  </si>
  <si>
    <t>Lentils, spicy masala</t>
  </si>
  <si>
    <t>Dal makhani</t>
  </si>
  <si>
    <t>sweet</t>
  </si>
  <si>
    <t>Red kidney beans, urad dal, cream, garam masala, chili powder</t>
  </si>
  <si>
    <t>Dal palak</t>
  </si>
  <si>
    <t>Lentils, spinach</t>
  </si>
  <si>
    <t>Dal tadka</t>
  </si>
  <si>
    <t>Pigeon peas, garam masala, ginger, red onion, kasuri methi</t>
  </si>
  <si>
    <t>Dalithoy</t>
  </si>
  <si>
    <t>Arhar dal, coconut oil, curry leaves, mustard seeds, red chilli</t>
  </si>
  <si>
    <t>Dalma</t>
  </si>
  <si>
    <t>Dal, vegetables, Odia style</t>
  </si>
  <si>
    <t>Dhaba dal</t>
  </si>
  <si>
    <t>Lentils, ghee, garlic</t>
  </si>
  <si>
    <t>Dhokar dalna</t>
  </si>
  <si>
    <t>Lentil cakes, gravy</t>
  </si>
  <si>
    <t>Dosakaya pappu</t>
  </si>
  <si>
    <t>Yellow cucumber dal</t>
  </si>
  <si>
    <t>Drumstick kootu</t>
  </si>
  <si>
    <t>drumstick, moong dal, coconut</t>
  </si>
  <si>
    <t>Drumstick poriyal</t>
  </si>
  <si>
    <t>drumstick, coconut, mustard, curry leaves</t>
  </si>
  <si>
    <t>Drumstick sabzi</t>
  </si>
  <si>
    <t>drumstick, onion, tomato, spices</t>
  </si>
  <si>
    <t>Drumstick sambar</t>
  </si>
  <si>
    <t>drumstick, toor dal, tamarind, sambar powder</t>
  </si>
  <si>
    <t>Drumstick stir fry</t>
  </si>
  <si>
    <t>drumstick, garlic, little oil</t>
  </si>
  <si>
    <t>Dum aloo</t>
  </si>
  <si>
    <t>Baby potatoes, garam masala, cashew nuts, kasuri methi, tomatoes</t>
  </si>
  <si>
    <t>Dum aloo Kashmiri</t>
  </si>
  <si>
    <t>Baby potato, yogurt, fennel, spices</t>
  </si>
  <si>
    <t>Fenugreek leaves poriyal</t>
  </si>
  <si>
    <t>methi, coconut, mustard, curry leaves</t>
  </si>
  <si>
    <t>Galho</t>
  </si>
  <si>
    <t>Rice, axone, salt, water, chillies, pork</t>
  </si>
  <si>
    <t>Garlic rasam</t>
  </si>
  <si>
    <t>garlic, tamarind, cumin, pepper</t>
  </si>
  <si>
    <t>Gatta curry</t>
  </si>
  <si>
    <t>Yogurt, besan, sauce, garam masala powder, gram flour</t>
  </si>
  <si>
    <t>Gatte ki sabzi</t>
  </si>
  <si>
    <t>Gram flour dumplings, yogurt gravy</t>
  </si>
  <si>
    <t>Ghugni</t>
  </si>
  <si>
    <t>Dried peas, onion</t>
  </si>
  <si>
    <t>Gobi sabji</t>
  </si>
  <si>
    <t>Cauliflower, potato, oil, turmeric</t>
  </si>
  <si>
    <t>Gongura pachadi</t>
  </si>
  <si>
    <t>Sorrel leaves, chilli</t>
  </si>
  <si>
    <t>Granola with yogurt</t>
  </si>
  <si>
    <t>Oats, nuts, honey, yogurt</t>
  </si>
  <si>
    <t>Greek yogurt</t>
  </si>
  <si>
    <t>Yogurt</t>
  </si>
  <si>
    <t>Green peas poriyal</t>
  </si>
  <si>
    <t>matar, coconut, mustard, curry leaves</t>
  </si>
  <si>
    <t>Gujarati kadhi</t>
  </si>
  <si>
    <t>Curd, besan, jaggery</t>
  </si>
  <si>
    <t>Gundruk</t>
  </si>
  <si>
    <t>Fermented leafy greens</t>
  </si>
  <si>
    <t>Gutti vankaya</t>
  </si>
  <si>
    <t>Stuffed brinjal curry</t>
  </si>
  <si>
    <t>Horse gram dal tadka</t>
  </si>
  <si>
    <t>horse gram dal, ghee tadka, garlic</t>
  </si>
  <si>
    <t>Ivy gourd poriyal</t>
  </si>
  <si>
    <t>tindora, coconut, mustard, curry leaves</t>
  </si>
  <si>
    <t>Jackfruit poriyal</t>
  </si>
  <si>
    <t>raw jackfruit, coconut, mustard, curry leaves</t>
  </si>
  <si>
    <t>Jeera Aloo</t>
  </si>
  <si>
    <t>Green chilies, lemon juice, chili powder, boiled potatoes</t>
  </si>
  <si>
    <t>Jhangora kheer</t>
  </si>
  <si>
    <t>dessert</t>
  </si>
  <si>
    <t>Barnyard millet, milk, sugar</t>
  </si>
  <si>
    <t>Kaara kozhambu</t>
  </si>
  <si>
    <t>Sesame oil, drumstick, tamarind paste, sambar powder, tomato</t>
  </si>
  <si>
    <t>Kabiraji</t>
  </si>
  <si>
    <t>Fish fillet, besan, lemon, mint, ginger</t>
  </si>
  <si>
    <t>Kabuli chana</t>
  </si>
  <si>
    <t>kabuli chana, onion, tomato, spices</t>
  </si>
  <si>
    <t>Kadai paneer</t>
  </si>
  <si>
    <t>Cottage cheese, bell peppers, gravy, garam masala, cashew nuts</t>
  </si>
  <si>
    <t>Kadhi pakora</t>
  </si>
  <si>
    <t>Curd, besan, fried dumplings</t>
  </si>
  <si>
    <t>Kafuli</t>
  </si>
  <si>
    <t>Spinach, fenugreek curry</t>
  </si>
  <si>
    <t>Kala chana</t>
  </si>
  <si>
    <t>kala chana, onion, tomato, spices</t>
  </si>
  <si>
    <t>Kansar</t>
  </si>
  <si>
    <t>Wheat flour, cashews, rapeseed oil</t>
  </si>
  <si>
    <t>Karela bharta</t>
  </si>
  <si>
    <t>Bitter gourd, fennel, garam masala powder, chili powder, amchur powder</t>
  </si>
  <si>
    <t>Keerai kootu</t>
  </si>
  <si>
    <t>Moong dal, chana dal, spinach, urad dal, coconut oil</t>
  </si>
  <si>
    <t>Keerai masiyal</t>
  </si>
  <si>
    <t>Urad dal, curry leaves, sugar, mustard seeds, spinach</t>
  </si>
  <si>
    <t>Keerai poriyal</t>
  </si>
  <si>
    <t>Amaranth leaves, split urad dal, mustard seeds, grated coconut, red chili</t>
  </si>
  <si>
    <t>Ker sangri</t>
  </si>
  <si>
    <t>Desert beans and berries, oil</t>
  </si>
  <si>
    <t>Kerala vegetable stew</t>
  </si>
  <si>
    <t>Veggies, coconut milk</t>
  </si>
  <si>
    <t>Keri no ras</t>
  </si>
  <si>
    <t>Mango, sugar</t>
  </si>
  <si>
    <t>Khar</t>
  </si>
  <si>
    <t>Raw papaya, panch phoran masala, nigella seeds, mustard oil, fennel seeds</t>
  </si>
  <si>
    <t>Khorisa</t>
  </si>
  <si>
    <t>Fermented bamboo shoot, potato, ginger, green, mustard oil</t>
  </si>
  <si>
    <t>Kofta</t>
  </si>
  <si>
    <t>Paneer, potato, cream, corn flour, garam masala</t>
  </si>
  <si>
    <t>Kolim Jawla</t>
  </si>
  <si>
    <t>Baingan, fish, coconut oil, fresh coconut, ginger</t>
  </si>
  <si>
    <t>Konir Dom</t>
  </si>
  <si>
    <t>Aloo, tomatoes, mustard oil, bay leaf, cinnamon stick</t>
  </si>
  <si>
    <t>Kootu</t>
  </si>
  <si>
    <t>Chana dal, urad dal, potato, beans, peas</t>
  </si>
  <si>
    <t>Kos kootu</t>
  </si>
  <si>
    <t>Moong dal, chana dal, cabbage, tamarind, curry leaves</t>
  </si>
  <si>
    <t>Koshambri</t>
  </si>
  <si>
    <t>Moong dal, cucumber, curry leaves, green chili, lemon juice</t>
  </si>
  <si>
    <t>Koshimbir</t>
  </si>
  <si>
    <t>Cucumber, carrot, tomatoes, cilantro</t>
  </si>
  <si>
    <t>Kothimbir vadi</t>
  </si>
  <si>
    <t>Coriander gram flour, steamed or fried</t>
  </si>
  <si>
    <t>Kumol Sawul</t>
  </si>
  <si>
    <t>Rice, eggs, carrot, beetroot</t>
  </si>
  <si>
    <t>Kuzhakkattai</t>
  </si>
  <si>
    <t>Sesame oil, raw rice, jaggery, grated coconut</t>
  </si>
  <si>
    <t>Kuzhambu</t>
  </si>
  <si>
    <t>Pearl onions, urad dal, drumsticks, tomato, curry leaves</t>
  </si>
  <si>
    <t>Laapsi</t>
  </si>
  <si>
    <t>Cinnamon, jaggery, clarified butter, dry roasted</t>
  </si>
  <si>
    <t>Lau ghonto</t>
  </si>
  <si>
    <t>Bottle gourd, mustard oil, spices</t>
  </si>
  <si>
    <t>Lauki ke kofte</t>
  </si>
  <si>
    <t>Bottle gourd, garam masala powder, gram flour, ginger, chillies</t>
  </si>
  <si>
    <t>Lauki ki subji</t>
  </si>
  <si>
    <t>Bottle gourd, coconut oil, garam masala, ginger, green chillies</t>
  </si>
  <si>
    <t>Lemon rasam</t>
  </si>
  <si>
    <t>lemon, tamarind, cumin, pepper</t>
  </si>
  <si>
    <t>Lobia dal tadka</t>
  </si>
  <si>
    <t>lobia dal, ghee tadka, garlic</t>
  </si>
  <si>
    <t>Lobia masala</t>
  </si>
  <si>
    <t>lobia masala, onion, tomato, spices</t>
  </si>
  <si>
    <t>Luchi</t>
  </si>
  <si>
    <t>Maida, vegetable oil</t>
  </si>
  <si>
    <t>Madra</t>
  </si>
  <si>
    <t>Chickpeas, yogurt, ghee</t>
  </si>
  <si>
    <t>Malai kofta</t>
  </si>
  <si>
    <t>Potato paneer balls, cream gravy</t>
  </si>
  <si>
    <t>Mangodi sabzi</t>
  </si>
  <si>
    <t>Moong dal dumplings</t>
  </si>
  <si>
    <t>Masoor dal tadka</t>
  </si>
  <si>
    <t>masoor dal, ghee tadka, garlic</t>
  </si>
  <si>
    <t>Matar paneer</t>
  </si>
  <si>
    <t>Paneer, peas, tomato, onion, oil</t>
  </si>
  <si>
    <t>Matki usal</t>
  </si>
  <si>
    <t>matki usal, onion, tomato, spices</t>
  </si>
  <si>
    <t>Menthi kura</t>
  </si>
  <si>
    <t>Fenugreek leaves curry</t>
  </si>
  <si>
    <t>Methi na Gota</t>
  </si>
  <si>
    <t>Rava, gram flour, lemon juice, turmeric, fenugreek leaves</t>
  </si>
  <si>
    <t>Misal curry</t>
  </si>
  <si>
    <t>Sprouted moth bean spicy curry</t>
  </si>
  <si>
    <t>Mishti Chholar Dal</t>
  </si>
  <si>
    <t>Chana dal, fresh coconut, ginger, cinnamon, raisins</t>
  </si>
  <si>
    <t>Mixed dal Rajasthani</t>
  </si>
  <si>
    <t>Panchmel dal</t>
  </si>
  <si>
    <t>Mixed dal tadka</t>
  </si>
  <si>
    <t>mixed dal, ghee tadka, garlic</t>
  </si>
  <si>
    <t>Mixed veg sambar</t>
  </si>
  <si>
    <t>mixed veg, toor dal, tamarind, sambar powder</t>
  </si>
  <si>
    <t>Mixed vegetable curry</t>
  </si>
  <si>
    <t>Potato, carrot, peas, beans, tomato, oil, garam masala</t>
  </si>
  <si>
    <t>Moong dal tadka</t>
  </si>
  <si>
    <t>moong dal, ghee tadka, garlic</t>
  </si>
  <si>
    <t>Moru curry</t>
  </si>
  <si>
    <t>Spiced buttermilk, vegetable</t>
  </si>
  <si>
    <t>Moth dal tadka</t>
  </si>
  <si>
    <t>moth dal, ghee tadka, garlic</t>
  </si>
  <si>
    <t>Mushroom do pyaza</t>
  </si>
  <si>
    <t>Mushroom, malai, garam masala, ginger, capsicum</t>
  </si>
  <si>
    <t>Mushroom matar</t>
  </si>
  <si>
    <t>Canned coconut milk, frozen green peas, wild mushrooms, garam masala, tomatoes</t>
  </si>
  <si>
    <t>Mushroom poriyal</t>
  </si>
  <si>
    <t>mushroom, coconut, mustard, curry leaves</t>
  </si>
  <si>
    <t>Mysore rasam</t>
  </si>
  <si>
    <t>mysore, tamarind, cumin, pepper</t>
  </si>
  <si>
    <t>Navratan korma</t>
  </si>
  <si>
    <t>Veggies, paneer, fruits, cream</t>
  </si>
  <si>
    <t>Navrattan korma</t>
  </si>
  <si>
    <t>Green beans, potatoes, khus khus, low fat, garam masala powder</t>
  </si>
  <si>
    <t>Okra poriyal</t>
  </si>
  <si>
    <t>bhindi, coconut, mustard, curry leaves</t>
  </si>
  <si>
    <t>Okra sabzi</t>
  </si>
  <si>
    <t>bhindi, onion, tomato, spices</t>
  </si>
  <si>
    <t>Okra stir fry</t>
  </si>
  <si>
    <t>bhindi, garlic, little oil</t>
  </si>
  <si>
    <t>Olan</t>
  </si>
  <si>
    <t>Ash gourd, black eyed beans, coconut milk</t>
  </si>
  <si>
    <t>Pachadi</t>
  </si>
  <si>
    <t>Coconut oil, cucumber, curd, curry leaves, mustard seeds</t>
  </si>
  <si>
    <t>Pachadi pineapple</t>
  </si>
  <si>
    <t>Pineapple, curd, coconut</t>
  </si>
  <si>
    <t>Pakhala</t>
  </si>
  <si>
    <t>Curd, cooked rice, curry leaves, dry chilli</t>
  </si>
  <si>
    <t>Palak dal</t>
  </si>
  <si>
    <t>Moong dal, spinach, garlic, cumin</t>
  </si>
  <si>
    <t>Palak paneer</t>
  </si>
  <si>
    <t>Cottage cheese, palak, cream, garam masala, butter</t>
  </si>
  <si>
    <t>Palak paneer low oil</t>
  </si>
  <si>
    <t>Spinach, paneer, little oil</t>
  </si>
  <si>
    <t>Panchmel dal tadka</t>
  </si>
  <si>
    <t>panchmel dal, ghee tadka, garlic</t>
  </si>
  <si>
    <t>Paneer bhuna</t>
  </si>
  <si>
    <t>Paneer, onion tomato masala</t>
  </si>
  <si>
    <t>Paneer butter masala</t>
  </si>
  <si>
    <t>Paneer, whipping cream, garam masala, cashew nuts, butter</t>
  </si>
  <si>
    <t>Paneer chettinad</t>
  </si>
  <si>
    <t>Paneer, pepper, coconut gravy</t>
  </si>
  <si>
    <t>Paneer do pyaza</t>
  </si>
  <si>
    <t>Paneer, onion gravy</t>
  </si>
  <si>
    <t>Paneer handi</t>
  </si>
  <si>
    <t>Paneer, onion tomato gravy, cream</t>
  </si>
  <si>
    <t>Paneer jalfrezi</t>
  </si>
  <si>
    <t>Paneer, capsicum, tomato gravy</t>
  </si>
  <si>
    <t>Paneer kolhapuri</t>
  </si>
  <si>
    <t>Paneer, spicy red gravy</t>
  </si>
  <si>
    <t>Paneer korma</t>
  </si>
  <si>
    <t>Paneer, cashew, cream gravy</t>
  </si>
  <si>
    <t>Paneer lababdar</t>
  </si>
  <si>
    <t>Paneer, cream, tomato gravy, butter</t>
  </si>
  <si>
    <t>Paneer makhani</t>
  </si>
  <si>
    <t>Paneer, butter tomato gravy, cream</t>
  </si>
  <si>
    <t>Paneer pasanda</t>
  </si>
  <si>
    <t>Paneer, cream, nuts</t>
  </si>
  <si>
    <t>Paneer tikka masala</t>
  </si>
  <si>
    <t>Paneer, greek yogurt, tandoori masala, cream, bell pepper</t>
  </si>
  <si>
    <t>Pappu</t>
  </si>
  <si>
    <t>Toor dal, tomato</t>
  </si>
  <si>
    <t>Parippu curry</t>
  </si>
  <si>
    <t>Moong dal, coconut</t>
  </si>
  <si>
    <t>Pattor</t>
  </si>
  <si>
    <t>Arbi ke patte, sesame seeds, gur, bengal gram flour, imli</t>
  </si>
  <si>
    <t>Perugu annam</t>
  </si>
  <si>
    <t>Curd rice</t>
  </si>
  <si>
    <t>Pineapple rasam</t>
  </si>
  <si>
    <t>pineapple, tamarind, cumin, pepper</t>
  </si>
  <si>
    <t>Pithla</t>
  </si>
  <si>
    <t>Gram flour curry</t>
  </si>
  <si>
    <t>Plain dal</t>
  </si>
  <si>
    <t>Pigeon peas, turmeric, salt, water</t>
  </si>
  <si>
    <t>Pointed gourd poriyal</t>
  </si>
  <si>
    <t>parwal, coconut, mustard, curry leaves</t>
  </si>
  <si>
    <t>Poriyal</t>
  </si>
  <si>
    <t>Chana dal, urad dal, beans, coconut, mustard</t>
  </si>
  <si>
    <t>Potato poriyal</t>
  </si>
  <si>
    <t>aloo, coconut, mustard, curry leaves</t>
  </si>
  <si>
    <t>Pulissery</t>
  </si>
  <si>
    <t>Curd, coconut, ash gourd</t>
  </si>
  <si>
    <t>Pulusu</t>
  </si>
  <si>
    <t>Tamarind gravy, veg</t>
  </si>
  <si>
    <t>Pumpkin poriyal</t>
  </si>
  <si>
    <t>pumpkin, coconut, mustard, curry leaves</t>
  </si>
  <si>
    <t>Pumpkin sambar</t>
  </si>
  <si>
    <t>pumpkin, toor dal, tamarind, sambar powder</t>
  </si>
  <si>
    <t>Punjabi kadhi</t>
  </si>
  <si>
    <t>Curd, besan, pakora</t>
  </si>
  <si>
    <t>Pyaaz ki sabzi</t>
  </si>
  <si>
    <t>Onion, spices</t>
  </si>
  <si>
    <t>Radish poriyal</t>
  </si>
  <si>
    <t>mooli, coconut, mustard, curry leaves</t>
  </si>
  <si>
    <t>Rajma</t>
  </si>
  <si>
    <t>Red kidney beans, onion, tomato, oil, garam masala</t>
  </si>
  <si>
    <t>Rajma Punjabi</t>
  </si>
  <si>
    <t>rajma punjabi, onion, tomato, spices</t>
  </si>
  <si>
    <t>Rajma chaval</t>
  </si>
  <si>
    <t>Red kidney beans, garam masala powder, ginger, tomato, mustard oil</t>
  </si>
  <si>
    <t>Rajma masala</t>
  </si>
  <si>
    <t>rajma masala, onion, tomato, spices</t>
  </si>
  <si>
    <t>Rasam</t>
  </si>
  <si>
    <t>Tomato, curry leaves, garlic, mustard seeds, hot water</t>
  </si>
  <si>
    <t>Raw banana poriyal</t>
  </si>
  <si>
    <t>raw banana, coconut, mustard, curry leaves</t>
  </si>
  <si>
    <t>Ridge gourd poriyal</t>
  </si>
  <si>
    <t>turai, coconut, mustard, curry leaves</t>
  </si>
  <si>
    <t>Rongi</t>
  </si>
  <si>
    <t>Garam masala powder, tomato, kasuri methi, cinnamon, mustard oil</t>
  </si>
  <si>
    <t>Saath</t>
  </si>
  <si>
    <t>Urad dal, potatoes, wheat flour, sooji</t>
  </si>
  <si>
    <t>Sambar</t>
  </si>
  <si>
    <t>Pigeon peas, eggplant, drumsticks, sambar powder, tamarind</t>
  </si>
  <si>
    <t>Sambar vada pav</t>
  </si>
  <si>
    <t>Vada, pav, sambar</t>
  </si>
  <si>
    <t>Sandige</t>
  </si>
  <si>
    <t>Thin rice flakes, black sesame seeds, curry leaves</t>
  </si>
  <si>
    <t>Santula</t>
  </si>
  <si>
    <t>Steamed mixed veg</t>
  </si>
  <si>
    <t>Sarson ka saag</t>
  </si>
  <si>
    <t>Mustard greens, ghee</t>
  </si>
  <si>
    <t>Sel roti</t>
  </si>
  <si>
    <t>Rice flour ring, fried</t>
  </si>
  <si>
    <t>Sev khamani</t>
  </si>
  <si>
    <t>Khaman, pomegranate, sev, powdered sugar, garlic</t>
  </si>
  <si>
    <t>Sev tameta</t>
  </si>
  <si>
    <t>Sev, ginger, tomato, sugar</t>
  </si>
  <si>
    <t>Shahi paneer</t>
  </si>
  <si>
    <t>Cottage cheese, malai, garam masala, ginger, tomato</t>
  </si>
  <si>
    <t>Shukto</t>
  </si>
  <si>
    <t>Green beans, bitter gourd, ridge gourd, banana, brinjal</t>
  </si>
  <si>
    <t>Siddu</t>
  </si>
  <si>
    <t>Wheat steamed buns, filling</t>
  </si>
  <si>
    <t>Snake gourd poriyal</t>
  </si>
  <si>
    <t>snake gourd, coconut, mustard, curry leaves</t>
  </si>
  <si>
    <t>Sol kadhi rice</t>
  </si>
  <si>
    <t>Sol kadhi, rice</t>
  </si>
  <si>
    <t>Soya chunk curry</t>
  </si>
  <si>
    <t>soya chunk curry, onion, tomato, spices</t>
  </si>
  <si>
    <t>Spaghetti bolognese</t>
  </si>
  <si>
    <t>Refined flour pasta, minced meat, tomato, onion, olive oil</t>
  </si>
  <si>
    <t>Spinach kootu</t>
  </si>
  <si>
    <t>spinach, moong dal, coconut</t>
  </si>
  <si>
    <t>Spinach poriyal</t>
  </si>
  <si>
    <t>palak, coconut, mustard, curry leaves</t>
  </si>
  <si>
    <t>Spinach sabzi</t>
  </si>
  <si>
    <t>palak, onion, tomato, spices</t>
  </si>
  <si>
    <t>Sprouts curry</t>
  </si>
  <si>
    <t>sprouts curry, onion, tomato, spices</t>
  </si>
  <si>
    <t>Sweet potato poriyal</t>
  </si>
  <si>
    <t>shakarkandi, coconut, mustard, curry leaves</t>
  </si>
  <si>
    <t>Thalipeeth</t>
  </si>
  <si>
    <t>Whole wheat flour, rice flour, pearl millet flour, sorghum flour, sesame seeds</t>
  </si>
  <si>
    <t>Theeyal</t>
  </si>
  <si>
    <t>Coconut, whole red beans, masala, sesame oil, tamarind</t>
  </si>
  <si>
    <t>Thoran cabbage</t>
  </si>
  <si>
    <t>Cabbage, coconut</t>
  </si>
  <si>
    <t>Thukpa veg</t>
  </si>
  <si>
    <t>Noodle soup, veggies</t>
  </si>
  <si>
    <t>Tofu stir fry</t>
  </si>
  <si>
    <t>Tofu, broccoli, capsicum, carrot, soy sauce</t>
  </si>
  <si>
    <t>Tomato rasam</t>
  </si>
  <si>
    <t>tomato, tamarind, cumin, pepper</t>
  </si>
  <si>
    <t>Toor dal tadka</t>
  </si>
  <si>
    <t>toor dal, ghee tadka, garlic</t>
  </si>
  <si>
    <t>Turiya Patra Vatana sabji</t>
  </si>
  <si>
    <t>Ridge gourd, baking soda, sugar, grated coconut, peas</t>
  </si>
  <si>
    <t>Turnip poriyal</t>
  </si>
  <si>
    <t>shalgam, coconut, mustard, curry leaves</t>
  </si>
  <si>
    <t>Undhiyu</t>
  </si>
  <si>
    <t>Sweet potato, surti papdi, baby potatoes, valor papdi, green peas</t>
  </si>
  <si>
    <t>Urad dal tadka</t>
  </si>
  <si>
    <t>urad dal, ghee tadka, garlic</t>
  </si>
  <si>
    <t>Varan bhaat</t>
  </si>
  <si>
    <t>Dal rice, ghee</t>
  </si>
  <si>
    <t>Vegetable jalfrezi</t>
  </si>
  <si>
    <t>Baby corn, french beans, garam masala, ginger, carrot</t>
  </si>
  <si>
    <t>Vegetable korma</t>
  </si>
  <si>
    <t>Veggies, coconut, cashew</t>
  </si>
  <si>
    <t>Vendakkai sambar</t>
  </si>
  <si>
    <t>vendakkai, toor dal, tamarind, sambar powder</t>
  </si>
  <si>
    <t>Vindaloo</t>
  </si>
  <si>
    <t>Chicken, coconut oil, wine vinegar, ginger, green, cinnamon</t>
  </si>
  <si>
    <t>White pea curry</t>
  </si>
  <si>
    <t>white pea curry, onion, tomato, spices</t>
  </si>
  <si>
    <t>Yam poriyal</t>
  </si>
  <si>
    <t>suran, coconut, mustard, curry leaves</t>
  </si>
  <si>
    <t>Zucchini poriyal</t>
  </si>
  <si>
    <t>zucchini, coconut, mustard, curry leaves</t>
  </si>
  <si>
    <t>Zunka</t>
  </si>
  <si>
    <t>Gram flour, mustard, garlic, turmeric, red chilli</t>
  </si>
  <si>
    <t>ABC juice</t>
  </si>
  <si>
    <t>Drinks &amp; Juices</t>
  </si>
  <si>
    <t>beverage</t>
  </si>
  <si>
    <t>Apple, beetroot, carrot</t>
  </si>
  <si>
    <t>Aam panna</t>
  </si>
  <si>
    <t>Raw mango, mint, cumin, sugar</t>
  </si>
  <si>
    <t>Adrak chai</t>
  </si>
  <si>
    <t>Tea, ginger, milk, sugar</t>
  </si>
  <si>
    <t>Ajwain water</t>
  </si>
  <si>
    <t>Carom seeds, water</t>
  </si>
  <si>
    <t>Aloe vera juice</t>
  </si>
  <si>
    <t>Aloe vera, water</t>
  </si>
  <si>
    <t>Americano</t>
  </si>
  <si>
    <t>Espresso, hot water</t>
  </si>
  <si>
    <t>Amla juice</t>
  </si>
  <si>
    <t>Amla, water</t>
  </si>
  <si>
    <t>Apple milkshake</t>
  </si>
  <si>
    <t>Apple, milk, sugar, ice cream</t>
  </si>
  <si>
    <t>Apple smoothie</t>
  </si>
  <si>
    <t>Apple, curd, no added sugar</t>
  </si>
  <si>
    <t>Ash gourd juice</t>
  </si>
  <si>
    <t>Ash gourd</t>
  </si>
  <si>
    <t>Badam kheer drink</t>
  </si>
  <si>
    <t>Milk, almonds, sugar</t>
  </si>
  <si>
    <t>Badam milk</t>
  </si>
  <si>
    <t>Milk, almonds, sugar, saffron</t>
  </si>
  <si>
    <t>Bael sharbat</t>
  </si>
  <si>
    <t>Bael fruit, jaggery</t>
  </si>
  <si>
    <t>Banana lassi</t>
  </si>
  <si>
    <t>Banana, curd, sugar</t>
  </si>
  <si>
    <t>Banana milkshake</t>
  </si>
  <si>
    <t>Banana, milk, sugar, ice cream</t>
  </si>
  <si>
    <t>Banana smoothie</t>
  </si>
  <si>
    <t>Banana, milk, yogurt</t>
  </si>
  <si>
    <t>Beer</t>
  </si>
  <si>
    <t>Barley, hops, alcohol</t>
  </si>
  <si>
    <t>Beetroot juice</t>
  </si>
  <si>
    <t>Beetroot, no added sugar</t>
  </si>
  <si>
    <t>Bitter gourd juice</t>
  </si>
  <si>
    <t>Karela, water</t>
  </si>
  <si>
    <t>Black coffee</t>
  </si>
  <si>
    <t>Coffee, water</t>
  </si>
  <si>
    <t>Black tea</t>
  </si>
  <si>
    <t>Tea leaves, water</t>
  </si>
  <si>
    <t>Blue curacao mocktail</t>
  </si>
  <si>
    <t>Blue curacao syrup, soda, ice</t>
  </si>
  <si>
    <t>Blueberry smoothie</t>
  </si>
  <si>
    <t>Blueberry, curd, no added sugar</t>
  </si>
  <si>
    <t>Boost milk</t>
  </si>
  <si>
    <t>Milk, malt powder, sugar</t>
  </si>
  <si>
    <t>Bournvita milk</t>
  </si>
  <si>
    <t>Milk, cocoa malt, sugar</t>
  </si>
  <si>
    <t>Buttermilk</t>
  </si>
  <si>
    <t>Curd, water, cumin, salt</t>
  </si>
  <si>
    <t>Cappuccino</t>
  </si>
  <si>
    <t>Espresso, steamed milk</t>
  </si>
  <si>
    <t>Carrot juice</t>
  </si>
  <si>
    <t>Carrot, no added sugar</t>
  </si>
  <si>
    <t>Chaas masala</t>
  </si>
  <si>
    <t>Buttermilk, cumin, mint</t>
  </si>
  <si>
    <t>Chikoo milkshake</t>
  </si>
  <si>
    <t>Chikoo, milk, sugar, ice cream</t>
  </si>
  <si>
    <t>Chocolate milkshake</t>
  </si>
  <si>
    <t>Milk, chocolate, sugar</t>
  </si>
  <si>
    <t>Coconut water</t>
  </si>
  <si>
    <t>Cola</t>
  </si>
  <si>
    <t>Carbonated water, sugar, caramel colour, cola flavour</t>
  </si>
  <si>
    <t>Cold coffee</t>
  </si>
  <si>
    <t>Coffee, milk, ice cream, sugar</t>
  </si>
  <si>
    <t>Cold coffee with ice cream</t>
  </si>
  <si>
    <t>Coffee, milk, sugar, ice cream</t>
  </si>
  <si>
    <t>Cold milk</t>
  </si>
  <si>
    <t>Cow milk</t>
  </si>
  <si>
    <t>Detox water cucumber mint</t>
  </si>
  <si>
    <t>Water, cucumber, mint, lemon</t>
  </si>
  <si>
    <t>Diet cola</t>
  </si>
  <si>
    <t>Carbonated water, sweetener</t>
  </si>
  <si>
    <t>Dry fruit lassi</t>
  </si>
  <si>
    <t>Dry fruit, curd, sugar</t>
  </si>
  <si>
    <t>Elaichi chai</t>
  </si>
  <si>
    <t>Tea, cardamom, milk, sugar</t>
  </si>
  <si>
    <t>Electrolyte drink ORS</t>
  </si>
  <si>
    <t>Water, salts, little sugar</t>
  </si>
  <si>
    <t>Energy drink</t>
  </si>
  <si>
    <t>Carbonated water, sugar, caffeine, artificial flavours</t>
  </si>
  <si>
    <t>Espresso</t>
  </si>
  <si>
    <t>Concentrated coffee</t>
  </si>
  <si>
    <t>Fanta orange</t>
  </si>
  <si>
    <t>Carbonated water, sugar, orange flavour</t>
  </si>
  <si>
    <t>Filter coffee</t>
  </si>
  <si>
    <t>Coffee, milk, sugar</t>
  </si>
  <si>
    <t>Filter coffee with sugar</t>
  </si>
  <si>
    <t>Decoction, milk, sugar</t>
  </si>
  <si>
    <t>Frappe</t>
  </si>
  <si>
    <t>Coffee, milk, sugar, whipped cream</t>
  </si>
  <si>
    <t>Fresh apple juice</t>
  </si>
  <si>
    <t>Apple, no added sugar</t>
  </si>
  <si>
    <t>Fresh banana juice</t>
  </si>
  <si>
    <t>Banana, no added sugar</t>
  </si>
  <si>
    <t>Fresh chikoo juice</t>
  </si>
  <si>
    <t>Chikoo, no added sugar</t>
  </si>
  <si>
    <t>Fresh cranberry juice</t>
  </si>
  <si>
    <t>Cranberry, no added sugar</t>
  </si>
  <si>
    <t>Fresh grape juice</t>
  </si>
  <si>
    <t>Grape, no added sugar</t>
  </si>
  <si>
    <t>Fresh guava juice</t>
  </si>
  <si>
    <t>Guava, no added sugar</t>
  </si>
  <si>
    <t>Fresh jamun juice</t>
  </si>
  <si>
    <t>Jamun, no added sugar</t>
  </si>
  <si>
    <t>Fresh kiwi juice</t>
  </si>
  <si>
    <t>Kiwi, no added sugar</t>
  </si>
  <si>
    <t>Fresh litchi juice</t>
  </si>
  <si>
    <t>Litchi, no added sugar</t>
  </si>
  <si>
    <t>Fresh mango juice</t>
  </si>
  <si>
    <t>Mango, no added sugar</t>
  </si>
  <si>
    <t>Fresh mixed fruit juice</t>
  </si>
  <si>
    <t>Mixed fruit, no added sugar</t>
  </si>
  <si>
    <t>Fresh muskmelon juice</t>
  </si>
  <si>
    <t>Muskmelon, no added sugar</t>
  </si>
  <si>
    <t>Fresh orange juice</t>
  </si>
  <si>
    <t>Orange, water</t>
  </si>
  <si>
    <t>Fresh papaya juice</t>
  </si>
  <si>
    <t>Papaya, no added sugar</t>
  </si>
  <si>
    <t>Fresh pear juice</t>
  </si>
  <si>
    <t>Pear, no added sugar</t>
  </si>
  <si>
    <t>Fresh pineapple juice</t>
  </si>
  <si>
    <t>Pineapple, no added sugar</t>
  </si>
  <si>
    <t>Fresh pomegranate juice</t>
  </si>
  <si>
    <t>Pomegranate, no added sugar</t>
  </si>
  <si>
    <t>Fresh strawberry juice</t>
  </si>
  <si>
    <t>Strawberry, no added sugar</t>
  </si>
  <si>
    <t>Fresh sweet lime juice</t>
  </si>
  <si>
    <t>Sweet lime, no added sugar</t>
  </si>
  <si>
    <t>Fresh watermelon juice</t>
  </si>
  <si>
    <t>Watermelon, no added sugar</t>
  </si>
  <si>
    <t>Frooti</t>
  </si>
  <si>
    <t>Mango pulp, sugar, water</t>
  </si>
  <si>
    <t>Fruit smoothie</t>
  </si>
  <si>
    <t>Strawberry, banana, yogurt, milk</t>
  </si>
  <si>
    <t>Green tea</t>
  </si>
  <si>
    <t>Green tea leaves, water</t>
  </si>
  <si>
    <t>Horlicks milk</t>
  </si>
  <si>
    <t>Hot chocolate</t>
  </si>
  <si>
    <t>Milk, cocoa, sugar</t>
  </si>
  <si>
    <t>Hot milk with sugar</t>
  </si>
  <si>
    <t>Milk, sugar</t>
  </si>
  <si>
    <t>Iced lemon tea packaged</t>
  </si>
  <si>
    <t>Tea, lemon, sugar</t>
  </si>
  <si>
    <t>Iced tea</t>
  </si>
  <si>
    <t>Tea, water, sugar, lemon</t>
  </si>
  <si>
    <t>Instant coffee</t>
  </si>
  <si>
    <t>Coffee powder, milk, sugar</t>
  </si>
  <si>
    <t>Irani chai</t>
  </si>
  <si>
    <t>Tea, milk, sugar</t>
  </si>
  <si>
    <t>Jaljeera</t>
  </si>
  <si>
    <t>Cumin, mint, tamarind, black salt</t>
  </si>
  <si>
    <t>Jeera water</t>
  </si>
  <si>
    <t>Cumin seeds, warm water</t>
  </si>
  <si>
    <t>Kashmiri kahwa</t>
  </si>
  <si>
    <t>Green tea, saffron, almonds</t>
  </si>
  <si>
    <t>Kesar milk</t>
  </si>
  <si>
    <t>Milk, saffron, sugar</t>
  </si>
  <si>
    <t>Kitkat shake</t>
  </si>
  <si>
    <t>Milk, KitKat, ice cream</t>
  </si>
  <si>
    <t>Kokum sharbat</t>
  </si>
  <si>
    <t>Kokum, sugar, water</t>
  </si>
  <si>
    <t>Kombucha</t>
  </si>
  <si>
    <t>Fermented tea</t>
  </si>
  <si>
    <t>Latte</t>
  </si>
  <si>
    <t>Lemon juice</t>
  </si>
  <si>
    <t>Lemon juice, water, sugar, salt</t>
  </si>
  <si>
    <t>Lemon tea</t>
  </si>
  <si>
    <t>Tea, lemon, little sugar</t>
  </si>
  <si>
    <t>Lemonade</t>
  </si>
  <si>
    <t>Lemon juice, water, sugar</t>
  </si>
  <si>
    <t>Limca</t>
  </si>
  <si>
    <t>Carbonated water, sugar, lemon flavour</t>
  </si>
  <si>
    <t>Maaza</t>
  </si>
  <si>
    <t>Mango lassi</t>
  </si>
  <si>
    <t>Yogurt, mango, sugar</t>
  </si>
  <si>
    <t>Mango milkshake</t>
  </si>
  <si>
    <t>Mango, milk, sugar, ice cream</t>
  </si>
  <si>
    <t>Mango mocktail</t>
  </si>
  <si>
    <t>Mango syrup, soda, ice</t>
  </si>
  <si>
    <t>Mango smoothie</t>
  </si>
  <si>
    <t>Mango, curd, no added sugar</t>
  </si>
  <si>
    <t>Mango soda</t>
  </si>
  <si>
    <t>Mango flavour, carbonated water, sugar</t>
  </si>
  <si>
    <t>Masala chai</t>
  </si>
  <si>
    <t>Tea leaves, milk, sugar, ginger, cardamom</t>
  </si>
  <si>
    <t>Masala chai without sugar</t>
  </si>
  <si>
    <t>Tea, spices, milk</t>
  </si>
  <si>
    <t>Milk</t>
  </si>
  <si>
    <t>Milkshake</t>
  </si>
  <si>
    <t>Milk, ice cream, sugar</t>
  </si>
  <si>
    <t>Mint mocktail</t>
  </si>
  <si>
    <t>Mint syrup, soda, ice</t>
  </si>
  <si>
    <t>Mixed fruit milkshake</t>
  </si>
  <si>
    <t>Mixed fruit, milk, sugar, ice cream</t>
  </si>
  <si>
    <t>Mixed fruit smoothie</t>
  </si>
  <si>
    <t>Mixed fruit, curd, no added sugar</t>
  </si>
  <si>
    <t>Mocha</t>
  </si>
  <si>
    <t>Espresso, chocolate, milk, sugar</t>
  </si>
  <si>
    <t>Mountain Dew</t>
  </si>
  <si>
    <t>Carbonated water, sugar, citrus flavour</t>
  </si>
  <si>
    <t>Neer mor</t>
  </si>
  <si>
    <t>Thin buttermilk, ginger, curry leaves</t>
  </si>
  <si>
    <t>Nimbu pani</t>
  </si>
  <si>
    <t>Lemon, water, sugar, salt</t>
  </si>
  <si>
    <t>Noon chai</t>
  </si>
  <si>
    <t>Pink tea, milk, salt</t>
  </si>
  <si>
    <t>Orange soda</t>
  </si>
  <si>
    <t>Orange flavour, carbonated water, sugar</t>
  </si>
  <si>
    <t>Oreo milkshake</t>
  </si>
  <si>
    <t>Milk, Oreo, ice cream</t>
  </si>
  <si>
    <t>Packaged apple juice</t>
  </si>
  <si>
    <t>Apple concentrate, sugar, preservatives</t>
  </si>
  <si>
    <t>Packaged fruit juice</t>
  </si>
  <si>
    <t>Fruit concentrate, sugar, water, preservatives</t>
  </si>
  <si>
    <t>Packaged grape juice</t>
  </si>
  <si>
    <t>Grape concentrate, sugar, preservatives</t>
  </si>
  <si>
    <t>Packaged guava juice</t>
  </si>
  <si>
    <t>Guava concentrate, sugar, preservatives</t>
  </si>
  <si>
    <t>Packaged litchi juice</t>
  </si>
  <si>
    <t>Litchi concentrate, sugar, preservatives</t>
  </si>
  <si>
    <t>Packaged mango juice</t>
  </si>
  <si>
    <t>Mango concentrate, sugar, preservatives</t>
  </si>
  <si>
    <t>Packaged mixed fruit juice</t>
  </si>
  <si>
    <t>Mixed fruit concentrate, sugar, preservatives</t>
  </si>
  <si>
    <t>Packaged orange juice</t>
  </si>
  <si>
    <t>Orange concentrate, sugar, preservatives</t>
  </si>
  <si>
    <t>Packaged pineapple juice</t>
  </si>
  <si>
    <t>Pineapple concentrate, sugar, preservatives</t>
  </si>
  <si>
    <t>Packaged pomegranate juice</t>
  </si>
  <si>
    <t>Pomegranate concentrate, sugar, preservatives</t>
  </si>
  <si>
    <t>Papaya milkshake</t>
  </si>
  <si>
    <t>Papaya, milk, sugar, ice cream</t>
  </si>
  <si>
    <t>Papaya smoothie</t>
  </si>
  <si>
    <t>Papaya, curd, no added sugar</t>
  </si>
  <si>
    <t>Pepsi</t>
  </si>
  <si>
    <t>Carbonated water, sugar, caramel</t>
  </si>
  <si>
    <t>Pineapple milkshake</t>
  </si>
  <si>
    <t>Pineapple, milk, sugar, ice cream</t>
  </si>
  <si>
    <t>Pineapple smoothie</t>
  </si>
  <si>
    <t>Pineapple, curd, no added sugar</t>
  </si>
  <si>
    <t>Ragi malt</t>
  </si>
  <si>
    <t>Ragi flour, jaggery, milk</t>
  </si>
  <si>
    <t>Red Bull</t>
  </si>
  <si>
    <t>Caffeine, taurine, sugar</t>
  </si>
  <si>
    <t>Rose lassi</t>
  </si>
  <si>
    <t>Rose, curd, sugar</t>
  </si>
  <si>
    <t>Rose sharbat</t>
  </si>
  <si>
    <t>Rose syrup, sugar, water</t>
  </si>
  <si>
    <t>Saffron lassi</t>
  </si>
  <si>
    <t>Saffron, curd, sugar</t>
  </si>
  <si>
    <t>Salted lassi</t>
  </si>
  <si>
    <t>Curd, salt, cumin</t>
  </si>
  <si>
    <t>Sattu drink</t>
  </si>
  <si>
    <t>Roasted gram flour, water, salt</t>
  </si>
  <si>
    <t>Slice mango drink</t>
  </si>
  <si>
    <t>Soda water</t>
  </si>
  <si>
    <t>Carbonated water</t>
  </si>
  <si>
    <t>Sol kadhi</t>
  </si>
  <si>
    <t>Kokum, coconut milk, garlic</t>
  </si>
  <si>
    <t>Sports drink</t>
  </si>
  <si>
    <t>Water, sugar, electrolytes</t>
  </si>
  <si>
    <t>Sprite</t>
  </si>
  <si>
    <t>Strawberry milkshake</t>
  </si>
  <si>
    <t>Strawberry, milk, sugar, ice cream</t>
  </si>
  <si>
    <t>Strawberry smoothie</t>
  </si>
  <si>
    <t>Strawberry, curd, no added sugar</t>
  </si>
  <si>
    <t>Sugarcane juice</t>
  </si>
  <si>
    <t>Sugarcane juice, ginger, lemon</t>
  </si>
  <si>
    <t>Sugarcane juice with ginger</t>
  </si>
  <si>
    <t>Sugarcane, ginger, lemon</t>
  </si>
  <si>
    <t>Sulaimani tea</t>
  </si>
  <si>
    <t>Black tea, lemon, spices</t>
  </si>
  <si>
    <t>Sweet lassi</t>
  </si>
  <si>
    <t>Curd, sugar</t>
  </si>
  <si>
    <t>Tandoori chai</t>
  </si>
  <si>
    <t>Tea, milk, sugar, clay cup</t>
  </si>
  <si>
    <t>Tender coconut malai</t>
  </si>
  <si>
    <t>Coconut water and malai</t>
  </si>
  <si>
    <t>Thandai</t>
  </si>
  <si>
    <t>Milk, nuts, sugar, spices</t>
  </si>
  <si>
    <t>Thums Up</t>
  </si>
  <si>
    <t>Tomato juice</t>
  </si>
  <si>
    <t>Tomato, salt</t>
  </si>
  <si>
    <t>Turmeric milk</t>
  </si>
  <si>
    <t>Milk, turmeric, black pepper</t>
  </si>
  <si>
    <t>Watermelon mocktail</t>
  </si>
  <si>
    <t>Watermelon syrup, soda, ice</t>
  </si>
  <si>
    <t>Wheatgrass juice</t>
  </si>
  <si>
    <t>Wheatgrass</t>
  </si>
  <si>
    <t>Whisky</t>
  </si>
  <si>
    <t>Distilled grain spirit</t>
  </si>
  <si>
    <t>Wine</t>
  </si>
  <si>
    <t>Fermented grapes</t>
  </si>
  <si>
    <t>Alfredo pasta</t>
  </si>
  <si>
    <t>Fast Food &amp; Chinese</t>
  </si>
  <si>
    <t>Pasta, cream, cheese</t>
  </si>
  <si>
    <t>Aloo finger chips</t>
  </si>
  <si>
    <t>Potato, deep fried</t>
  </si>
  <si>
    <t>Aloo tikki burger</t>
  </si>
  <si>
    <t>Bun, aloo tikki, mayo, lettuce</t>
  </si>
  <si>
    <t>American chopsuey</t>
  </si>
  <si>
    <t>Fried noodles, sweet and sour sauce</t>
  </si>
  <si>
    <t>Baby corn manchurian</t>
  </si>
  <si>
    <t>Baby corn, batter, sauce, fried</t>
  </si>
  <si>
    <t>Baked macaroni cheese</t>
  </si>
  <si>
    <t>Macaroni, cheese, cream</t>
  </si>
  <si>
    <t>Burger</t>
  </si>
  <si>
    <t>Bun, patty, cheese, mayonnaise, lettuce, oil</t>
  </si>
  <si>
    <t>Burnt garlic fried rice</t>
  </si>
  <si>
    <t>Rice, burnt garlic, veggies</t>
  </si>
  <si>
    <t>Burrito</t>
  </si>
  <si>
    <t>Wheat tortilla, rice, beans, chicken, cheese</t>
  </si>
  <si>
    <t>Cheese burger</t>
  </si>
  <si>
    <t>Bun, patty, cheese, sauces</t>
  </si>
  <si>
    <t>Cheese burst pizza</t>
  </si>
  <si>
    <t>Maida base, extra cheese stuffed crust</t>
  </si>
  <si>
    <t>Cheese momos</t>
  </si>
  <si>
    <t>Momos, cheese filling</t>
  </si>
  <si>
    <t>Cheese nuggets</t>
  </si>
  <si>
    <t>Cheese, crumbs, deep fried</t>
  </si>
  <si>
    <t>Cheesy fries</t>
  </si>
  <si>
    <t>Potato fries, cheese sauce</t>
  </si>
  <si>
    <t>Chicken alfredo pasta</t>
  </si>
  <si>
    <t>Pasta, cream, chicken</t>
  </si>
  <si>
    <t>Chicken burger</t>
  </si>
  <si>
    <t>Bun, chicken patty, cheese, mayonnaise, lettuce, oil</t>
  </si>
  <si>
    <t>Chicken burrito bowl</t>
  </si>
  <si>
    <t>Rice, beans, chicken, salsa</t>
  </si>
  <si>
    <t>Chicken chow mein</t>
  </si>
  <si>
    <t>Fried noodles, chicken, veggies</t>
  </si>
  <si>
    <t>Chicken hakka noodles</t>
  </si>
  <si>
    <t>Refined flour noodles, chicken, cabbage, soy sauce, oil</t>
  </si>
  <si>
    <t>Chicken lollipop</t>
  </si>
  <si>
    <t>Chicken wings, corn flour, soy sauce, chilli sauce, oil</t>
  </si>
  <si>
    <t>Chicken lollipop dry</t>
  </si>
  <si>
    <t>Chicken drumette, batter, fried</t>
  </si>
  <si>
    <t>Chicken manchow soup</t>
  </si>
  <si>
    <t>Chicken stock, soy, fried noodles</t>
  </si>
  <si>
    <t>Chicken manchurian</t>
  </si>
  <si>
    <t>Chicken, corn flour, soy sauce, spring onion, oil</t>
  </si>
  <si>
    <t>Chicken momos</t>
  </si>
  <si>
    <t>Refined flour, chicken, onion, ginger, garlic</t>
  </si>
  <si>
    <t>Chicken nuggets</t>
  </si>
  <si>
    <t>Chicken, refined flour, bread crumbs, oil</t>
  </si>
  <si>
    <t>Chicken nuggets baked</t>
  </si>
  <si>
    <t>Chicken, crumbs, baked</t>
  </si>
  <si>
    <t>Chicken pasta</t>
  </si>
  <si>
    <t>Refined flour pasta, chicken, cream, cheese, butter</t>
  </si>
  <si>
    <t>Chicken pizza</t>
  </si>
  <si>
    <t>Refined flour, chicken, cheese, tomato sauce, oil</t>
  </si>
  <si>
    <t>Chicken popcorn</t>
  </si>
  <si>
    <t>Chicken popcorn bites</t>
  </si>
  <si>
    <t>Chicken, crumb coating, deep fried</t>
  </si>
  <si>
    <t>Chicken steamed momos</t>
  </si>
  <si>
    <t>Maida wrapper, chicken, steamed</t>
  </si>
  <si>
    <t>Chicken strips</t>
  </si>
  <si>
    <t>Chicken tacos</t>
  </si>
  <si>
    <t>Taco shell, chicken, salsa</t>
  </si>
  <si>
    <t>Chicken thukpa</t>
  </si>
  <si>
    <t>Noodle soup, chicken, vegetables</t>
  </si>
  <si>
    <t>Chicken tikka pizza</t>
  </si>
  <si>
    <t>Maida base, chicken, cheese</t>
  </si>
  <si>
    <t>Chicken wings</t>
  </si>
  <si>
    <t>Chicken wings, refined flour, spices, oil</t>
  </si>
  <si>
    <t>Chilli fish</t>
  </si>
  <si>
    <t>Fish, batter, soy sauce, fried</t>
  </si>
  <si>
    <t>Chilli gobi</t>
  </si>
  <si>
    <t>Cauliflower, soy sauce, fried</t>
  </si>
  <si>
    <t>Chilli mushroom</t>
  </si>
  <si>
    <t>Mushroom, capsicum, soy sauce</t>
  </si>
  <si>
    <t>Chilli paneer dry</t>
  </si>
  <si>
    <t>Paneer, capsicum, soy sauce, fried</t>
  </si>
  <si>
    <t>Chilli paneer gravy</t>
  </si>
  <si>
    <t>Paneer, capsicum, soy sauce, gravy</t>
  </si>
  <si>
    <t>Chilli prawns</t>
  </si>
  <si>
    <t>Prawns, batter, chilli sauce, fried</t>
  </si>
  <si>
    <t>Crispy corn</t>
  </si>
  <si>
    <t>Corn, corn flour, fried, spices</t>
  </si>
  <si>
    <t>Double patty cheese burger</t>
  </si>
  <si>
    <t>Bun, two beef patties, cheese</t>
  </si>
  <si>
    <t>Dragon chicken</t>
  </si>
  <si>
    <t>Chicken, batter, chilli, fried</t>
  </si>
  <si>
    <t>Egg burger</t>
  </si>
  <si>
    <t>Bun, fried egg, mayo</t>
  </si>
  <si>
    <t>Egg fried rice street</t>
  </si>
  <si>
    <t>Rice, egg, soy sauce</t>
  </si>
  <si>
    <t>Farmhouse pizza</t>
  </si>
  <si>
    <t>Maida base, veggies, cheese</t>
  </si>
  <si>
    <t>Fish burger</t>
  </si>
  <si>
    <t>Bun, fried fish fillet, tartar</t>
  </si>
  <si>
    <t>French fries</t>
  </si>
  <si>
    <t>Potato, oil, salt</t>
  </si>
  <si>
    <t>Fried chicken bucket</t>
  </si>
  <si>
    <t>Chicken, flour coating, deep fried</t>
  </si>
  <si>
    <t>Fried momos</t>
  </si>
  <si>
    <t>Refined flour, cabbage, carrot, onion, oil</t>
  </si>
  <si>
    <t>Garlic bread cheese</t>
  </si>
  <si>
    <t>Bread, garlic butter, cheese</t>
  </si>
  <si>
    <t>Garlic prawns</t>
  </si>
  <si>
    <t>Prawns, garlic, butter</t>
  </si>
  <si>
    <t>Gobi manchurian</t>
  </si>
  <si>
    <t>Cauliflower, refined flour, corn flour, soy sauce, oil</t>
  </si>
  <si>
    <t>Grilled chicken wings</t>
  </si>
  <si>
    <t>Chicken wings, spices, grilled</t>
  </si>
  <si>
    <t>Hakka noodles</t>
  </si>
  <si>
    <t>Refined flour noodles, cabbage, carrot, soy sauce, oil</t>
  </si>
  <si>
    <t>Honey chilli potato</t>
  </si>
  <si>
    <t>Potato, honey, chilli sauce, fried</t>
  </si>
  <si>
    <t>Hot and sour soup</t>
  </si>
  <si>
    <t>Veg stock, vinegar, pepper</t>
  </si>
  <si>
    <t>Hot dog</t>
  </si>
  <si>
    <t>Bun, sausage, mayonnaise, ketchup, mustard</t>
  </si>
  <si>
    <t>Hot wings</t>
  </si>
  <si>
    <t>Chicken wings, hot sauce, fried</t>
  </si>
  <si>
    <t>Kurkure momos</t>
  </si>
  <si>
    <t>Momos, crunchy coating, fried</t>
  </si>
  <si>
    <t>Lasagna</t>
  </si>
  <si>
    <t>Refined flour pasta, minced meat, cheese, tomato sauce, cream</t>
  </si>
  <si>
    <t>Lemon coriander soup</t>
  </si>
  <si>
    <t>Veg stock, lemon, coriander</t>
  </si>
  <si>
    <t>Loaded nachos</t>
  </si>
  <si>
    <t>Corn chips, cheese, beans, sour cream</t>
  </si>
  <si>
    <t>Mac and cheese</t>
  </si>
  <si>
    <t>Refined flour pasta, cheese, milk, butter</t>
  </si>
  <si>
    <t>Maggi noodles</t>
  </si>
  <si>
    <t>Instant noodles, refined flour, palm oil, salt, masala</t>
  </si>
  <si>
    <t>Margherita pizza</t>
  </si>
  <si>
    <t>Maida base, cheese, tomato sauce</t>
  </si>
  <si>
    <t>Mushroom manchurian</t>
  </si>
  <si>
    <t>Mushroom, batter, sauce, fried</t>
  </si>
  <si>
    <t>Nachos</t>
  </si>
  <si>
    <t>Corn chips, cheese, salsa, oil</t>
  </si>
  <si>
    <t>Nachos with cheese</t>
  </si>
  <si>
    <t>Corn chips, cheese sauce</t>
  </si>
  <si>
    <t>Onion rings</t>
  </si>
  <si>
    <t>Onion, refined flour, bread crumbs, oil</t>
  </si>
  <si>
    <t>Paneer burger</t>
  </si>
  <si>
    <t>Bun, fried paneer patty, mayo</t>
  </si>
  <si>
    <t>Paneer fried rice</t>
  </si>
  <si>
    <t>Rice, paneer, soy sauce</t>
  </si>
  <si>
    <t>Paneer manchurian</t>
  </si>
  <si>
    <t>Paneer, batter, sauce, fried</t>
  </si>
  <si>
    <t>Paneer momos</t>
  </si>
  <si>
    <t>Maida wrapper, paneer, steamed</t>
  </si>
  <si>
    <t>Paneer tikka pizza</t>
  </si>
  <si>
    <t>Maida base, paneer tikka, cheese</t>
  </si>
  <si>
    <t>Pasta red sauce</t>
  </si>
  <si>
    <t>Refined flour pasta, tomato sauce, onion, garlic, olive oil</t>
  </si>
  <si>
    <t>Pasta white sauce</t>
  </si>
  <si>
    <t>Refined flour pasta, cream, cheese, butter</t>
  </si>
  <si>
    <t>Penne arrabbiata</t>
  </si>
  <si>
    <t>Penne, spicy tomato sauce</t>
  </si>
  <si>
    <t>Pepperoni pizza</t>
  </si>
  <si>
    <t>Maida base, pepperoni, cheese</t>
  </si>
  <si>
    <t>Peri peri fries</t>
  </si>
  <si>
    <t>Potato fries, peri peri seasoning</t>
  </si>
  <si>
    <t>Pizza</t>
  </si>
  <si>
    <t>Refined flour, cheese, tomato sauce, oil</t>
  </si>
  <si>
    <t>Potato wedges</t>
  </si>
  <si>
    <t>Potato, oil, baked or fried</t>
  </si>
  <si>
    <t>Red sauce pasta veg</t>
  </si>
  <si>
    <t>Maida pasta, tomato sauce, veggies</t>
  </si>
  <si>
    <t>Schezwan chicken</t>
  </si>
  <si>
    <t>Chicken, schezwan sauce</t>
  </si>
  <si>
    <t>Schezwan fried rice</t>
  </si>
  <si>
    <t>Rice, schezwan sauce, veggies</t>
  </si>
  <si>
    <t>Schezwan noodles</t>
  </si>
  <si>
    <t>Maida noodles, schezwan sauce</t>
  </si>
  <si>
    <t>Shawarma</t>
  </si>
  <si>
    <t>Pita bread, chicken, mayonnaise, garlic sauce, vegetables</t>
  </si>
  <si>
    <t>Spaghetti aglio olio</t>
  </si>
  <si>
    <t>Spaghetti, garlic, olive oil</t>
  </si>
  <si>
    <t>Steamed veg momos</t>
  </si>
  <si>
    <t>Maida wrapper, veg filling, steamed</t>
  </si>
  <si>
    <t>Stuffed garlic bread</t>
  </si>
  <si>
    <t>Bread, cheese, corn, garlic butter</t>
  </si>
  <si>
    <t>Sushi</t>
  </si>
  <si>
    <t>Rice, raw fish, seaweed, rice vinegar</t>
  </si>
  <si>
    <t>Sweet potato fries</t>
  </si>
  <si>
    <t>Sweet potato, deep fried</t>
  </si>
  <si>
    <t>Tacos</t>
  </si>
  <si>
    <t>Corn tortilla, chicken, lettuce, tomato, cheese</t>
  </si>
  <si>
    <t>Tandoori momos</t>
  </si>
  <si>
    <t>Momos, tandoori marinade, grilled</t>
  </si>
  <si>
    <t>Thin crust veg pizza</t>
  </si>
  <si>
    <t>Thin base, veggies, light cheese</t>
  </si>
  <si>
    <t>Thukpa</t>
  </si>
  <si>
    <t>Noodle soup, veggies, broth</t>
  </si>
  <si>
    <t>Triple schezwan rice</t>
  </si>
  <si>
    <t>Rice, noodles, gravy, schezwan</t>
  </si>
  <si>
    <t>Veg burger</t>
  </si>
  <si>
    <t>Bun, potato patty, cheese, mayonnaise, lettuce, oil</t>
  </si>
  <si>
    <t>Veg burrito</t>
  </si>
  <si>
    <t>Tortilla, rice, beans, cheese</t>
  </si>
  <si>
    <t>Veg fried rice</t>
  </si>
  <si>
    <t>Rice, veggies, soy sauce, oil</t>
  </si>
  <si>
    <t>Veg hakka noodles</t>
  </si>
  <si>
    <t>Maida noodles, veggies, soy sauce</t>
  </si>
  <si>
    <t>Veg manchow soup</t>
  </si>
  <si>
    <t>Veg stock, soy sauce, fried noodles</t>
  </si>
  <si>
    <t>Veg manchurian</t>
  </si>
  <si>
    <t>Cabbage, carrot, refined flour, corn flour, soy sauce, oil</t>
  </si>
  <si>
    <t>Veg momos</t>
  </si>
  <si>
    <t>Refined flour, cabbage, carrot, onion, ginger</t>
  </si>
  <si>
    <t>Veg supreme pizza</t>
  </si>
  <si>
    <t>Maida base, veggies, olives, cheese</t>
  </si>
  <si>
    <t>Veg tacos</t>
  </si>
  <si>
    <t>Corn taco, beans, salsa, cheese</t>
  </si>
  <si>
    <t>Wai wai bhel</t>
  </si>
  <si>
    <t>Instant noodles, onion, tomato, masala</t>
  </si>
  <si>
    <t>White sauce pasta veg</t>
  </si>
  <si>
    <t>Maida pasta, white sauce, veggies</t>
  </si>
  <si>
    <t>Whole wheat pasta</t>
  </si>
  <si>
    <t>Whole wheat pasta, veggies, olive oil</t>
  </si>
  <si>
    <t>Whole wheat pizza</t>
  </si>
  <si>
    <t>Whole wheat base, veggies, cheese</t>
  </si>
  <si>
    <t>Zinger burger</t>
  </si>
  <si>
    <t>Bun, crispy fried chicken, mayo</t>
  </si>
  <si>
    <t>Amla</t>
  </si>
  <si>
    <t>Fruits</t>
  </si>
  <si>
    <t>fruit</t>
  </si>
  <si>
    <t>Indian gooseberry</t>
  </si>
  <si>
    <t>Apple</t>
  </si>
  <si>
    <t>Apple with peanut butter</t>
  </si>
  <si>
    <t>Apple, peanut butter</t>
  </si>
  <si>
    <t>Avocado</t>
  </si>
  <si>
    <t>Whole avocado</t>
  </si>
  <si>
    <t>Banana</t>
  </si>
  <si>
    <t>Banana with peanut butter</t>
  </si>
  <si>
    <t>Banana, peanut butter</t>
  </si>
  <si>
    <t>Berries bowl</t>
  </si>
  <si>
    <t>Mixed berries</t>
  </si>
  <si>
    <t>Cherries</t>
  </si>
  <si>
    <t>Fresh cherries</t>
  </si>
  <si>
    <t>Chikoo</t>
  </si>
  <si>
    <t>Sapota fruit</t>
  </si>
  <si>
    <t>Coconut slices</t>
  </si>
  <si>
    <t>Fresh coconut</t>
  </si>
  <si>
    <t>Custard apple</t>
  </si>
  <si>
    <t>Sitaphal</t>
  </si>
  <si>
    <t>Dates</t>
  </si>
  <si>
    <t>Fresh dates</t>
  </si>
  <si>
    <t>Dragon fruit</t>
  </si>
  <si>
    <t>Whole dragon fruit</t>
  </si>
  <si>
    <t>Dried figs</t>
  </si>
  <si>
    <t>Anjeer</t>
  </si>
  <si>
    <t>Fruit bowl with curd</t>
  </si>
  <si>
    <t>Mixed fruits, curd</t>
  </si>
  <si>
    <t>Fruit salad</t>
  </si>
  <si>
    <t>Apple, banana, orange, grapes, pomegranate</t>
  </si>
  <si>
    <t>Grapes</t>
  </si>
  <si>
    <t>Guava</t>
  </si>
  <si>
    <t>Jackfruit</t>
  </si>
  <si>
    <t>Ripe jackfruit</t>
  </si>
  <si>
    <t>Jamun</t>
  </si>
  <si>
    <t>Black plum</t>
  </si>
  <si>
    <t>Kiwi</t>
  </si>
  <si>
    <t>Whole kiwi</t>
  </si>
  <si>
    <t>Litchi</t>
  </si>
  <si>
    <t>Fresh litchi</t>
  </si>
  <si>
    <t>Mango</t>
  </si>
  <si>
    <t>Muskmelon</t>
  </si>
  <si>
    <t>Muskmelon slices</t>
  </si>
  <si>
    <t>Orange</t>
  </si>
  <si>
    <t>Papaya</t>
  </si>
  <si>
    <t>Pear</t>
  </si>
  <si>
    <t>Whole pear</t>
  </si>
  <si>
    <t>Pineapple</t>
  </si>
  <si>
    <t>Pineapple slices</t>
  </si>
  <si>
    <t>Plum</t>
  </si>
  <si>
    <t>Whole plum</t>
  </si>
  <si>
    <t>Pomegranate</t>
  </si>
  <si>
    <t>Raisins</t>
  </si>
  <si>
    <t>Dried grapes</t>
  </si>
  <si>
    <t>Strawberries</t>
  </si>
  <si>
    <t>Fresh strawberries</t>
  </si>
  <si>
    <t>Sweet lime</t>
  </si>
  <si>
    <t>Mosambi segments</t>
  </si>
  <si>
    <t>Watermelon</t>
  </si>
  <si>
    <t>Almonds soaked</t>
  </si>
  <si>
    <t>Healthy Snacks, Salads &amp; Soups</t>
  </si>
  <si>
    <t>Soaked almonds</t>
  </si>
  <si>
    <t>Beetroot salad</t>
  </si>
  <si>
    <t>Beetroot, lemon, salt</t>
  </si>
  <si>
    <t>Boiled chana</t>
  </si>
  <si>
    <t>Chickpeas, boiled, onion, lemon juice</t>
  </si>
  <si>
    <t>Boiled chicken salad</t>
  </si>
  <si>
    <t>Boiled chicken, veggies</t>
  </si>
  <si>
    <t>Boiled corn</t>
  </si>
  <si>
    <t>Sweet corn</t>
  </si>
  <si>
    <t>Boiled peanuts</t>
  </si>
  <si>
    <t>Peanuts, boiled, salt</t>
  </si>
  <si>
    <t>Boiled sweet corn cup</t>
  </si>
  <si>
    <t>Sweet corn, butter, salt</t>
  </si>
  <si>
    <t>Boiled sweet potato</t>
  </si>
  <si>
    <t>Sweet potato, boiled</t>
  </si>
  <si>
    <t>Bone broth</t>
  </si>
  <si>
    <t>Bones, water, salt</t>
  </si>
  <si>
    <t>Boondi raita</t>
  </si>
  <si>
    <t>Curd, boondi</t>
  </si>
  <si>
    <t>Broccoli almond soup</t>
  </si>
  <si>
    <t>Broccoli, almonds, pepper</t>
  </si>
  <si>
    <t>Caesar salad</t>
  </si>
  <si>
    <t>Lettuce, dressing, croutons, cheese</t>
  </si>
  <si>
    <t>Carrot cucumber salad</t>
  </si>
  <si>
    <t>Carrot, cucumber, lemon</t>
  </si>
  <si>
    <t>Carrot ginger soup</t>
  </si>
  <si>
    <t>Carrot, ginger, pepper</t>
  </si>
  <si>
    <t>Chana chaat healthy</t>
  </si>
  <si>
    <t>Boiled chana, onion, tomato, lemon</t>
  </si>
  <si>
    <t>Chana masala</t>
  </si>
  <si>
    <t>Chickpeas, tomato paste, garam masala, ginger, red onion, avocado oil</t>
  </si>
  <si>
    <t>Chana sundal</t>
  </si>
  <si>
    <t>Chickpeas, coconut, mustard</t>
  </si>
  <si>
    <t>Chia seed pudding</t>
  </si>
  <si>
    <t>Chia, milk, honey</t>
  </si>
  <si>
    <t>Chicken Caesar salad</t>
  </si>
  <si>
    <t>Lettuce, chicken, dressing, croutons</t>
  </si>
  <si>
    <t>Chicken clear soup</t>
  </si>
  <si>
    <t>Chicken broth, veggies</t>
  </si>
  <si>
    <t>Clear vegetable soup</t>
  </si>
  <si>
    <t>Veggies, pepper, broth</t>
  </si>
  <si>
    <t>Coconut chutney</t>
  </si>
  <si>
    <t>Coconut, green chilli, curry leaves</t>
  </si>
  <si>
    <t>Coleslaw</t>
  </si>
  <si>
    <t>Cabbage, carrot, mayo</t>
  </si>
  <si>
    <t>Corn salad</t>
  </si>
  <si>
    <t>Sweet corn, veggies, lemon</t>
  </si>
  <si>
    <t>Cucumber raita</t>
  </si>
  <si>
    <t>Curd, cucumber, cumin</t>
  </si>
  <si>
    <t>Cucumber salad</t>
  </si>
  <si>
    <t>Cucumber, lemon, salt</t>
  </si>
  <si>
    <t>Curd</t>
  </si>
  <si>
    <t>Dry fruit mix</t>
  </si>
  <si>
    <t>Almonds, walnuts, cashews, raisins</t>
  </si>
  <si>
    <t>Egg salad bowl</t>
  </si>
  <si>
    <t>Boiled egg, greens, olive oil</t>
  </si>
  <si>
    <t>Egg whites boiled</t>
  </si>
  <si>
    <t>Egg whites</t>
  </si>
  <si>
    <t>Flax seed ladoo</t>
  </si>
  <si>
    <t>Flax seeds, jaggery, ghee</t>
  </si>
  <si>
    <t>Fruit and nut salad</t>
  </si>
  <si>
    <t>Fruits, nuts, honey</t>
  </si>
  <si>
    <t>Greek salad</t>
  </si>
  <si>
    <t>Cucumber, olives, feta, tomato</t>
  </si>
  <si>
    <t>Half boil egg</t>
  </si>
  <si>
    <t>Egg, pepper</t>
  </si>
  <si>
    <t>Hummus</t>
  </si>
  <si>
    <t>Chickpeas, tahini, lemon</t>
  </si>
  <si>
    <t>Hummus with carrot sticks</t>
  </si>
  <si>
    <t>Hummus, carrot</t>
  </si>
  <si>
    <t>Hung curd dip</t>
  </si>
  <si>
    <t>Hung curd, herbs</t>
  </si>
  <si>
    <t>Kachumber salad</t>
  </si>
  <si>
    <t>Onion, tomato, cucumber, lemon</t>
  </si>
  <si>
    <t>Lemon pickle</t>
  </si>
  <si>
    <t>Lemon, oil, salt</t>
  </si>
  <si>
    <t>Lentil soup</t>
  </si>
  <si>
    <t>Red lentil, veggies, spices</t>
  </si>
  <si>
    <t>Mango pickle</t>
  </si>
  <si>
    <t>Raw mango, oil, salt, spices</t>
  </si>
  <si>
    <t>Masala papad</t>
  </si>
  <si>
    <t>Papad, onion, tomato, chaat masala</t>
  </si>
  <si>
    <t>Minestrone soup</t>
  </si>
  <si>
    <t>Veg, pasta, beans</t>
  </si>
  <si>
    <t>Mixed nuts</t>
  </si>
  <si>
    <t>Almonds, walnuts, cashew nuts</t>
  </si>
  <si>
    <t>Mixed veg raita</t>
  </si>
  <si>
    <t>Curd, veggies</t>
  </si>
  <si>
    <t>Moong dal soup</t>
  </si>
  <si>
    <t>Moong dal, ginger, cumin</t>
  </si>
  <si>
    <t>Moong salad</t>
  </si>
  <si>
    <t>Moong sprouts, cucumber, tomato, lemon juice</t>
  </si>
  <si>
    <t>Murmura</t>
  </si>
  <si>
    <t>Puffed rice</t>
  </si>
  <si>
    <t>Mushroom soup cream</t>
  </si>
  <si>
    <t>Mushroom, cream, butter</t>
  </si>
  <si>
    <t>Oats chilla</t>
  </si>
  <si>
    <t>Oats, veggies, spices</t>
  </si>
  <si>
    <t>Onion raita</t>
  </si>
  <si>
    <t>Curd, onion, spices</t>
  </si>
  <si>
    <t>Overnight oats</t>
  </si>
  <si>
    <t>Oats, curd, fruit, seeds</t>
  </si>
  <si>
    <t>Palak soup</t>
  </si>
  <si>
    <t>Spinach, garlic, pepper</t>
  </si>
  <si>
    <t>Paneer cubes grilled</t>
  </si>
  <si>
    <t>Paneer, spices, grilled</t>
  </si>
  <si>
    <t>Paneer salad</t>
  </si>
  <si>
    <t>Paneer, veggies, lemon</t>
  </si>
  <si>
    <t>Papad fried</t>
  </si>
  <si>
    <t>Lentil papad, deep fried</t>
  </si>
  <si>
    <t>Papad roasted</t>
  </si>
  <si>
    <t>Lentil papad, roasted</t>
  </si>
  <si>
    <t>Pasta salad</t>
  </si>
  <si>
    <t>Pasta, veggies, dressing</t>
  </si>
  <si>
    <t>Peanut chutney</t>
  </si>
  <si>
    <t>Peanut, garlic, chilli</t>
  </si>
  <si>
    <t>Peanut sundal</t>
  </si>
  <si>
    <t>Peanut, coconut, mustard</t>
  </si>
  <si>
    <t>Peanuts</t>
  </si>
  <si>
    <t>Pindi chana</t>
  </si>
  <si>
    <t>Fennel, tea bags, tomato, kasuri methi, cinnamon</t>
  </si>
  <si>
    <t>Pineapple raita</t>
  </si>
  <si>
    <t>Curd, pineapple, sugar</t>
  </si>
  <si>
    <t>Poha chivda</t>
  </si>
  <si>
    <t>Flattened rice, peanuts, oil</t>
  </si>
  <si>
    <t>Protein shake</t>
  </si>
  <si>
    <t>Whey, milk, banana</t>
  </si>
  <si>
    <t>Pudina chutney</t>
  </si>
  <si>
    <t>Mint, coriander, lemon</t>
  </si>
  <si>
    <t>Pumpkin seeds</t>
  </si>
  <si>
    <t>Roasted pumpkin seeds</t>
  </si>
  <si>
    <t>Pumpkin soup</t>
  </si>
  <si>
    <t>Pumpkin, onion, light cream</t>
  </si>
  <si>
    <t>Quinoa salad</t>
  </si>
  <si>
    <t>Quinoa, veggies, lemon, olive oil</t>
  </si>
  <si>
    <t>Ragi malt porridge</t>
  </si>
  <si>
    <t>Ragi, water, jaggery</t>
  </si>
  <si>
    <t>Raita</t>
  </si>
  <si>
    <t>Curd, cucumber, onion, cumin</t>
  </si>
  <si>
    <t>Rasam soup</t>
  </si>
  <si>
    <t>Tomato, tamarind, pepper, cumin</t>
  </si>
  <si>
    <t>Roasted chana</t>
  </si>
  <si>
    <t>Roasted chickpeas</t>
  </si>
  <si>
    <t>Roasted chana snack</t>
  </si>
  <si>
    <t>Roasted peanut chaat</t>
  </si>
  <si>
    <t>Peanuts, onion, lemon</t>
  </si>
  <si>
    <t>Salad</t>
  </si>
  <si>
    <t>Cucumber, tomato, onion, carrot, lemon juice</t>
  </si>
  <si>
    <t>Sprouted moong salad</t>
  </si>
  <si>
    <t>Sprouted moong, onion, tomato, lemon</t>
  </si>
  <si>
    <t>Sprouts and cucumber raita</t>
  </si>
  <si>
    <t>Curd, sprouts, cucumber</t>
  </si>
  <si>
    <t>Sprouts boiled</t>
  </si>
  <si>
    <t>Mixed sprouts, boiled</t>
  </si>
  <si>
    <t>Sprouts salad</t>
  </si>
  <si>
    <t>Sprouts, onion, tomato, cucumber, lemon juice</t>
  </si>
  <si>
    <t>Sundal</t>
  </si>
  <si>
    <t>Boiled chickpeas, coconut, tempering</t>
  </si>
  <si>
    <t>Sweet corn chicken soup</t>
  </si>
  <si>
    <t>Sweet corn, chicken, egg</t>
  </si>
  <si>
    <t>Sweet corn soup</t>
  </si>
  <si>
    <t>Sweet corn, carrot, beans, corn flour</t>
  </si>
  <si>
    <t>Tofu scramble</t>
  </si>
  <si>
    <t>Tofu, onion, turmeric</t>
  </si>
  <si>
    <t>Tomato basil soup</t>
  </si>
  <si>
    <t>Tomato, basil, cream</t>
  </si>
  <si>
    <t>Tomato chutney</t>
  </si>
  <si>
    <t>Tomato, onion, chilli, oil</t>
  </si>
  <si>
    <t>Tomato soup</t>
  </si>
  <si>
    <t>Tomato, onion, carrot, garlic, black pepper</t>
  </si>
  <si>
    <t>Trail mix</t>
  </si>
  <si>
    <t>Nuts, seeds, dried fruit</t>
  </si>
  <si>
    <t>Vegetable soup</t>
  </si>
  <si>
    <t>Carrot, beans, cabbage, peas, garlic, black pepper</t>
  </si>
  <si>
    <t>Walnuts</t>
  </si>
  <si>
    <t>Walnut kernels</t>
  </si>
  <si>
    <t>Amritsari fish</t>
  </si>
  <si>
    <t>Non-veg Dishes</t>
  </si>
  <si>
    <t>Fish, besan batter, fried</t>
  </si>
  <si>
    <t>Anda curry</t>
  </si>
  <si>
    <t>Egg, tomato gravy</t>
  </si>
  <si>
    <t>Andhra chicken curry</t>
  </si>
  <si>
    <t>Chicken, red chilli, spices</t>
  </si>
  <si>
    <t>Beef Fry</t>
  </si>
  <si>
    <t>Beef, coconut, garam masala, curry leaves, green chilies, chili powder</t>
  </si>
  <si>
    <t>Beef curry</t>
  </si>
  <si>
    <t>Beef, onion, tomato, coconut oil, garam masala</t>
  </si>
  <si>
    <t>Beef pepper fry</t>
  </si>
  <si>
    <t>Beef, pepper</t>
  </si>
  <si>
    <t>Beef steak</t>
  </si>
  <si>
    <t>Beef, butter, garlic, black pepper</t>
  </si>
  <si>
    <t>Beef ularthiyathu</t>
  </si>
  <si>
    <t>Beef, coconut slices</t>
  </si>
  <si>
    <t>Bengali fish curry</t>
  </si>
  <si>
    <t>Fish, mustard oil, potato</t>
  </si>
  <si>
    <t>Boiled chicken</t>
  </si>
  <si>
    <t>Chicken breast, boiled, black pepper, salt</t>
  </si>
  <si>
    <t>Boiled egg</t>
  </si>
  <si>
    <t>Egg</t>
  </si>
  <si>
    <t>Bombay duck fry</t>
  </si>
  <si>
    <t>Bombil, rava, fried</t>
  </si>
  <si>
    <t>Bombil fry</t>
  </si>
  <si>
    <t>Bombay duck, malvani masala, rice flour, bombay rava, green chilies</t>
  </si>
  <si>
    <t>Boti kebab</t>
  </si>
  <si>
    <t>Mutton cubes, spices, grilled</t>
  </si>
  <si>
    <t>Butter chicken</t>
  </si>
  <si>
    <t>Chicken, greek yogurt, cream, garam masala powder, cashew nuts, butter</t>
  </si>
  <si>
    <t>Butter chicken boneless</t>
  </si>
  <si>
    <t>Chicken, butter, cream, tomato</t>
  </si>
  <si>
    <t>Cheese omelette</t>
  </si>
  <si>
    <t>Egg, cheese, oil</t>
  </si>
  <si>
    <t>Chicken 65</t>
  </si>
  <si>
    <t>Chicken, corn flour, curry leaves, chilli, oil</t>
  </si>
  <si>
    <t>Chicken Tikka</t>
  </si>
  <si>
    <t>Chicken, whole wheat bread, rice flour, garam masala powder, whole egg</t>
  </si>
  <si>
    <t>Chicken Tikka masala</t>
  </si>
  <si>
    <t>Naan bread, tomato sauce, skinless chicken breasts, heavy cream, garam masala</t>
  </si>
  <si>
    <t>Chicken Varuval</t>
  </si>
  <si>
    <t>Meat curry powder, chicken chunks, ginger, tomato, cinnamon</t>
  </si>
  <si>
    <t>Chicken achari tikka</t>
  </si>
  <si>
    <t>Chicken, pickle spices, yogurt</t>
  </si>
  <si>
    <t>Chicken afghani</t>
  </si>
  <si>
    <t>Chicken, cream, cashew marinade</t>
  </si>
  <si>
    <t>Chicken bhuna</t>
  </si>
  <si>
    <t>Chicken, onion, spices</t>
  </si>
  <si>
    <t>Chicken biryani boneless</t>
  </si>
  <si>
    <t>Rice, chicken, ghee</t>
  </si>
  <si>
    <t>Chicken cafreal</t>
  </si>
  <si>
    <t>Chicken, green masala</t>
  </si>
  <si>
    <t>Chicken chettinad</t>
  </si>
  <si>
    <t>Chicken, onion, coconut, black pepper, oil, curry leaves</t>
  </si>
  <si>
    <t>Chicken curry</t>
  </si>
  <si>
    <t>Chicken, onion, tomato, oil, garam masala</t>
  </si>
  <si>
    <t>Chicken do pyaza</t>
  </si>
  <si>
    <t>Chicken ghee roast</t>
  </si>
  <si>
    <t>Chicken, ghee, red chilli, tamarind, curry leaves</t>
  </si>
  <si>
    <t>Chicken gongura</t>
  </si>
  <si>
    <t>Chicken, sorrel leaves</t>
  </si>
  <si>
    <t>Chicken handi</t>
  </si>
  <si>
    <t>Chicken, onion tomato gravy, cream</t>
  </si>
  <si>
    <t>Chicken hariyali tikka</t>
  </si>
  <si>
    <t>Chicken, mint, spinach marinade</t>
  </si>
  <si>
    <t>Chicken kadai</t>
  </si>
  <si>
    <t>Chicken, capsicum, onion, tomato, oil, kadai masala</t>
  </si>
  <si>
    <t>Chicken kebab</t>
  </si>
  <si>
    <t>Chicken, yogurt, ginger, garlic, spices, grilled</t>
  </si>
  <si>
    <t>Chicken keema</t>
  </si>
  <si>
    <t>Minced chicken, peas, onion, tomato, oil</t>
  </si>
  <si>
    <t>Chicken keema pav</t>
  </si>
  <si>
    <t>Chicken mince, pav</t>
  </si>
  <si>
    <t>Chicken kolhapuri</t>
  </si>
  <si>
    <t>Chicken, spicy red gravy</t>
  </si>
  <si>
    <t>Chicken korma</t>
  </si>
  <si>
    <t>Chicken, yogurt, cashew nuts, cream, ghee, garam masala</t>
  </si>
  <si>
    <t>Chicken lababdar</t>
  </si>
  <si>
    <t>Chicken, butter, tomato gravy</t>
  </si>
  <si>
    <t>Chicken malai tikka</t>
  </si>
  <si>
    <t>Chicken, cream, cheese, cashew nuts, yogurt</t>
  </si>
  <si>
    <t>Chicken methi malai</t>
  </si>
  <si>
    <t>Chicken, fenugreek, cream</t>
  </si>
  <si>
    <t>Chicken mughlai</t>
  </si>
  <si>
    <t>Chicken, cream, nuts</t>
  </si>
  <si>
    <t>Chicken pepper fry</t>
  </si>
  <si>
    <t>Chicken, black pepper, onion, curry leaves, oil</t>
  </si>
  <si>
    <t>Chicken razala</t>
  </si>
  <si>
    <t>Chicken, dahi, sesame seeds, garam masala powder, cashew nuts, saffron</t>
  </si>
  <si>
    <t>Chicken reshmi kebab</t>
  </si>
  <si>
    <t>Chicken, cream, cashew</t>
  </si>
  <si>
    <t>Chicken saag</t>
  </si>
  <si>
    <t>Chicken, spinach, onion, garlic, oil</t>
  </si>
  <si>
    <t>Chicken saagwala</t>
  </si>
  <si>
    <t>Chicken, spinach</t>
  </si>
  <si>
    <t>Chicken salad</t>
  </si>
  <si>
    <t>Chicken breast, lettuce, cucumber, tomato, lemon juice</t>
  </si>
  <si>
    <t>Chicken soup</t>
  </si>
  <si>
    <t>Chicken, carrot, garlic, black pepper</t>
  </si>
  <si>
    <t>Chicken stew</t>
  </si>
  <si>
    <t>Chicken, potato, carrot, beans, coconut milk, black pepper</t>
  </si>
  <si>
    <t>Chicken stew Kerala</t>
  </si>
  <si>
    <t>Chicken, coconut milk, veg</t>
  </si>
  <si>
    <t>Chicken sukka</t>
  </si>
  <si>
    <t>Chicken, coconut, onion, curry leaves, oil</t>
  </si>
  <si>
    <t>Chicken tawa masala</t>
  </si>
  <si>
    <t>Chicken, tawa, spices</t>
  </si>
  <si>
    <t>Chicken tikka grilled</t>
  </si>
  <si>
    <t>Chicken, yogurt, spices, tandoor</t>
  </si>
  <si>
    <t>Chicken xacuti</t>
  </si>
  <si>
    <t>Chicken, coconut, spices</t>
  </si>
  <si>
    <t>Chilli chicken</t>
  </si>
  <si>
    <t>Chicken, corn flour, soy sauce, capsicum, oil</t>
  </si>
  <si>
    <t>Chingri malai</t>
  </si>
  <si>
    <t>Prawn, coconut milk</t>
  </si>
  <si>
    <t>Crab curry</t>
  </si>
  <si>
    <t>Crab, coconut, onion, tomato, oil</t>
  </si>
  <si>
    <t>Crab masala</t>
  </si>
  <si>
    <t>Crab, onion, tomato</t>
  </si>
  <si>
    <t>Egg benedict</t>
  </si>
  <si>
    <t>Egg, English muffin, hollandaise</t>
  </si>
  <si>
    <t>Egg bhurji pav</t>
  </si>
  <si>
    <t>Egg bhurji, pav</t>
  </si>
  <si>
    <t>Egg curry</t>
  </si>
  <si>
    <t>Eggs, onion, tomato, oil, garam masala</t>
  </si>
  <si>
    <t>Egg kheema</t>
  </si>
  <si>
    <t>Egg, spices, onion</t>
  </si>
  <si>
    <t>Egg masala</t>
  </si>
  <si>
    <t>Egg masala dhaba</t>
  </si>
  <si>
    <t>Egg, onion tomato masala</t>
  </si>
  <si>
    <t>Egg roast Kerala</t>
  </si>
  <si>
    <t>Egg, onion, coconut oil</t>
  </si>
  <si>
    <t>Egg salad</t>
  </si>
  <si>
    <t>Egg, lettuce, cucumber, tomato, olive oil</t>
  </si>
  <si>
    <t>Fish curry</t>
  </si>
  <si>
    <t>Fish, coconut, tamarind, onion, oil</t>
  </si>
  <si>
    <t>Fish curry Goan</t>
  </si>
  <si>
    <t>Fish, coconut, kokum</t>
  </si>
  <si>
    <t>Fish curry Kerala</t>
  </si>
  <si>
    <t>Fish, kudampuli, coconut oil</t>
  </si>
  <si>
    <t>Fish fingers</t>
  </si>
  <si>
    <t>Fish, refined flour, bread crumbs, oil</t>
  </si>
  <si>
    <t>Fish fry</t>
  </si>
  <si>
    <t>Fish, chilli powder, rice flour, oil</t>
  </si>
  <si>
    <t>Fish moilee</t>
  </si>
  <si>
    <t>Fish, coconut milk, green chilli, turmeric, curry leaves</t>
  </si>
  <si>
    <t>Fish pulusu</t>
  </si>
  <si>
    <t>Fish, tamarind, onion, tomato, oil</t>
  </si>
  <si>
    <t>Fish tawa fry</t>
  </si>
  <si>
    <t>Fish, rice flour, chilli powder, oil</t>
  </si>
  <si>
    <t>Fish thali</t>
  </si>
  <si>
    <t>Fish curry, rice, fry</t>
  </si>
  <si>
    <t>Fish tikka</t>
  </si>
  <si>
    <t>Fish, yogurt, spices, grilled</t>
  </si>
  <si>
    <t>Fried chicken</t>
  </si>
  <si>
    <t>Chicken, refined flour, oil, spices</t>
  </si>
  <si>
    <t>Fried egg</t>
  </si>
  <si>
    <t>Egg, oil, salt</t>
  </si>
  <si>
    <t>Galouti kebab</t>
  </si>
  <si>
    <t>Minced mutton, ghee, spices</t>
  </si>
  <si>
    <t>Gongura mutton</t>
  </si>
  <si>
    <t>Mutton, sorrel leaves</t>
  </si>
  <si>
    <t>Grilled chicken</t>
  </si>
  <si>
    <t>Chicken breast, garlic, lemon juice, black pepper, grilled</t>
  </si>
  <si>
    <t>Grilled fish</t>
  </si>
  <si>
    <t>Fish, lemon juice, garlic, black pepper, grilled</t>
  </si>
  <si>
    <t>Grilled salmon</t>
  </si>
  <si>
    <t>Salmon fish, lemon juice, garlic, black pepper, grilled</t>
  </si>
  <si>
    <t>Haleem</t>
  </si>
  <si>
    <t>Mutton, wheat, lentils, ghee, spices</t>
  </si>
  <si>
    <t>Haq Maas</t>
  </si>
  <si>
    <t>Lamb, garam masala powder, curd, turmeric, bay leaf</t>
  </si>
  <si>
    <t>Kakori kebab</t>
  </si>
  <si>
    <t>Mutton mince, spices, grilled</t>
  </si>
  <si>
    <t>Keema kaleji</t>
  </si>
  <si>
    <t>Mince, liver</t>
  </si>
  <si>
    <t>Keema pav</t>
  </si>
  <si>
    <t>Minced mutton, pav, peas, onion, oil</t>
  </si>
  <si>
    <t>Kerala chicken roast</t>
  </si>
  <si>
    <t>Chicken, coconut oil, spices</t>
  </si>
  <si>
    <t>Kerala fish fry</t>
  </si>
  <si>
    <t>Fish, chilli, coconut oil</t>
  </si>
  <si>
    <t>Koldil Chicken</t>
  </si>
  <si>
    <t>Banana flower, chicken, green chili, mustard oil, lemon juice</t>
  </si>
  <si>
    <t>Koldil Duck</t>
  </si>
  <si>
    <t>Rice flour, mutton, banana, gram flour, olive oil, baking powder</t>
  </si>
  <si>
    <t>Laal maas</t>
  </si>
  <si>
    <t>Mutton, red chilli, ghee</t>
  </si>
  <si>
    <t>Lamb chops</t>
  </si>
  <si>
    <t>Lamb, garlic, rosemary, olive oil</t>
  </si>
  <si>
    <t>Maach Jhol</t>
  </si>
  <si>
    <t>Fish, potol, tomato, chillies, ginger, garlic</t>
  </si>
  <si>
    <t>Macher jhol</t>
  </si>
  <si>
    <t>Fish, potato, light gravy</t>
  </si>
  <si>
    <t>Machher kalia</t>
  </si>
  <si>
    <t>Fish, spicy gravy</t>
  </si>
  <si>
    <t>Masor Koni</t>
  </si>
  <si>
    <t>Fish roe, pumpkin flowers, mustard oil, turmeric, tomato</t>
  </si>
  <si>
    <t>Masor tenga</t>
  </si>
  <si>
    <t>Ridge gourd, fish, lemon, tomatoes, mustard oil</t>
  </si>
  <si>
    <t>Meen pollichathu</t>
  </si>
  <si>
    <t>Fish, banana leaf, masala</t>
  </si>
  <si>
    <t>Mutton bhuna</t>
  </si>
  <si>
    <t>Mutton, onion, spices</t>
  </si>
  <si>
    <t>Mutton biryani Hyderabadi</t>
  </si>
  <si>
    <t>Rice, mutton, ghee</t>
  </si>
  <si>
    <t>Mutton chops</t>
  </si>
  <si>
    <t>Mutton, yogurt, ginger, garlic, oil</t>
  </si>
  <si>
    <t>Mutton curry</t>
  </si>
  <si>
    <t>Mutton, onion, tomato, oil, garam masala</t>
  </si>
  <si>
    <t>Mutton fry</t>
  </si>
  <si>
    <t>Mutton, onion, curry leaves, black pepper, oil</t>
  </si>
  <si>
    <t>Mutton keema</t>
  </si>
  <si>
    <t>Minced mutton, peas, onion, tomato, oil</t>
  </si>
  <si>
    <t>Mutton keema matar</t>
  </si>
  <si>
    <t>Mutton mince, peas</t>
  </si>
  <si>
    <t>Mutton kola urundai</t>
  </si>
  <si>
    <t>Minced mutton balls, fried</t>
  </si>
  <si>
    <t>Mutton korma</t>
  </si>
  <si>
    <t>Mutton, yogurt, cashew nuts, ghee, garam masala</t>
  </si>
  <si>
    <t>Mutton paya</t>
  </si>
  <si>
    <t>Trotters, spices</t>
  </si>
  <si>
    <t>Mutton rogan josh</t>
  </si>
  <si>
    <t>Mutton, yogurt, onion, kashmiri chilli, ghee</t>
  </si>
  <si>
    <t>Mutton rogan josh Kashmiri</t>
  </si>
  <si>
    <t>Mutton, Kashmiri chilli, yogurt</t>
  </si>
  <si>
    <t>Mutton seekh kebab</t>
  </si>
  <si>
    <t>Minced mutton, onion, ginger, garlic, spices, grilled</t>
  </si>
  <si>
    <t>Mutton soup</t>
  </si>
  <si>
    <t>Mutton, black pepper, ginger, garlic, coriander</t>
  </si>
  <si>
    <t>Mutton stew</t>
  </si>
  <si>
    <t>Mutton, coconut milk</t>
  </si>
  <si>
    <t>Mutton sukka</t>
  </si>
  <si>
    <t>Mutton, dry masala</t>
  </si>
  <si>
    <t>Nadan chicken curry</t>
  </si>
  <si>
    <t>Nihari</t>
  </si>
  <si>
    <t>Mutton, wheat flour, ghee, ginger, spices</t>
  </si>
  <si>
    <t>Omelette plain</t>
  </si>
  <si>
    <t>Egg, oil</t>
  </si>
  <si>
    <t>Parotta beef</t>
  </si>
  <si>
    <t>Parotta, beef fry</t>
  </si>
  <si>
    <t>Pepper chicken</t>
  </si>
  <si>
    <t>Chicken, black pepper</t>
  </si>
  <si>
    <t>Poached egg</t>
  </si>
  <si>
    <t>Egg, water, salt</t>
  </si>
  <si>
    <t>Pomfret fry</t>
  </si>
  <si>
    <t>Pomfret fish, rice flour, chilli powder, oil</t>
  </si>
  <si>
    <t>Pork Bharta</t>
  </si>
  <si>
    <t>Boiled pork, onions, chillies, ginger and garlic</t>
  </si>
  <si>
    <t>Pork curry</t>
  </si>
  <si>
    <t>Pork, onion, tomato, oil, garam masala</t>
  </si>
  <si>
    <t>Pork sorpotel</t>
  </si>
  <si>
    <t>Pork, liver, vinegar</t>
  </si>
  <si>
    <t>Pork vindaloo</t>
  </si>
  <si>
    <t>Pork, vinegar, chilli</t>
  </si>
  <si>
    <t>Prawn balchao</t>
  </si>
  <si>
    <t>Prawn, vinegar, chilli</t>
  </si>
  <si>
    <t>Prawn curry</t>
  </si>
  <si>
    <t>Prawns, coconut, onion, tomato, oil</t>
  </si>
  <si>
    <t>Prawn fry</t>
  </si>
  <si>
    <t>Prawns, chilli powder, rice flour, oil</t>
  </si>
  <si>
    <t>Prawn fry Mangalorean</t>
  </si>
  <si>
    <t>Prawn, rice flour, chilli</t>
  </si>
  <si>
    <t>Prawn malai curry</t>
  </si>
  <si>
    <t>Coconut milk, prawns, garlic, turmeric, sugar</t>
  </si>
  <si>
    <t>Prawn masala</t>
  </si>
  <si>
    <t>Prawns, onion, tomato, oil, garam masala</t>
  </si>
  <si>
    <t>Prawn tempura</t>
  </si>
  <si>
    <t>Prawns, refined flour, corn flour, oil</t>
  </si>
  <si>
    <t>Rawa fried fish</t>
  </si>
  <si>
    <t>Fish, semolina, fried</t>
  </si>
  <si>
    <t>Roast chicken</t>
  </si>
  <si>
    <t>Chicken, garlic, lemon, black pepper, baked</t>
  </si>
  <si>
    <t>Seekh kebab</t>
  </si>
  <si>
    <t>Minced meat, onion, ginger, garlic, spices, grilled</t>
  </si>
  <si>
    <t>Shami kebab</t>
  </si>
  <si>
    <t>Mutton, chana dal, spices</t>
  </si>
  <si>
    <t>Shorshe ilish</t>
  </si>
  <si>
    <t>Hilsa, mustard paste</t>
  </si>
  <si>
    <t>Smoked pork bamboo shoot</t>
  </si>
  <si>
    <t>Pork, bamboo shoot</t>
  </si>
  <si>
    <t>Spanish omelette</t>
  </si>
  <si>
    <t>Egg, potato, onion</t>
  </si>
  <si>
    <t>Squid fry</t>
  </si>
  <si>
    <t>Squid, rice flour, chilli powder, oil</t>
  </si>
  <si>
    <t>Squid masala</t>
  </si>
  <si>
    <t>Squid, spices</t>
  </si>
  <si>
    <t>Steamed fish</t>
  </si>
  <si>
    <t>Fish, ginger, garlic, lemon juice, steamed</t>
  </si>
  <si>
    <t>Surmai fry</t>
  </si>
  <si>
    <t>Kingfish, rava coating</t>
  </si>
  <si>
    <t>Tandoori Chicken</t>
  </si>
  <si>
    <t>Greek yogurt, garam masala, kasuri methi, marinade, mustard oil</t>
  </si>
  <si>
    <t>Tandoori Fish Tikka</t>
  </si>
  <si>
    <t>Chickpea flour, biryani masala powder, yogurt, fish fillets, green bell pepper</t>
  </si>
  <si>
    <t>Tandoori chicken half</t>
  </si>
  <si>
    <t>Tuna salad</t>
  </si>
  <si>
    <t>Tuna fish, lettuce, cucumber, tomato, lemon juice</t>
  </si>
  <si>
    <t>5 Star bar</t>
  </si>
  <si>
    <t>Packaged, Bakery &amp; Puffs</t>
  </si>
  <si>
    <t>Caramel, chocolate, sugar</t>
  </si>
  <si>
    <t>Aloo bhujia</t>
  </si>
  <si>
    <t>Aloo puff</t>
  </si>
  <si>
    <t>Puff pastry, potato masala</t>
  </si>
  <si>
    <t>Banana chips</t>
  </si>
  <si>
    <t>Raw banana, coconut oil, salt</t>
  </si>
  <si>
    <t>Bhujia sev</t>
  </si>
  <si>
    <t>Gram flour, oil, spices</t>
  </si>
  <si>
    <t>Biscuits</t>
  </si>
  <si>
    <t>Refined flour, sugar, palm oil</t>
  </si>
  <si>
    <t>Black forest cake</t>
  </si>
  <si>
    <t>Sponge, cream, cherries, chocolate</t>
  </si>
  <si>
    <t>Blueberry muffin</t>
  </si>
  <si>
    <t>Maida, sugar, blueberry, butter</t>
  </si>
  <si>
    <t>Bread jam</t>
  </si>
  <si>
    <t>Bread, fruit jam</t>
  </si>
  <si>
    <t>Brown bread toast</t>
  </si>
  <si>
    <t>Brown bread, little butter</t>
  </si>
  <si>
    <t>Brownie</t>
  </si>
  <si>
    <t>Maida, sugar, cocoa, butter</t>
  </si>
  <si>
    <t>Butter</t>
  </si>
  <si>
    <t>Milk fat</t>
  </si>
  <si>
    <t>Butter biscuit</t>
  </si>
  <si>
    <t>Maida, butter, sugar</t>
  </si>
  <si>
    <t>Candy</t>
  </si>
  <si>
    <t>Sugar, glucose, flavour</t>
  </si>
  <si>
    <t>Chakli</t>
  </si>
  <si>
    <t>Rice flour, besan, oil</t>
  </si>
  <si>
    <t>Cheese puff</t>
  </si>
  <si>
    <t>Puff pastry, cheese</t>
  </si>
  <si>
    <t>Cheese slice</t>
  </si>
  <si>
    <t>Processed cheese</t>
  </si>
  <si>
    <t>Cheesecake</t>
  </si>
  <si>
    <t>Cream cheese, biscuit base, sugar</t>
  </si>
  <si>
    <t>Chewing gum</t>
  </si>
  <si>
    <t>Gum base, sugar</t>
  </si>
  <si>
    <t>Chicken cutlet</t>
  </si>
  <si>
    <t>Chicken, potato, bread crumbs, oil</t>
  </si>
  <si>
    <t>Chicken puff</t>
  </si>
  <si>
    <t>Puff pastry, chicken filling, baked</t>
  </si>
  <si>
    <t>Chocolate donut</t>
  </si>
  <si>
    <t>Maida, chocolate glaze, deep fried</t>
  </si>
  <si>
    <t>Chocolate pastry</t>
  </si>
  <si>
    <t>Sponge, chocolate cream</t>
  </si>
  <si>
    <t>Chocolate protein bar</t>
  </si>
  <si>
    <t>Whey, oats, nuts, sweetener</t>
  </si>
  <si>
    <t>Chocolate spread</t>
  </si>
  <si>
    <t>Sugar, palm oil, cocoa</t>
  </si>
  <si>
    <t>Chocos cereal</t>
  </si>
  <si>
    <t>Wheat, cocoa, sugar</t>
  </si>
  <si>
    <t>Cookies chocolate chip</t>
  </si>
  <si>
    <t>Maida, butter, sugar, chocolate chips</t>
  </si>
  <si>
    <t>Corn flakes</t>
  </si>
  <si>
    <t>Corn, sugar, malt</t>
  </si>
  <si>
    <t>Cornflakes with milk</t>
  </si>
  <si>
    <t>Cornflakes, milk, sugar</t>
  </si>
  <si>
    <t>Cream biscuit</t>
  </si>
  <si>
    <t>Maida, sugar, cream filling</t>
  </si>
  <si>
    <t>Cream bun</t>
  </si>
  <si>
    <t>Bun, sweet cream</t>
  </si>
  <si>
    <t>Cream roll</t>
  </si>
  <si>
    <t>Puff pastry, sweet cream</t>
  </si>
  <si>
    <t>Croissant</t>
  </si>
  <si>
    <t>Maida, butter, laminated dough</t>
  </si>
  <si>
    <t>Cup noodles</t>
  </si>
  <si>
    <t>Maida noodles, oil, seasoning</t>
  </si>
  <si>
    <t>Cupcake</t>
  </si>
  <si>
    <t>Maida, sugar, butter, icing</t>
  </si>
  <si>
    <t>Dairy Milk bar</t>
  </si>
  <si>
    <t>Milk chocolate, sugar</t>
  </si>
  <si>
    <t>Dark chocolate</t>
  </si>
  <si>
    <t>Cocoa 70 percent, little sugar</t>
  </si>
  <si>
    <t>Digestive biscuit</t>
  </si>
  <si>
    <t>Whole wheat, oats, sugar</t>
  </si>
  <si>
    <t>Doughnut glazed</t>
  </si>
  <si>
    <t>Maida, sugar glaze, deep fried</t>
  </si>
  <si>
    <t>Egg puff</t>
  </si>
  <si>
    <t>Refined flour, egg, butter, oil</t>
  </si>
  <si>
    <t>Fish and chips</t>
  </si>
  <si>
    <t>Fish, refined flour, potato, oil</t>
  </si>
  <si>
    <t>French toast</t>
  </si>
  <si>
    <t>White bread, eggs, milk, sugar, butter</t>
  </si>
  <si>
    <t>Fruit cake</t>
  </si>
  <si>
    <t>Maida, dry fruits, sugar, butter</t>
  </si>
  <si>
    <t>Garlic bread</t>
  </si>
  <si>
    <t>White bread, butter, garlic, cheese</t>
  </si>
  <si>
    <t>Instant oats masala</t>
  </si>
  <si>
    <t>Oats, spices, dehydrated veg</t>
  </si>
  <si>
    <t>Kara boondi</t>
  </si>
  <si>
    <t>Khakhra masala</t>
  </si>
  <si>
    <t>Whole wheat, roasted, spices</t>
  </si>
  <si>
    <t>Khari biscuit</t>
  </si>
  <si>
    <t>Layered puff pastry, salt</t>
  </si>
  <si>
    <t>KitKat</t>
  </si>
  <si>
    <t>Wafer, chocolate, sugar</t>
  </si>
  <si>
    <t>Kurkure</t>
  </si>
  <si>
    <t>Corn meal, rice, oil, masala</t>
  </si>
  <si>
    <t>Lays chips</t>
  </si>
  <si>
    <t>Potato, palm oil, salt</t>
  </si>
  <si>
    <t>Lollipop</t>
  </si>
  <si>
    <t>Sugar, colour, flavour</t>
  </si>
  <si>
    <t>Maggi masala</t>
  </si>
  <si>
    <t>Maida noodles, oil, masala sachet</t>
  </si>
  <si>
    <t>Marie biscuit</t>
  </si>
  <si>
    <t>Maida, sugar, palm oil</t>
  </si>
  <si>
    <t>Mathri</t>
  </si>
  <si>
    <t>Maida, ajwain, oil</t>
  </si>
  <si>
    <t>Mayonnaise</t>
  </si>
  <si>
    <t>Oil, egg, vinegar</t>
  </si>
  <si>
    <t>Milk chocolate</t>
  </si>
  <si>
    <t>Cocoa, milk, sugar</t>
  </si>
  <si>
    <t>Muesli with milk</t>
  </si>
  <si>
    <t>Oats, nuts, raisins, milk</t>
  </si>
  <si>
    <t>Muffin chocolate</t>
  </si>
  <si>
    <t>Murukku</t>
  </si>
  <si>
    <t>Rice flour, urad dal, oil</t>
  </si>
  <si>
    <t>Mushroom puff</t>
  </si>
  <si>
    <t>Puff pastry, mushroom filling</t>
  </si>
  <si>
    <t>Namkeen mixture</t>
  </si>
  <si>
    <t>Gram flour, peanuts, sev, oil, spices</t>
  </si>
  <si>
    <t>Nippat</t>
  </si>
  <si>
    <t>Rice flour, peanut, oil</t>
  </si>
  <si>
    <t>Oats cookies</t>
  </si>
  <si>
    <t>Oats, jaggery, butter</t>
  </si>
  <si>
    <t>Oreo biscuit</t>
  </si>
  <si>
    <t>Maida, sugar, cocoa, cream</t>
  </si>
  <si>
    <t>Pakoda mix</t>
  </si>
  <si>
    <t>Besan, onion, spices</t>
  </si>
  <si>
    <t>Pancakes</t>
  </si>
  <si>
    <t>Refined flour, eggs, milk, sugar, butter</t>
  </si>
  <si>
    <t>Paneer puff</t>
  </si>
  <si>
    <t>Puff pastry, paneer filling, baked</t>
  </si>
  <si>
    <t>Parle-G biscuit</t>
  </si>
  <si>
    <t>Wheat flour, sugar, palm oil</t>
  </si>
  <si>
    <t>Peanut butter</t>
  </si>
  <si>
    <t>Roasted peanuts, salt</t>
  </si>
  <si>
    <t>Peanut chikki</t>
  </si>
  <si>
    <t>Peanuts, jaggery</t>
  </si>
  <si>
    <t>Peanut masala</t>
  </si>
  <si>
    <t>Peanuts, besan coating, oil</t>
  </si>
  <si>
    <t>Pineapple pastry</t>
  </si>
  <si>
    <t>Sponge, cream, pineapple</t>
  </si>
  <si>
    <t>Pistachios</t>
  </si>
  <si>
    <t>Pistachios, salt</t>
  </si>
  <si>
    <t>Plum cake</t>
  </si>
  <si>
    <t>Maida, dry fruits, rum, sugar</t>
  </si>
  <si>
    <t>Popcorn</t>
  </si>
  <si>
    <t>Corn kernels, butter, salt</t>
  </si>
  <si>
    <t>Potato chips</t>
  </si>
  <si>
    <t>Processed cheese cube</t>
  </si>
  <si>
    <t>Cheese, emulsifiers</t>
  </si>
  <si>
    <t>Ragi cookies</t>
  </si>
  <si>
    <t>Ragi flour, jaggery, butter</t>
  </si>
  <si>
    <t>Rajgira chikki</t>
  </si>
  <si>
    <t>Amaranth, jaggery</t>
  </si>
  <si>
    <t>Red velvet cake</t>
  </si>
  <si>
    <t>Sponge, cream cheese frosting</t>
  </si>
  <si>
    <t>Roasted peanuts</t>
  </si>
  <si>
    <t>Peanuts, salt</t>
  </si>
  <si>
    <t>Rusk</t>
  </si>
  <si>
    <t>Baked maida, sugar</t>
  </si>
  <si>
    <t>Salted cashews</t>
  </si>
  <si>
    <t>Cashews, salt, oil</t>
  </si>
  <si>
    <t>Sesame chikki</t>
  </si>
  <si>
    <t>Sesame, jaggery</t>
  </si>
  <si>
    <t>Sweet potato chips baked</t>
  </si>
  <si>
    <t>Sweet potato, baked</t>
  </si>
  <si>
    <t>Tapioca chips</t>
  </si>
  <si>
    <t>Tapioca, oil, salt</t>
  </si>
  <si>
    <t>Tomato ketchup</t>
  </si>
  <si>
    <t>Tomato, sugar, vinegar</t>
  </si>
  <si>
    <t>Veg cutlet</t>
  </si>
  <si>
    <t>Potato, carrot, peas, bread crumbs, oil</t>
  </si>
  <si>
    <t>Veg puff</t>
  </si>
  <si>
    <t>Refined flour, potato, peas, butter, oil</t>
  </si>
  <si>
    <t>Waffles</t>
  </si>
  <si>
    <t>Ambur biryani</t>
  </si>
  <si>
    <t>Rice &amp; Biryani</t>
  </si>
  <si>
    <t>Seeraga samba rice, mutton</t>
  </si>
  <si>
    <t>Bagara rice</t>
  </si>
  <si>
    <t>Basmati, whole spices, ghee</t>
  </si>
  <si>
    <t>Beef biryani</t>
  </si>
  <si>
    <t>Basmati, beef, spices</t>
  </si>
  <si>
    <t>Biryani</t>
  </si>
  <si>
    <t>Chicken thighs, basmati rice, star anise, sweet, green chillies</t>
  </si>
  <si>
    <t>Bisi bele bath</t>
  </si>
  <si>
    <t>Split pigeon peas, chana dal, urad dal, green peas, french beans</t>
  </si>
  <si>
    <t>Bisibelebath with ghee</t>
  </si>
  <si>
    <t>Rice, toor dal, veggies, ghee</t>
  </si>
  <si>
    <t>Black rice</t>
  </si>
  <si>
    <t>Forbidden black rice, chicken, olive oil, slivered almonds, garlic powder</t>
  </si>
  <si>
    <t>Bombay biryani</t>
  </si>
  <si>
    <t>Basmati, chicken, potato, spices</t>
  </si>
  <si>
    <t>Brinji rice</t>
  </si>
  <si>
    <t>Rice, veggies, coconut milk</t>
  </si>
  <si>
    <t>Brown Rice</t>
  </si>
  <si>
    <t>Brown rice, soy sauce, olive oil</t>
  </si>
  <si>
    <t>Brown rice pulao</t>
  </si>
  <si>
    <t>Brown rice, veggies</t>
  </si>
  <si>
    <t>Chicken biryani</t>
  </si>
  <si>
    <t>Chicken, basmati rice, ghee, yogurt, garam masala</t>
  </si>
  <si>
    <t>Chicken curry rice</t>
  </si>
  <si>
    <t>Chicken curry, rice</t>
  </si>
  <si>
    <t>Chicken dum biryani</t>
  </si>
  <si>
    <t>Basmati, chicken, ghee, spices</t>
  </si>
  <si>
    <t>Chicken fried rice</t>
  </si>
  <si>
    <t>Rice, chicken, egg, spring onion, soy sauce, oil</t>
  </si>
  <si>
    <t>Chole rice</t>
  </si>
  <si>
    <t>Chole curry, rice</t>
  </si>
  <si>
    <t>Coconut rice</t>
  </si>
  <si>
    <t>Rice, coconut, mustard</t>
  </si>
  <si>
    <t>Crab biryani</t>
  </si>
  <si>
    <t>Rice, crab, spices</t>
  </si>
  <si>
    <t>Rice, curd, curry leaves, mustard seeds, green chilli</t>
  </si>
  <si>
    <t>Curd rice with pomegranate</t>
  </si>
  <si>
    <t>Rice, curd, pomegranate</t>
  </si>
  <si>
    <t>Currivepillai sadam</t>
  </si>
  <si>
    <t>Chana dal, urad dal, fresh coconut, sesame seeds, curry leaves</t>
  </si>
  <si>
    <t>Dal khichdi tadka</t>
  </si>
  <si>
    <t>Rice, dal, ghee tadka</t>
  </si>
  <si>
    <t>Dal rice with ghee</t>
  </si>
  <si>
    <t>Rice, dal, ghee</t>
  </si>
  <si>
    <t>Dindigul biryani</t>
  </si>
  <si>
    <t>Seeraga samba rice, mutton, pepper</t>
  </si>
  <si>
    <t>Donne biryani</t>
  </si>
  <si>
    <t>Seeraga samba, chicken, mint</t>
  </si>
  <si>
    <t>Egg biryani</t>
  </si>
  <si>
    <t>Eggs, basmati rice, ghee, yogurt, garam masala</t>
  </si>
  <si>
    <t>Egg curry rice</t>
  </si>
  <si>
    <t>Egg curry, rice</t>
  </si>
  <si>
    <t>Egg dum biryani</t>
  </si>
  <si>
    <t>Basmati, boiled eggs, spices</t>
  </si>
  <si>
    <t>Egg fried rice</t>
  </si>
  <si>
    <t>Rice, eggs, spring onion, soy sauce, oil</t>
  </si>
  <si>
    <t>Fish biryani</t>
  </si>
  <si>
    <t>Fish, basmati rice, ghee, yogurt, garam masala</t>
  </si>
  <si>
    <t>Fish curry rice</t>
  </si>
  <si>
    <t>Fish curry, rice</t>
  </si>
  <si>
    <t>Fried rice</t>
  </si>
  <si>
    <t>Rice, carrot, beans, spring onion, soy sauce, oil</t>
  </si>
  <si>
    <t>Ghee rice</t>
  </si>
  <si>
    <t>Rice, ghee, whole spices</t>
  </si>
  <si>
    <t>Gongura rice</t>
  </si>
  <si>
    <t>Rice, gongura leaves, spices</t>
  </si>
  <si>
    <t>Hyderabadi dum biryani</t>
  </si>
  <si>
    <t>Basmati, mutton, ghee, spices</t>
  </si>
  <si>
    <t>Hyderabadi veg biryani</t>
  </si>
  <si>
    <t>Basmati, veggies, mint, ghee</t>
  </si>
  <si>
    <t>Idli podi rice</t>
  </si>
  <si>
    <t>Rice, gunpowder, oil</t>
  </si>
  <si>
    <t>Jeera pulao</t>
  </si>
  <si>
    <t>Basmati, cumin, ghee</t>
  </si>
  <si>
    <t>Jeera rice</t>
  </si>
  <si>
    <t>Basmati rice, cumin seeds, ghee, salt</t>
  </si>
  <si>
    <t>Kashmiri pulao</t>
  </si>
  <si>
    <t>Basmati, dry fruits, saffron</t>
  </si>
  <si>
    <t>Keema biryani</t>
  </si>
  <si>
    <t>Basmati, minced mutton</t>
  </si>
  <si>
    <t>Keerai sadam</t>
  </si>
  <si>
    <t>Greens, tomato, mustard seeds, fenugreek seeds</t>
  </si>
  <si>
    <t>Khichdi</t>
  </si>
  <si>
    <t>Moong dal, green peas, ginger, tomato, green chili</t>
  </si>
  <si>
    <t>Khichdi with ghee</t>
  </si>
  <si>
    <t>Rice, moong dal, ghee</t>
  </si>
  <si>
    <t>Khichu</t>
  </si>
  <si>
    <t>Rice flour, sesame seeds, baking soda, peanut oil</t>
  </si>
  <si>
    <t>Kofta pulao</t>
  </si>
  <si>
    <t>Basmati, vegetable kofta</t>
  </si>
  <si>
    <t>Kolkata biryani</t>
  </si>
  <si>
    <t>Basmati, mutton, potato, egg</t>
  </si>
  <si>
    <t>Kootu sadam</t>
  </si>
  <si>
    <t>Rice, kootu</t>
  </si>
  <si>
    <t>Kothamali sadam</t>
  </si>
  <si>
    <t>Chana dal, urad dal, gooseberry, raw rice, curry leaves</t>
  </si>
  <si>
    <t>Lemon coconut rice</t>
  </si>
  <si>
    <t>Rice, lemon, coconut</t>
  </si>
  <si>
    <t>Lemon rice</t>
  </si>
  <si>
    <t>Rice, lemon juice, peanuts, curry leaves, mustard seeds, oil</t>
  </si>
  <si>
    <t>Lucknowi biryani</t>
  </si>
  <si>
    <t>Basmati, mutton, saffron, ghee</t>
  </si>
  <si>
    <t>Malabar biryani</t>
  </si>
  <si>
    <t>Rice, chicken, ghee, cashew</t>
  </si>
  <si>
    <t>Mango rice</t>
  </si>
  <si>
    <t>Rice, raw mango, mustard</t>
  </si>
  <si>
    <t>Masala khichdi</t>
  </si>
  <si>
    <t>Rice, dal, veggies, spices</t>
  </si>
  <si>
    <t>Millet pulao</t>
  </si>
  <si>
    <t>Millet, veggies</t>
  </si>
  <si>
    <t>Moru kachiyathu rice</t>
  </si>
  <si>
    <t>Rice, spiced buttermilk</t>
  </si>
  <si>
    <t>Mushroom biryani</t>
  </si>
  <si>
    <t>Basmati, mushroom, spices</t>
  </si>
  <si>
    <t>Mutton biryani</t>
  </si>
  <si>
    <t>Mutton, basmati rice, ghee, yogurt, garam masala</t>
  </si>
  <si>
    <t>Mutton pulao</t>
  </si>
  <si>
    <t>Mutton, basmati rice, ghee, whole spices</t>
  </si>
  <si>
    <t>Palak khichdi</t>
  </si>
  <si>
    <t>Rice, dal, spinach</t>
  </si>
  <si>
    <t>Paneer biryani</t>
  </si>
  <si>
    <t>Basmati, paneer, ghee</t>
  </si>
  <si>
    <t>Paneer pulao</t>
  </si>
  <si>
    <t>Basmati, paneer</t>
  </si>
  <si>
    <t>Paravannam</t>
  </si>
  <si>
    <t>Raw rice, jaggery, milk</t>
  </si>
  <si>
    <t>Paruppu podi rice</t>
  </si>
  <si>
    <t>Rice, dal powder, ghee</t>
  </si>
  <si>
    <t>Paruppu sadam</t>
  </si>
  <si>
    <t>Arhar dal, sambar powder, tomato, curry leaves, fennel seeds</t>
  </si>
  <si>
    <t>Plain rice</t>
  </si>
  <si>
    <t>Rice, water</t>
  </si>
  <si>
    <t>Pongal rice</t>
  </si>
  <si>
    <t>Rice, moong dal, pepper</t>
  </si>
  <si>
    <t>Prawn biryani</t>
  </si>
  <si>
    <t>Prawns, basmati rice, ghee, yogurt, garam masala</t>
  </si>
  <si>
    <t>Prawn rice Goan</t>
  </si>
  <si>
    <t>Prawn curry, rice</t>
  </si>
  <si>
    <t>Pudina rice</t>
  </si>
  <si>
    <t>Rice, mint, spices</t>
  </si>
  <si>
    <t>Puli sadam</t>
  </si>
  <si>
    <t>Urad dal, lemon, tamarind, cooked rice, curry leaves</t>
  </si>
  <si>
    <t>Puliyogare</t>
  </si>
  <si>
    <t>Rice, tamarind paste, peanuts</t>
  </si>
  <si>
    <t>Quinoa pulao</t>
  </si>
  <si>
    <t>Quinoa, veggies</t>
  </si>
  <si>
    <t>Rajma rice</t>
  </si>
  <si>
    <t>Rajma curry, rice</t>
  </si>
  <si>
    <t>Red Rice</t>
  </si>
  <si>
    <t>Red pepper, red onion, butter, watercress, olive oil</t>
  </si>
  <si>
    <t>Rice and dal</t>
  </si>
  <si>
    <t>Rice, dal tadka</t>
  </si>
  <si>
    <t>Sabudana Khichadi</t>
  </si>
  <si>
    <t>Raw peanuts, sabudana, lemon, avocado oil, curry leaves, green chili</t>
  </si>
  <si>
    <t>Sambar rice</t>
  </si>
  <si>
    <t>Rice, pigeon peas, drumsticks, sambar powder, tamarind</t>
  </si>
  <si>
    <t>Sambar rice with papad</t>
  </si>
  <si>
    <t>Sambar, rice, papad</t>
  </si>
  <si>
    <t>Sambar sadam</t>
  </si>
  <si>
    <t>Rice, sambar</t>
  </si>
  <si>
    <t>Sindhi biryani</t>
  </si>
  <si>
    <t>Basmati, mutton, yogurt, plums</t>
  </si>
  <si>
    <t>Soya biryani</t>
  </si>
  <si>
    <t>Basmati, soya chunks, spices</t>
  </si>
  <si>
    <t>Tamarind rice</t>
  </si>
  <si>
    <t>Rice, tamarind, peanuts</t>
  </si>
  <si>
    <t>Tawa pulao</t>
  </si>
  <si>
    <t>Rice, veggies, pav bhaji masala</t>
  </si>
  <si>
    <t>Thalassery biryani</t>
  </si>
  <si>
    <t>Kaima rice, chicken, ghee</t>
  </si>
  <si>
    <t>Thayir sadam</t>
  </si>
  <si>
    <t>Urad dal, curd, sesame oil, ginger, curry leaves, mustard seeds</t>
  </si>
  <si>
    <t>Tomato rice</t>
  </si>
  <si>
    <t>Rice, tomato, onion, curry leaves, oil</t>
  </si>
  <si>
    <t>Vangi bath</t>
  </si>
  <si>
    <t>Rice, brinjal, masala</t>
  </si>
  <si>
    <t>Veg biryani</t>
  </si>
  <si>
    <t>Basmati rice, mixed vegetables, yogurt, ghee, garam masala</t>
  </si>
  <si>
    <t>Veg dum biryani</t>
  </si>
  <si>
    <t>Basmati, vegetables, ghee</t>
  </si>
  <si>
    <t>Vegetable pulao</t>
  </si>
  <si>
    <t>Basmati rice, peas, carrot, beans, oil, garam masala</t>
  </si>
  <si>
    <t>Ven pongal</t>
  </si>
  <si>
    <t>Rice, moong dal, ghee, black pepper, cumin, cashew nuts</t>
  </si>
  <si>
    <t>Aloo kathi roll</t>
  </si>
  <si>
    <t>Rolls, Wraps &amp; Sandwiches</t>
  </si>
  <si>
    <t>Paratha, spiced potato, onion, chutney</t>
  </si>
  <si>
    <t>Aloo sandwich</t>
  </si>
  <si>
    <t>Bread, spiced potato, chutney</t>
  </si>
  <si>
    <t>Aloo tikki burger street</t>
  </si>
  <si>
    <t>Bun, aloo tikki, chutney, onion</t>
  </si>
  <si>
    <t>Bombay masala sandwich</t>
  </si>
  <si>
    <t>Bread, potato, beetroot, cucumber, chutney</t>
  </si>
  <si>
    <t>Bread toast</t>
  </si>
  <si>
    <t>White bread, butter</t>
  </si>
  <si>
    <t>Cheese chilli sandwich</t>
  </si>
  <si>
    <t>Bread, cheese, green chilli</t>
  </si>
  <si>
    <t>Cheese frankie</t>
  </si>
  <si>
    <t>Roti, cheese, potato, sauce</t>
  </si>
  <si>
    <t>Chicken frankie</t>
  </si>
  <si>
    <t>Roti, chicken masala, onion</t>
  </si>
  <si>
    <t>Chicken grilled sandwich</t>
  </si>
  <si>
    <t>Bread, chicken, cheese, mayo</t>
  </si>
  <si>
    <t>Chicken kathi roll</t>
  </si>
  <si>
    <t>Paratha, chicken tikka, onion, sauce</t>
  </si>
  <si>
    <t>Chicken salad wrap</t>
  </si>
  <si>
    <t>Whole wheat wrap, chicken, veggies</t>
  </si>
  <si>
    <t>Chicken sandwich</t>
  </si>
  <si>
    <t>Brown bread, chicken breast, lettuce, tomato, mayonnaise</t>
  </si>
  <si>
    <t>Chicken shawarma roll</t>
  </si>
  <si>
    <t>Pita, chicken, garlic sauce, pickles</t>
  </si>
  <si>
    <t>Chicken spring roll</t>
  </si>
  <si>
    <t>Maida sheet, chicken, veggies, deep fried</t>
  </si>
  <si>
    <t>Chicken sub sandwich</t>
  </si>
  <si>
    <t>Sub bread, chicken, cheese, lettuce, mayonnaise</t>
  </si>
  <si>
    <t>Chicken tikka sandwich</t>
  </si>
  <si>
    <t>Bread, chicken tikka, mint chutney</t>
  </si>
  <si>
    <t>Chicken tikka wrap</t>
  </si>
  <si>
    <t>Tortilla, tikka, onion, mint chutney</t>
  </si>
  <si>
    <t>Chicken wrap</t>
  </si>
  <si>
    <t>Whole wheat tortilla, chicken breast, lettuce, onion, curd</t>
  </si>
  <si>
    <t>Chocolate sandwich</t>
  </si>
  <si>
    <t>Bread, chocolate spread</t>
  </si>
  <si>
    <t>Chutney sandwich</t>
  </si>
  <si>
    <t>Bread, green chutney, butter</t>
  </si>
  <si>
    <t>Club sandwich</t>
  </si>
  <si>
    <t>White bread, chicken, egg, mayonnaise, butter</t>
  </si>
  <si>
    <t>Corn sandwich</t>
  </si>
  <si>
    <t>Bread, corn, cheese, mayo</t>
  </si>
  <si>
    <t>Double egg roll</t>
  </si>
  <si>
    <t>Paratha, two eggs, onion, sauce</t>
  </si>
  <si>
    <t>Egg chicken kathi roll</t>
  </si>
  <si>
    <t>Paratha, egg, chicken, onion</t>
  </si>
  <si>
    <t>Egg frankie</t>
  </si>
  <si>
    <t>Roti, egg, onion, sauce</t>
  </si>
  <si>
    <t>Egg mayo sandwich</t>
  </si>
  <si>
    <t>Bread, boiled egg, mayo</t>
  </si>
  <si>
    <t>Egg roll</t>
  </si>
  <si>
    <t>Refined flour paratha, egg, onion, oil</t>
  </si>
  <si>
    <t>Egg sandwich</t>
  </si>
  <si>
    <t>Brown bread, egg, lettuce, tomato</t>
  </si>
  <si>
    <t>Falafel wrap</t>
  </si>
  <si>
    <t>Pita, falafel, hummus, salad</t>
  </si>
  <si>
    <t>Grilled cheese sandwich</t>
  </si>
  <si>
    <t>White bread, cheese, butter</t>
  </si>
  <si>
    <t>Grilled paneer wrap</t>
  </si>
  <si>
    <t>Whole wheat wrap, paneer, veggies</t>
  </si>
  <si>
    <t>Hummus pita</t>
  </si>
  <si>
    <t>Pita, hummus, veggies</t>
  </si>
  <si>
    <t>Hummus veggie wrap</t>
  </si>
  <si>
    <t>Whole wheat wrap, hummus, veggies</t>
  </si>
  <si>
    <t>Jam sandwich</t>
  </si>
  <si>
    <t>Kathi roll</t>
  </si>
  <si>
    <t>Refined flour paratha, egg, onion, chutney, oil</t>
  </si>
  <si>
    <t>Mexican bean wrap</t>
  </si>
  <si>
    <t>Tortilla, beans, salsa, cheese</t>
  </si>
  <si>
    <t>Mushroom roll</t>
  </si>
  <si>
    <t>Paratha, mushroom masala, onion</t>
  </si>
  <si>
    <t>Mutton kathi roll</t>
  </si>
  <si>
    <t>Paratha, mutton seekh, onion, sauce</t>
  </si>
  <si>
    <t>Omelette sandwich</t>
  </si>
  <si>
    <t>Bread, omelette, onion, chilli</t>
  </si>
  <si>
    <t>Paneer kathi roll</t>
  </si>
  <si>
    <t>Paratha, paneer tikka, onion, sauce</t>
  </si>
  <si>
    <t>Paneer kulcha roll</t>
  </si>
  <si>
    <t>Kulcha, paneer, onion</t>
  </si>
  <si>
    <t>Paneer sandwich</t>
  </si>
  <si>
    <t>Bread, paneer, onion, chutney</t>
  </si>
  <si>
    <t>Paneer spring roll</t>
  </si>
  <si>
    <t>Maida sheet, paneer, deep fried</t>
  </si>
  <si>
    <t>Paneer wrap</t>
  </si>
  <si>
    <t>Whole wheat tortilla, paneer, onion, capsicum, curd</t>
  </si>
  <si>
    <t>Peanut butter banana sandwich</t>
  </si>
  <si>
    <t>Whole wheat bread, peanut butter, banana</t>
  </si>
  <si>
    <t>Peanut butter toast</t>
  </si>
  <si>
    <t>Brown bread, peanut butter, banana</t>
  </si>
  <si>
    <t>Quesadilla</t>
  </si>
  <si>
    <t>Tortilla, cheese, beans, veggies</t>
  </si>
  <si>
    <t>Schezwan paneer roll</t>
  </si>
  <si>
    <t>Paratha, paneer, schezwan sauce</t>
  </si>
  <si>
    <t>Soya chunk roll</t>
  </si>
  <si>
    <t>Whole wheat roti, soya chunks, onion</t>
  </si>
  <si>
    <t>Spring roll</t>
  </si>
  <si>
    <t>Maida sheet, cabbage, carrot, deep fried</t>
  </si>
  <si>
    <t>Sub chicken</t>
  </si>
  <si>
    <t>Sub bread, chicken, veggies, sauces</t>
  </si>
  <si>
    <t>Sub veg</t>
  </si>
  <si>
    <t>Sub bread, veggies, sauces</t>
  </si>
  <si>
    <t>Tandoori chicken wrap</t>
  </si>
  <si>
    <t>Tortilla, tandoori chicken, mint mayo, salad</t>
  </si>
  <si>
    <t>Tandoori paneer sandwich</t>
  </si>
  <si>
    <t>Bread, tandoori paneer, onion</t>
  </si>
  <si>
    <t>Tomato cucumber sandwich</t>
  </si>
  <si>
    <t>Brown bread, tomato, cucumber, mint</t>
  </si>
  <si>
    <t>Tuna mayo sandwich</t>
  </si>
  <si>
    <t>Bread, tuna, mayo</t>
  </si>
  <si>
    <t>Tuna sandwich</t>
  </si>
  <si>
    <t>Brown bread, tuna fish, mayonnaise, lettuce</t>
  </si>
  <si>
    <t>Veg frankie</t>
  </si>
  <si>
    <t>Roti, potato masala, chutney, onion</t>
  </si>
  <si>
    <t>Veg grilled sandwich</t>
  </si>
  <si>
    <t>Bread, veggies, chutney, butter</t>
  </si>
  <si>
    <t>Veg kathi roll</t>
  </si>
  <si>
    <t>Paratha, mixed veg, sauce</t>
  </si>
  <si>
    <t>Veg wrap</t>
  </si>
  <si>
    <t>Whole wheat tortilla, carrot, cabbage, cucumber, curd</t>
  </si>
  <si>
    <t>Vegetable sandwich</t>
  </si>
  <si>
    <t>Brown bread, cucumber, tomato, butter</t>
  </si>
  <si>
    <t>Whole wheat veg sandwich</t>
  </si>
  <si>
    <t>Whole wheat bread, veggies, mint chutney</t>
  </si>
  <si>
    <t>Chakali</t>
  </si>
  <si>
    <t>Snacks &amp; Starters</t>
  </si>
  <si>
    <t>Rice flour, sesame, plain flour, turmeric, red chilli</t>
  </si>
  <si>
    <t>Chevdo</t>
  </si>
  <si>
    <t>Citric acid, fry, raisins, sugar, chana daal</t>
  </si>
  <si>
    <t>Chorafali</t>
  </si>
  <si>
    <t>Urad dal, bengal gram flour, dried mango, baking soda, black salt</t>
  </si>
  <si>
    <t>Fara</t>
  </si>
  <si>
    <t>Chana dal, whole wheat flour, arhar dal, white urad dal, garam masala powder</t>
  </si>
  <si>
    <t>Ghooghra</t>
  </si>
  <si>
    <t>Dry fruits, semolina, all purpose flour</t>
  </si>
  <si>
    <t>Handwo</t>
  </si>
  <si>
    <t>Bottle gourd, chana dal, cabbage, urad dal, toor dal</t>
  </si>
  <si>
    <t>Khaman</t>
  </si>
  <si>
    <t>Yogurt, fresh coconut, sesame seeds, semolina, gram flour</t>
  </si>
  <si>
    <t>Khandvi</t>
  </si>
  <si>
    <t>Green chili paste, white sesame seeds, gram flour, curry leaves, green chili</t>
  </si>
  <si>
    <t>Kombdi vade</t>
  </si>
  <si>
    <t>Rice flour, urad dal, wheat flour, gram flour, turmeric</t>
  </si>
  <si>
    <t>Kutchi dabeli</t>
  </si>
  <si>
    <t>Pav, aloo, peanut, pomegranate, star anise</t>
  </si>
  <si>
    <t>Mag Dhokli</t>
  </si>
  <si>
    <t>Moong beans, jaggery, red chillies, oil, salt</t>
  </si>
  <si>
    <t>Muthiya</t>
  </si>
  <si>
    <t>Bottle gourd, whole wheat flour, rava, sesame seeds, bengal gram flour</t>
  </si>
  <si>
    <t>Namakpara</t>
  </si>
  <si>
    <t>Wheat flour, baking soda, all purpose flour, black pepper, sunflower oil</t>
  </si>
  <si>
    <t>Paneer tikka</t>
  </si>
  <si>
    <t>Paneer, yogurt, bell pepper, onion, tandoori masala</t>
  </si>
  <si>
    <t>Papad</t>
  </si>
  <si>
    <t>Urad dal, sev, lemon juice, chopped tomatoes</t>
  </si>
  <si>
    <t>Papadum</t>
  </si>
  <si>
    <t>Lentils, black pepper, vegetable oil</t>
  </si>
  <si>
    <t>Patra</t>
  </si>
  <si>
    <t>Roasted makhana</t>
  </si>
  <si>
    <t>Makhana</t>
  </si>
  <si>
    <t>Surnoli</t>
  </si>
  <si>
    <t>Rice flakes, yogurt, raw rice, jaggery, grated coconut</t>
  </si>
  <si>
    <t>Sweet potato roasted</t>
  </si>
  <si>
    <t>Sweet potato</t>
  </si>
  <si>
    <t>Ada pradhaman</t>
  </si>
  <si>
    <t>Sweets &amp; Desserts</t>
  </si>
  <si>
    <t>Rice ada, jaggery, coconut milk</t>
  </si>
  <si>
    <t>Adhirasam</t>
  </si>
  <si>
    <t>Rice flour, jaggery, ghee, vegetable oil, elachi</t>
  </si>
  <si>
    <t>Amrakhand</t>
  </si>
  <si>
    <t>Hung curd, sugar, mango</t>
  </si>
  <si>
    <t>Anarsa</t>
  </si>
  <si>
    <t>Rice flour, jaggery, khus-khus seeds</t>
  </si>
  <si>
    <t>Anarsa fried</t>
  </si>
  <si>
    <t>Rice flour, jaggery, sesame</t>
  </si>
  <si>
    <t>Anjeer barfi</t>
  </si>
  <si>
    <t>Figs, nuts</t>
  </si>
  <si>
    <t>Ariselu</t>
  </si>
  <si>
    <t>Rice flour, jaggery, ghee</t>
  </si>
  <si>
    <t>Ash gourd halwa</t>
  </si>
  <si>
    <t>Petha, ghee, sugar</t>
  </si>
  <si>
    <t>Atta laddu</t>
  </si>
  <si>
    <t>Wheat flour, ghee, sugar</t>
  </si>
  <si>
    <t>Badam halwa</t>
  </si>
  <si>
    <t>Almonds, ghee, sugar</t>
  </si>
  <si>
    <t>Balu shahi</t>
  </si>
  <si>
    <t>Maida flour, yogurt, oil, sugar</t>
  </si>
  <si>
    <t>Balushahi mini</t>
  </si>
  <si>
    <t>Maida, ghee, sugar syrup</t>
  </si>
  <si>
    <t>Bandar laddu</t>
  </si>
  <si>
    <t>Besan, jaggery, cardamom powder, ghee, cashews and raisins, jaggery syrup, sugar</t>
  </si>
  <si>
    <t>Basundi</t>
  </si>
  <si>
    <t>Sugar, milk, nuts</t>
  </si>
  <si>
    <t>Basundi rich</t>
  </si>
  <si>
    <t>Reduced milk, sugar, nuts</t>
  </si>
  <si>
    <t>Bebinca</t>
  </si>
  <si>
    <t>Coconut milk, egg yolks, clarified butter, all purpose flour</t>
  </si>
  <si>
    <t>Beetroot halwa</t>
  </si>
  <si>
    <t>Beetroot, milk, ghee, sugar</t>
  </si>
  <si>
    <t>Besan barfi</t>
  </si>
  <si>
    <t>Gram flour, ghee, sugar</t>
  </si>
  <si>
    <t>Besan laddu</t>
  </si>
  <si>
    <t>Boondi</t>
  </si>
  <si>
    <t>Boondi laddu</t>
  </si>
  <si>
    <t>Fried boondi, sugar syrup</t>
  </si>
  <si>
    <t>Bread halwa</t>
  </si>
  <si>
    <t>Bread, ghee, sugar</t>
  </si>
  <si>
    <t>Butterscotch ice cream</t>
  </si>
  <si>
    <t>Milk, cream, sugar, caramel</t>
  </si>
  <si>
    <t>Cake</t>
  </si>
  <si>
    <t>Refined flour, sugar, eggs, butter</t>
  </si>
  <si>
    <t>Caramel pudding</t>
  </si>
  <si>
    <t>Milk, egg, caramel</t>
  </si>
  <si>
    <t>Carrot kheer</t>
  </si>
  <si>
    <t>Carrot, milk, sugar</t>
  </si>
  <si>
    <t>Chak Hao Kheer</t>
  </si>
  <si>
    <t>Rice, milk, sugar, cardamom</t>
  </si>
  <si>
    <t>Cham cham</t>
  </si>
  <si>
    <t>Flour, cream, sugar, saffron, lemon juice, coconut flakes</t>
  </si>
  <si>
    <t>Cheera Doi</t>
  </si>
  <si>
    <t>Rice, mango, curd</t>
  </si>
  <si>
    <t>Chhena jalebi</t>
  </si>
  <si>
    <t>Chhena, sugar, ghee</t>
  </si>
  <si>
    <t>Chhena kheeri</t>
  </si>
  <si>
    <t>Chhena, sugar, milk</t>
  </si>
  <si>
    <t>Chhena poda</t>
  </si>
  <si>
    <t>Sugar, chenna cheese</t>
  </si>
  <si>
    <t>Chikki</t>
  </si>
  <si>
    <t>Chikki dry fruit</t>
  </si>
  <si>
    <t>Nuts, jaggery</t>
  </si>
  <si>
    <t>Chocolate</t>
  </si>
  <si>
    <t>Cocoa, sugar, milk, cocoa butter</t>
  </si>
  <si>
    <t>Chocolate barfi</t>
  </si>
  <si>
    <t>Milk solids, cocoa, sugar</t>
  </si>
  <si>
    <t>Chocolate ice cream</t>
  </si>
  <si>
    <t>Milk, cream, cocoa, sugar</t>
  </si>
  <si>
    <t>Chum chum</t>
  </si>
  <si>
    <t>Chhena, sugar syrup</t>
  </si>
  <si>
    <t>Churma</t>
  </si>
  <si>
    <t>Wheat, ghee, jaggery</t>
  </si>
  <si>
    <t>Churma Ladoo</t>
  </si>
  <si>
    <t>Whole wheat flour, khus khus, sesame seeds, dry coconut, gur</t>
  </si>
  <si>
    <t>Coconut barfi</t>
  </si>
  <si>
    <t>Coconut, sugar, milk</t>
  </si>
  <si>
    <t>Coconut laddu</t>
  </si>
  <si>
    <t>Coconut, condensed milk</t>
  </si>
  <si>
    <t>Coconut vadi</t>
  </si>
  <si>
    <t>Condensed milk, mawa, desiccated coconut, almonds, cashews</t>
  </si>
  <si>
    <t>Custard pudding</t>
  </si>
  <si>
    <t>Milk, egg, sugar</t>
  </si>
  <si>
    <t>Dates ladoo no sugar</t>
  </si>
  <si>
    <t>Dates, nuts</t>
  </si>
  <si>
    <t>Dharwad pedha</t>
  </si>
  <si>
    <t>Milk, Sugar, Dharwadi buffalo milk</t>
  </si>
  <si>
    <t>Dhondas</t>
  </si>
  <si>
    <t>Cucumber, rava</t>
  </si>
  <si>
    <t>Donut</t>
  </si>
  <si>
    <t>Refined flour, sugar, oil, chocolate glaze</t>
  </si>
  <si>
    <t>Doodhpak</t>
  </si>
  <si>
    <t>Milk, rice, sugar, dry fruits</t>
  </si>
  <si>
    <t>Double ka meetha</t>
  </si>
  <si>
    <t>Loaf bread, milk</t>
  </si>
  <si>
    <t>Double ka meetha rich</t>
  </si>
  <si>
    <t>Bread, milk, sugar, nuts</t>
  </si>
  <si>
    <t>Dry fruit laddu</t>
  </si>
  <si>
    <t>Dates, nuts, ghee</t>
  </si>
  <si>
    <t>Dudhi halwa</t>
  </si>
  <si>
    <t>Bottle gourd, green, raisins, sugar, clarified butter</t>
  </si>
  <si>
    <t>Dudhi halwa lauki</t>
  </si>
  <si>
    <t>Bottle gourd, milk, sugar</t>
  </si>
  <si>
    <t>Fruit custard</t>
  </si>
  <si>
    <t>Custard, fruits, sugar</t>
  </si>
  <si>
    <t>Gajar halwa with khoya</t>
  </si>
  <si>
    <t>Carrot, khoya, ghee, sugar</t>
  </si>
  <si>
    <t>Gajar ka halwa</t>
  </si>
  <si>
    <t>Carrots, milk, sugar, ghee, cashews, raisins</t>
  </si>
  <si>
    <t>Gavvalu</t>
  </si>
  <si>
    <t>Rice flour, sugar, salt, ghee, semolina</t>
  </si>
  <si>
    <t>Gheela Pitha</t>
  </si>
  <si>
    <t>Sticky rice, rice flour, jaggery, orange rind</t>
  </si>
  <si>
    <t>Ghevar</t>
  </si>
  <si>
    <t>Flour, ghee, kewra, milk, clarified butter, sugar, almonds, pistachio, saffron, green cardamom</t>
  </si>
  <si>
    <t>Goja</t>
  </si>
  <si>
    <t>Baking soda, clarified butter, oil, all purpose flour</t>
  </si>
  <si>
    <t>Gud ka halwa</t>
  </si>
  <si>
    <t>Jaggery, wheat, ghee</t>
  </si>
  <si>
    <t>Gud papdi</t>
  </si>
  <si>
    <t>Wheat flour, jaggery, clarified butter, sliced almonds</t>
  </si>
  <si>
    <t>Gulab jamun</t>
  </si>
  <si>
    <t>Milk powder, plain flour, baking powder, ghee, milk, sugar, water, rose water</t>
  </si>
  <si>
    <t>Gulab jamun with ice cream</t>
  </si>
  <si>
    <t>Gulab jamun, ice cream</t>
  </si>
  <si>
    <t>Gulkand</t>
  </si>
  <si>
    <t>Rose petals, sugar</t>
  </si>
  <si>
    <t>Halvasan</t>
  </si>
  <si>
    <t>Whole wheat rava, chia seed, lemon, edible gum, litre milk</t>
  </si>
  <si>
    <t>Hando Guri</t>
  </si>
  <si>
    <t>Jaggery, raisins</t>
  </si>
  <si>
    <t>Holige</t>
  </si>
  <si>
    <t>Maida, jaggery, dal</t>
  </si>
  <si>
    <t>Ice cream</t>
  </si>
  <si>
    <t>Milk, cream, sugar, stabilisers</t>
  </si>
  <si>
    <t>Ice cream cone</t>
  </si>
  <si>
    <t>Ice cream, wafer cone</t>
  </si>
  <si>
    <t>Ice cream sundae</t>
  </si>
  <si>
    <t>Ice cream, syrup, nuts</t>
  </si>
  <si>
    <t>Ice gola</t>
  </si>
  <si>
    <t>Crushed ice, sugar syrup</t>
  </si>
  <si>
    <t>Imarti</t>
  </si>
  <si>
    <t>Sugar syrup, lentil flour</t>
  </si>
  <si>
    <t>Jalebi</t>
  </si>
  <si>
    <t>Maida, corn flour, baking soda, vinegar, curd, water, turmeric, saffron, cardamom</t>
  </si>
  <si>
    <t>Kadala payasam</t>
  </si>
  <si>
    <t>Chana dal, jaggery</t>
  </si>
  <si>
    <t>Kajjikaya</t>
  </si>
  <si>
    <t>Rice flour, jaggery, coconut</t>
  </si>
  <si>
    <t>Kaju barfi</t>
  </si>
  <si>
    <t>Cashews, sugar</t>
  </si>
  <si>
    <t>Kaju katli</t>
  </si>
  <si>
    <t>Cashews, ghee, cardamom, sugar</t>
  </si>
  <si>
    <t>Kakinada khaja</t>
  </si>
  <si>
    <t>Wheat flour, sugar</t>
  </si>
  <si>
    <t>Kala jamun</t>
  </si>
  <si>
    <t>Khoa, sugar syrup, fried</t>
  </si>
  <si>
    <t>Kalakand</t>
  </si>
  <si>
    <t>Milk, cottage cheese, sugar</t>
  </si>
  <si>
    <t>Kalakand rich</t>
  </si>
  <si>
    <t>Milk, paneer, sugar</t>
  </si>
  <si>
    <t>Kesar peda</t>
  </si>
  <si>
    <t>Milk solids, saffron, sugar</t>
  </si>
  <si>
    <t>Khaja</t>
  </si>
  <si>
    <t>Layered maida, sugar syrup, fried</t>
  </si>
  <si>
    <t>Kheer</t>
  </si>
  <si>
    <t>Milk, rice, sugar, dried fruits</t>
  </si>
  <si>
    <t>Kheer sagar</t>
  </si>
  <si>
    <t>Chenna, condensed milk, sugar, saffron, cardamom</t>
  </si>
  <si>
    <t>Kulfi falooda</t>
  </si>
  <si>
    <t>Rose syrup, falooda sev, mixed nuts, saffron, sugar</t>
  </si>
  <si>
    <t>Kulfi malai</t>
  </si>
  <si>
    <t>Milk, sugar, cardamom</t>
  </si>
  <si>
    <t>Kulfi mango</t>
  </si>
  <si>
    <t>Milk, mango, sugar</t>
  </si>
  <si>
    <t>Kuzhi paniyaram</t>
  </si>
  <si>
    <t>Black lentils, rice</t>
  </si>
  <si>
    <t>Laddu</t>
  </si>
  <si>
    <t>Langcha</t>
  </si>
  <si>
    <t>Chhena, sugar syrup, fried</t>
  </si>
  <si>
    <t>Lapsi</t>
  </si>
  <si>
    <t>Broken wheat, jaggery, ghee</t>
  </si>
  <si>
    <t>Lassi</t>
  </si>
  <si>
    <t>Yogurt, milk, nuts, sugar</t>
  </si>
  <si>
    <t>Ledikeni</t>
  </si>
  <si>
    <t>Lyangcha</t>
  </si>
  <si>
    <t>Flour, fried milk power, sugar syrup</t>
  </si>
  <si>
    <t>Mahim halwa</t>
  </si>
  <si>
    <t>Semolina, sugar</t>
  </si>
  <si>
    <t>Malai peda</t>
  </si>
  <si>
    <t>Milk solids, cream, sugar</t>
  </si>
  <si>
    <t>Malapua</t>
  </si>
  <si>
    <t>Yoghurt, refined flour, ghee, fennel seeds</t>
  </si>
  <si>
    <t>Mango ice cream</t>
  </si>
  <si>
    <t>Milk, cream, mango, sugar</t>
  </si>
  <si>
    <t>Matka kulfi</t>
  </si>
  <si>
    <t>Milk, khoya, sugar</t>
  </si>
  <si>
    <t>Mawa Bati</t>
  </si>
  <si>
    <t>Milk powder, dry fruits, arrowroot powder, all purpose flour</t>
  </si>
  <si>
    <t>Mihidana</t>
  </si>
  <si>
    <t>Besan flour, sugar, ghee</t>
  </si>
  <si>
    <t>Milk barfi</t>
  </si>
  <si>
    <t>Milk solids, sugar</t>
  </si>
  <si>
    <t>Mishti doi earthen</t>
  </si>
  <si>
    <t>Sweet curd, jaggery</t>
  </si>
  <si>
    <t>Misti doi</t>
  </si>
  <si>
    <t>Milk, jaggery</t>
  </si>
  <si>
    <t>Modak</t>
  </si>
  <si>
    <t>Rice flour, coconut, jaggery</t>
  </si>
  <si>
    <t>Modak fried</t>
  </si>
  <si>
    <t>Rice flour, coconut, jaggery, fried</t>
  </si>
  <si>
    <t>Modak steamed</t>
  </si>
  <si>
    <t>Mohanthal</t>
  </si>
  <si>
    <t>Rose water, pistachio, badam, bengal gram flour, saffron</t>
  </si>
  <si>
    <t>Moong dal halwa</t>
  </si>
  <si>
    <t>Moong dal, ghee, sugar</t>
  </si>
  <si>
    <t>Motichoor laddu</t>
  </si>
  <si>
    <t>Gram flour pearls, sugar syrup, ghee</t>
  </si>
  <si>
    <t>Mysore pak</t>
  </si>
  <si>
    <t>Besan flour, semolina, mung bean, jaggery, coconut, skimmed milk powder, sugar, ghee</t>
  </si>
  <si>
    <t>Mysore pak ghee</t>
  </si>
  <si>
    <t>Nankhatai</t>
  </si>
  <si>
    <t>Refined flour, besan, ghee, powdered sugar, yoghurt, green cardamom</t>
  </si>
  <si>
    <t>Narkel naru</t>
  </si>
  <si>
    <t>Coconut, jaggery</t>
  </si>
  <si>
    <t>Nolen gur sandesh</t>
  </si>
  <si>
    <t>Chhena, date jaggery</t>
  </si>
  <si>
    <t>Obbattu</t>
  </si>
  <si>
    <t>Maida, jaggery, coconut</t>
  </si>
  <si>
    <t>Palada payasam</t>
  </si>
  <si>
    <t>Rice ada, milk, sugar</t>
  </si>
  <si>
    <t>Palathalikalu</t>
  </si>
  <si>
    <t>Rice flour, milk</t>
  </si>
  <si>
    <t>Panjeeri</t>
  </si>
  <si>
    <t>Whole wheat flour, musk melon seeds, poppy seeds, edible gum, semolina</t>
  </si>
  <si>
    <t>Pantua</t>
  </si>
  <si>
    <t>Chhena, sugar, ghee, flour</t>
  </si>
  <si>
    <t>Paruppu payasam</t>
  </si>
  <si>
    <t>Moong dal, jaggery, coconut</t>
  </si>
  <si>
    <t>Pastry</t>
  </si>
  <si>
    <t>Refined flour, sugar, cream, butter</t>
  </si>
  <si>
    <t>Patishapta</t>
  </si>
  <si>
    <t>Rice flour crepe, coconut, jaggery</t>
  </si>
  <si>
    <t>Payasam</t>
  </si>
  <si>
    <t>Rice, cashew nuts, milk, raisins, sugar</t>
  </si>
  <si>
    <t>Payokh</t>
  </si>
  <si>
    <t>Basmati rice, rose water, sugar, clarified butter, cardamom pods</t>
  </si>
  <si>
    <t>Peanut brittle</t>
  </si>
  <si>
    <t>Peanuts, sugar</t>
  </si>
  <si>
    <t>Peanut laddu</t>
  </si>
  <si>
    <t>Petha</t>
  </si>
  <si>
    <t>Firm white pumpkin, sugar, kitchen lime, alum powder</t>
  </si>
  <si>
    <t>Phirni</t>
  </si>
  <si>
    <t>Rice, sugar, nuts</t>
  </si>
  <si>
    <t>Pinaca</t>
  </si>
  <si>
    <t>Brown rice, fennel seeds, grated coconut, black pepper, ginger powder</t>
  </si>
  <si>
    <t>Pista barfi</t>
  </si>
  <si>
    <t>Pistachio, sugar</t>
  </si>
  <si>
    <t>Pithe</t>
  </si>
  <si>
    <t>Rice flour, wheat flour</t>
  </si>
  <si>
    <t>Pongal</t>
  </si>
  <si>
    <t>Rice, jaggery, cashews, ghee</t>
  </si>
  <si>
    <t>Poornalu</t>
  </si>
  <si>
    <t>Pootharekulu</t>
  </si>
  <si>
    <t>Rice flour, powdered sugar, ghee</t>
  </si>
  <si>
    <t>Pumpkin halwa</t>
  </si>
  <si>
    <t>Pumpkin, ghee, sugar</t>
  </si>
  <si>
    <t>Puran poli</t>
  </si>
  <si>
    <t>Wheat, chana dal, jaggery, ghee</t>
  </si>
  <si>
    <t>Qubani ka meetha</t>
  </si>
  <si>
    <t>Apricots, sugar syrup</t>
  </si>
  <si>
    <t>Rabri</t>
  </si>
  <si>
    <t>Condensed milk, sugar, spices, nuts</t>
  </si>
  <si>
    <t>Rabri falooda</t>
  </si>
  <si>
    <t>Rabri, falooda, rose syrup</t>
  </si>
  <si>
    <t>Ragi laddu</t>
  </si>
  <si>
    <t>Ragi, jaggery, ghee</t>
  </si>
  <si>
    <t>Ras malai</t>
  </si>
  <si>
    <t>Chhena, reduced milk, pistachio</t>
  </si>
  <si>
    <t>Rasabali</t>
  </si>
  <si>
    <t>Chenna, sweetened milk</t>
  </si>
  <si>
    <t>Rasgulla</t>
  </si>
  <si>
    <t>Chhena, sugar, cardamom</t>
  </si>
  <si>
    <t>Rava laddu</t>
  </si>
  <si>
    <t>Semolina, coconut, sugar, ghee</t>
  </si>
  <si>
    <t>Rice kheer jaggery</t>
  </si>
  <si>
    <t>Rice, milk, jaggery</t>
  </si>
  <si>
    <t>Sabudana kheer</t>
  </si>
  <si>
    <t>Sabudana, milk, sugar</t>
  </si>
  <si>
    <t>Sandesh</t>
  </si>
  <si>
    <t>Milk, sugar, saffron, cardamom</t>
  </si>
  <si>
    <t>Semiya payasam</t>
  </si>
  <si>
    <t>Vermicelli, milk, sugar, ghee</t>
  </si>
  <si>
    <t>Shahi tukda rich</t>
  </si>
  <si>
    <t>Fried bread, rabri</t>
  </si>
  <si>
    <t>Shahi tukra</t>
  </si>
  <si>
    <t>Rose water, milk, white bread slices, saffron, almonds</t>
  </si>
  <si>
    <t>Shankarpali</t>
  </si>
  <si>
    <t>Sugar, ghee, maida flour, semolina</t>
  </si>
  <si>
    <t>Sheer khurma</t>
  </si>
  <si>
    <t>Vermicelli, milk, dates, nuts</t>
  </si>
  <si>
    <t>Sheer korma</t>
  </si>
  <si>
    <t>Vermicelli pudding, milk</t>
  </si>
  <si>
    <t>Sheera</t>
  </si>
  <si>
    <t>Semolina, ghee, nuts, milk</t>
  </si>
  <si>
    <t>Shrikhand</t>
  </si>
  <si>
    <t>Curd, sugar, saffron, cardamom</t>
  </si>
  <si>
    <t>Shrikhand mango</t>
  </si>
  <si>
    <t>Shufta</t>
  </si>
  <si>
    <t>Cottage cheese, dry dates, dried rose petals, pistachio, badam</t>
  </si>
  <si>
    <t>Singori</t>
  </si>
  <si>
    <t>Khoa, coconut, molu leaf</t>
  </si>
  <si>
    <t>Soan papdi</t>
  </si>
  <si>
    <t>Sohan halwa</t>
  </si>
  <si>
    <t>Corn flour, ghee, dry fruits</t>
  </si>
  <si>
    <t>Sohan papdi</t>
  </si>
  <si>
    <t>Gram flour, ghee, sugar, milk, cardamom</t>
  </si>
  <si>
    <t>Strawberry ice cream</t>
  </si>
  <si>
    <t>Milk, cream, sugar, strawberry</t>
  </si>
  <si>
    <t>Sukhdi</t>
  </si>
  <si>
    <t>Whole wheat flour, gur, clarified butter</t>
  </si>
  <si>
    <t>Sutar feni</t>
  </si>
  <si>
    <t>Maida, sugar, ghee</t>
  </si>
  <si>
    <t>Tender coconut pudding</t>
  </si>
  <si>
    <t>Coconut, agar, milk</t>
  </si>
  <si>
    <t>Thekua</t>
  </si>
  <si>
    <t>Wheat, jaggery, ghee, fried</t>
  </si>
  <si>
    <t>Til Pitha</t>
  </si>
  <si>
    <t>Glutinous rice, black sesame seeds, gur</t>
  </si>
  <si>
    <t>Til laddu</t>
  </si>
  <si>
    <t>Tirunelveli halwa</t>
  </si>
  <si>
    <t>Wheat, ghee, sugar</t>
  </si>
  <si>
    <t>Unni Appam</t>
  </si>
  <si>
    <t>Rice flour, banana, jaggery, coconut</t>
  </si>
  <si>
    <t>Vanilla ice cream</t>
  </si>
  <si>
    <t>Milk, cream, sugar</t>
  </si>
  <si>
    <t>Wheat halwa</t>
  </si>
  <si>
    <t>Wheat payasam</t>
  </si>
  <si>
    <t>Broken wheat, jaggery</t>
  </si>
  <si>
    <t>Zarda</t>
  </si>
  <si>
    <t>Sweet rice, ghee, saffron</t>
  </si>
  <si>
    <t>Ada dosa</t>
  </si>
  <si>
    <t>Tiffin &amp; Breakfast</t>
  </si>
  <si>
    <t>Rice, dals, coconut</t>
  </si>
  <si>
    <t>Adai</t>
  </si>
  <si>
    <t>Rice, mixed dals, spices</t>
  </si>
  <si>
    <t>Akki roti</t>
  </si>
  <si>
    <t>Rice flour, onion, coriander</t>
  </si>
  <si>
    <t>Aloo paratha with curd</t>
  </si>
  <si>
    <t>Paratha, spiced potato, curd</t>
  </si>
  <si>
    <t>Appam egg curry</t>
  </si>
  <si>
    <t>Appam, egg roast</t>
  </si>
  <si>
    <t>Appam vegetable stew</t>
  </si>
  <si>
    <t>Appam, vegetable stew</t>
  </si>
  <si>
    <t>Attu</t>
  </si>
  <si>
    <t>Whole wheat flour, arhar dal, ginger, kala jeera, green chilli</t>
  </si>
  <si>
    <t>Bajra khichdi</t>
  </si>
  <si>
    <t>Bajra, moong dal, ghee</t>
  </si>
  <si>
    <t>Banana fritters</t>
  </si>
  <si>
    <t>Banana, flour, fried</t>
  </si>
  <si>
    <t>Banana oats pancake</t>
  </si>
  <si>
    <t>Oats, banana, egg</t>
  </si>
  <si>
    <t>Benne dosa</t>
  </si>
  <si>
    <t>Rice, urad dal, white butter</t>
  </si>
  <si>
    <t>Besan chilla</t>
  </si>
  <si>
    <t>Gram flour, onion, tomato, green chilli</t>
  </si>
  <si>
    <t>Besan chilla with veggies</t>
  </si>
  <si>
    <t>Gram flour, onion, tomato</t>
  </si>
  <si>
    <t>Besan omelette</t>
  </si>
  <si>
    <t>Boiled egg and toast</t>
  </si>
  <si>
    <t>Boiled egg, brown bread</t>
  </si>
  <si>
    <t>Bread omelette</t>
  </si>
  <si>
    <t>White bread, eggs, onion, oil</t>
  </si>
  <si>
    <t>Cheese dosa</t>
  </si>
  <si>
    <t>Dosa, cheese</t>
  </si>
  <si>
    <t>Cheese uttapam</t>
  </si>
  <si>
    <t>Batter, cheese</t>
  </si>
  <si>
    <t>Chicken keema dosa</t>
  </si>
  <si>
    <t>Dosa, chicken mince</t>
  </si>
  <si>
    <t>Chilli parotta</t>
  </si>
  <si>
    <t>Parotta, sauce, onion</t>
  </si>
  <si>
    <t>Chole bhature breakfast</t>
  </si>
  <si>
    <t>Bhatura, chole</t>
  </si>
  <si>
    <t>Chole puri</t>
  </si>
  <si>
    <t>Puri, chickpea curry</t>
  </si>
  <si>
    <t>Dalia porridge sweet</t>
  </si>
  <si>
    <t>Broken wheat, milk, jaggery</t>
  </si>
  <si>
    <t>Dalia upma</t>
  </si>
  <si>
    <t>Broken wheat, veggies</t>
  </si>
  <si>
    <t>Davangere benne dosa</t>
  </si>
  <si>
    <t>Dosa, generous butter</t>
  </si>
  <si>
    <t>Dhokla</t>
  </si>
  <si>
    <t>Rava, coconut, gram flour, mustard, sesame</t>
  </si>
  <si>
    <t>Dosa</t>
  </si>
  <si>
    <t>Chana dal, urad dal, whole urad dal, blend rice, rock salt</t>
  </si>
  <si>
    <t>Egg bhurji</t>
  </si>
  <si>
    <t>Eggs, onion, tomato, green chilli, oil</t>
  </si>
  <si>
    <t>Egg dosa</t>
  </si>
  <si>
    <t>Rice, urad dal, egg, onion</t>
  </si>
  <si>
    <t>Egg dosa street</t>
  </si>
  <si>
    <t>Dosa, egg, onion</t>
  </si>
  <si>
    <t>Egg paratha street</t>
  </si>
  <si>
    <t>Paratha, egg</t>
  </si>
  <si>
    <t>Egg parotta</t>
  </si>
  <si>
    <t>Parotta, egg</t>
  </si>
  <si>
    <t>Egg white omelette</t>
  </si>
  <si>
    <t>Egg white, onion, tomato, green chilli</t>
  </si>
  <si>
    <t>Foxtail millet khichdi</t>
  </si>
  <si>
    <t>Foxtail millet, dal, veggies</t>
  </si>
  <si>
    <t>Ghee idli</t>
  </si>
  <si>
    <t>Idli, ghee</t>
  </si>
  <si>
    <t>Ghee roast dosa</t>
  </si>
  <si>
    <t>Rice, urad dal, ghee</t>
  </si>
  <si>
    <t>Gobi paratha with butter</t>
  </si>
  <si>
    <t>Paratha, cauliflower, butter</t>
  </si>
  <si>
    <t>Halwa puri</t>
  </si>
  <si>
    <t>Puri, halwa, chana</t>
  </si>
  <si>
    <t>Handvo slice</t>
  </si>
  <si>
    <t>Rice, lentils, bottle gourd</t>
  </si>
  <si>
    <t>Idiappam</t>
  </si>
  <si>
    <t>Rice flour, hot water, grated coconut</t>
  </si>
  <si>
    <t>Idiyappam coconut milk</t>
  </si>
  <si>
    <t>Rice string hoppers, coconut milk</t>
  </si>
  <si>
    <t>Idiyappam kurma</t>
  </si>
  <si>
    <t>Rice string hoppers, kurma</t>
  </si>
  <si>
    <t>Idli</t>
  </si>
  <si>
    <t>Split urad dal, urad dal, idli rice, thick poha, rock salt</t>
  </si>
  <si>
    <t>Indori poha</t>
  </si>
  <si>
    <t>Poha, sev, jalebi, lemon</t>
  </si>
  <si>
    <t>Jolada rotti</t>
  </si>
  <si>
    <t>Jowar flour, water</t>
  </si>
  <si>
    <t>Jowar roti with sabzi</t>
  </si>
  <si>
    <t>Jowar roti, mixed veg</t>
  </si>
  <si>
    <t>Kanchipuram idli</t>
  </si>
  <si>
    <t>Rice, urad dal, spices, ghee</t>
  </si>
  <si>
    <t>Kanda poha</t>
  </si>
  <si>
    <t>Poha, onion, mustard</t>
  </si>
  <si>
    <t>Kanji</t>
  </si>
  <si>
    <t>Carrot, yellow mustard, red chilli, black salt</t>
  </si>
  <si>
    <t>Keema paratha dhaba</t>
  </si>
  <si>
    <t>Paratha, minced meat</t>
  </si>
  <si>
    <t>Keerai vadai</t>
  </si>
  <si>
    <t>Dal, greens, spices, fried</t>
  </si>
  <si>
    <t>Kerala parotta</t>
  </si>
  <si>
    <t>Maida, oil, layered</t>
  </si>
  <si>
    <t>Kesari bath</t>
  </si>
  <si>
    <t>Semolina, ghee, sugar, saffron</t>
  </si>
  <si>
    <t>Khaman dhokla</t>
  </si>
  <si>
    <t>Besan, lemon, steamed</t>
  </si>
  <si>
    <t>Khara bath</t>
  </si>
  <si>
    <t>Semolina, veggies, spices</t>
  </si>
  <si>
    <t>Kothu parotta</t>
  </si>
  <si>
    <t>Shredded parotta, egg, salna</t>
  </si>
  <si>
    <t>Lachha paratha</t>
  </si>
  <si>
    <t>Layered wheat paratha, ghee</t>
  </si>
  <si>
    <t>Luchi aloo dum</t>
  </si>
  <si>
    <t>Luchi, aloo dum</t>
  </si>
  <si>
    <t>Maddur vada</t>
  </si>
  <si>
    <t>Rice flour, semolina, onion, fried</t>
  </si>
  <si>
    <t>Masala Dosa</t>
  </si>
  <si>
    <t>Chana dal, urad dal, potatoes, idli rice, thick poha</t>
  </si>
  <si>
    <t>Masala oats</t>
  </si>
  <si>
    <t>Masala omelette</t>
  </si>
  <si>
    <t>Masala vada</t>
  </si>
  <si>
    <t>Chana dal, onion, spices, deep fried</t>
  </si>
  <si>
    <t>Medu vada</t>
  </si>
  <si>
    <t>Urad dal, black pepper, curry leaves, oil</t>
  </si>
  <si>
    <t>Medu vada sambar</t>
  </si>
  <si>
    <t>Urad vada, sambar</t>
  </si>
  <si>
    <t>Methi paratha</t>
  </si>
  <si>
    <t>Paratha, fenugreek</t>
  </si>
  <si>
    <t>Methi thepla</t>
  </si>
  <si>
    <t>Wheat flour, fenugreek, curd</t>
  </si>
  <si>
    <t>Millet dosa</t>
  </si>
  <si>
    <t>Mixed millets, urad dal</t>
  </si>
  <si>
    <t>Millet pongal</t>
  </si>
  <si>
    <t>Millet, moong dal, ghee</t>
  </si>
  <si>
    <t>Millet upma</t>
  </si>
  <si>
    <t>Foxtail millet, veggies</t>
  </si>
  <si>
    <t>Mini idli sambar</t>
  </si>
  <si>
    <t>Mini idli, sambar</t>
  </si>
  <si>
    <t>Moong dal chilla</t>
  </si>
  <si>
    <t>Moong dal, onion, green chilli, coriander</t>
  </si>
  <si>
    <t>Moong dal dosa</t>
  </si>
  <si>
    <t>Moong dal batter</t>
  </si>
  <si>
    <t>Muthia steamed</t>
  </si>
  <si>
    <t>Bottle gourd, flours, steamed</t>
  </si>
  <si>
    <t>Mysore masala dosa</t>
  </si>
  <si>
    <t>Dosa, red chutney, potato masala</t>
  </si>
  <si>
    <t>Neer dosa</t>
  </si>
  <si>
    <t>Rice batter, coconut, thin</t>
  </si>
  <si>
    <t>Neyyappam</t>
  </si>
  <si>
    <t>Rice flour, jaggery, ghee, fried</t>
  </si>
  <si>
    <t>Oats dosa</t>
  </si>
  <si>
    <t>Oats, rice flour, veggies</t>
  </si>
  <si>
    <t>Oats idli</t>
  </si>
  <si>
    <t>Oats, urad dal, veg</t>
  </si>
  <si>
    <t>Oats porridge</t>
  </si>
  <si>
    <t>Oats, milk, nuts</t>
  </si>
  <si>
    <t>Oats upma</t>
  </si>
  <si>
    <t>Oats, onion, carrot, peas, mustard seeds, oil</t>
  </si>
  <si>
    <t>Obbattu holige</t>
  </si>
  <si>
    <t>Maida flour, turmeric, coconut, chickpeas, jaggery, ghee, cardamom</t>
  </si>
  <si>
    <t>Onion dosa</t>
  </si>
  <si>
    <t>Rice, urad dal, onion</t>
  </si>
  <si>
    <t>Onion tomato uttapam</t>
  </si>
  <si>
    <t>Batter, onion, tomato</t>
  </si>
  <si>
    <t>Palak paratha</t>
  </si>
  <si>
    <t>Spinach wheat paratha</t>
  </si>
  <si>
    <t>Paneer bhurji</t>
  </si>
  <si>
    <t>Paneer, onion, tomato, green chilli, oil</t>
  </si>
  <si>
    <t>Paneer dosa</t>
  </si>
  <si>
    <t>Dosa, paneer filling</t>
  </si>
  <si>
    <t>Paneer sandwich toast</t>
  </si>
  <si>
    <t>Brown bread, paneer</t>
  </si>
  <si>
    <t>Pani Pitha</t>
  </si>
  <si>
    <t>Tea leaves, white sesame seeds, dry coconut, soaked rice</t>
  </si>
  <si>
    <t>Paniyaram</t>
  </si>
  <si>
    <t>Yogurt, ginger, curry leaves, baking soda, green chilli</t>
  </si>
  <si>
    <t>Paper dosa</t>
  </si>
  <si>
    <t>Rice, urad dal, oil, thin crisp</t>
  </si>
  <si>
    <t>Parotta salna</t>
  </si>
  <si>
    <t>Parotta, salna</t>
  </si>
  <si>
    <t>Pazham pori</t>
  </si>
  <si>
    <t>Banana, maida batter, fried</t>
  </si>
  <si>
    <t>Pesarattu</t>
  </si>
  <si>
    <t>Green moong beans, rice flour</t>
  </si>
  <si>
    <t>Pesarattu upma</t>
  </si>
  <si>
    <t>Green gram dosa, upma</t>
  </si>
  <si>
    <t>Plain thepla</t>
  </si>
  <si>
    <t>Wheat flour, spices</t>
  </si>
  <si>
    <t>Plain uttapam</t>
  </si>
  <si>
    <t>Rice, urad dal, oil</t>
  </si>
  <si>
    <t>Podi dosa</t>
  </si>
  <si>
    <t>Dosa, gunpowder, oil</t>
  </si>
  <si>
    <t>Podi idli</t>
  </si>
  <si>
    <t>Idli, gunpowder, oil</t>
  </si>
  <si>
    <t>Poha</t>
  </si>
  <si>
    <t>Beaten rice flakes, potato, curry leaves, green chilies, lemon juice</t>
  </si>
  <si>
    <t>Puri sabzi</t>
  </si>
  <si>
    <t>Puri, potato curry</t>
  </si>
  <si>
    <t>Puttu</t>
  </si>
  <si>
    <t>Brown rice flour, sugar, grated coconut</t>
  </si>
  <si>
    <t>Puttu kadala</t>
  </si>
  <si>
    <t>Steamed rice puttu, black chana curry</t>
  </si>
  <si>
    <t>Quinoa upma</t>
  </si>
  <si>
    <t>Ragi dosa</t>
  </si>
  <si>
    <t>Ragi flour, rice flour, curd, onion</t>
  </si>
  <si>
    <t>Ragi dosa with chutney</t>
  </si>
  <si>
    <t>Ragi flour, rice flour, chutney</t>
  </si>
  <si>
    <t>Ragi idli</t>
  </si>
  <si>
    <t>Ragi, urad dal</t>
  </si>
  <si>
    <t>Ragi mudde</t>
  </si>
  <si>
    <t>Ragi flour, water</t>
  </si>
  <si>
    <t>Ragi porridge</t>
  </si>
  <si>
    <t>Ragi flour, milk, jaggery</t>
  </si>
  <si>
    <t>Ragi porridge salted</t>
  </si>
  <si>
    <t>Ragi, buttermilk</t>
  </si>
  <si>
    <t>Ragi roti</t>
  </si>
  <si>
    <t>Ragi flour, onion</t>
  </si>
  <si>
    <t>Rasam vada</t>
  </si>
  <si>
    <t>Urad vada, rasam</t>
  </si>
  <si>
    <t>Rava dhokla</t>
  </si>
  <si>
    <t>Semolina, curd, steamed</t>
  </si>
  <si>
    <t>Rava dosa</t>
  </si>
  <si>
    <t>Semolina, rice flour, curd, onion, oil</t>
  </si>
  <si>
    <t>Rava idli</t>
  </si>
  <si>
    <t>Semolina, curd, cashew</t>
  </si>
  <si>
    <t>Rava upma</t>
  </si>
  <si>
    <t>Semolina, veggies, mustard</t>
  </si>
  <si>
    <t>Sabudana khichdi</t>
  </si>
  <si>
    <t>Sabudana, peanuts, potatoes</t>
  </si>
  <si>
    <t>Sakkarai pongal</t>
  </si>
  <si>
    <t>Rice, moong dal, jaggery, ghee</t>
  </si>
  <si>
    <t>Sattu ki roti</t>
  </si>
  <si>
    <t>Sattu, atta, dough, filling, mustard oil</t>
  </si>
  <si>
    <t>Sattu paratha</t>
  </si>
  <si>
    <t>Wheat, sattu stuffing</t>
  </si>
  <si>
    <t>Scrambled eggs</t>
  </si>
  <si>
    <t>Eggs, butter, salt</t>
  </si>
  <si>
    <t>Set dosa</t>
  </si>
  <si>
    <t>Rice, urad dal, poha, curd</t>
  </si>
  <si>
    <t>Sevai</t>
  </si>
  <si>
    <t>Sevai, parboiled rice, steamer</t>
  </si>
  <si>
    <t>Sooji halwa breakfast</t>
  </si>
  <si>
    <t>Semolina, ghee, sugar</t>
  </si>
  <si>
    <t>Thalipeeth multigrain</t>
  </si>
  <si>
    <t>Multigrain flour, onion, spices</t>
  </si>
  <si>
    <t>Thatte idli</t>
  </si>
  <si>
    <t>Large flat idli, urad dal</t>
  </si>
  <si>
    <t>Thayir vada</t>
  </si>
  <si>
    <t>Vada, curd</t>
  </si>
  <si>
    <t>Ulundu vadai</t>
  </si>
  <si>
    <t>Urad dal, pepper, fried</t>
  </si>
  <si>
    <t>Upma</t>
  </si>
  <si>
    <t>Chana dal, urad dal, ginger, curry leaves, sugar</t>
  </si>
  <si>
    <t>Uttapam</t>
  </si>
  <si>
    <t>Chana dal, urad dal, thick poha, tomato, butter</t>
  </si>
  <si>
    <t>Vada</t>
  </si>
  <si>
    <t>Urad dal, ginger, curry leaves, green chilies, black pepper</t>
  </si>
  <si>
    <t>Veechu parotta</t>
  </si>
  <si>
    <t>Maida, oil, thin layered</t>
  </si>
  <si>
    <t>Vegetable dalia khichdi</t>
  </si>
  <si>
    <t>Broken wheat, dal, veggies</t>
  </si>
  <si>
    <t>Vegetable uttapam</t>
  </si>
  <si>
    <t>Batter, mixed veggies</t>
  </si>
  <si>
    <t>Ven pongal with sambar</t>
  </si>
  <si>
    <t>Rice, moong dal, ghee, pepper</t>
  </si>
  <si>
    <t>Wheat dosa</t>
  </si>
  <si>
    <t>Whole wheat flour, rice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</si>
</sst>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C55A11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00FF"/>
      </font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font>
        <b/>
      </font>
      <numFmt numFmtId="164" formatCode="\+0;\-0;0"/>
      <alignment horizontal="center"/>
    </dxf>
    <dxf>
      <font>
        <b/>
      </font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E6A49-36E5-481A-AF44-4B7C93EDA8AE}" name="FoodData" displayName="FoodData" ref="A1:S1531" totalsRowShown="0" headerRowDxfId="18">
  <autoFilter ref="A1:S1531" xr:uid="{089E6A49-36E5-481A-AF44-4B7C93EDA8AE}"/>
  <tableColumns count="19">
    <tableColumn id="1" xr3:uid="{03B59F6F-FE8A-472D-BA63-F73579418237}" name="Name"/>
    <tableColumn id="2" xr3:uid="{9477D7BB-6448-46E8-8AD1-4C3EB99E21DB}" name="Score" dataDxfId="17">
      <calculatedColumnFormula array="1">MAX(#REF!,MIN(#REF!,#REF!+SUMPRODUCT(--(FoodData[[#This Row],[Healthy]:[Refined]]="Yes"),#REF!)+FoodData[[#This Row],[Adjust]]))</calculatedColumnFormula>
    </tableColumn>
    <tableColumn id="3" xr3:uid="{F49938B6-981D-4DAA-A9D4-90CA898B6B8A}" name="Rating" dataDxfId="16">
      <calculatedColumnFormula>LOOKUP(FoodData[[#This Row],[Score]],#REF!,#REF!)</calculatedColumnFormula>
    </tableColumn>
    <tableColumn id="4" xr3:uid="{4259944E-42BE-4E13-B9DF-49E36525EEC2}" name="Category"/>
    <tableColumn id="5" xr3:uid="{B5ADBD73-53C6-4C90-AFDE-E3235A738BA0}" name="Course"/>
    <tableColumn id="6" xr3:uid="{6F1173E5-BE00-4203-AC8A-A2A70926E22B}" name="Diet"/>
    <tableColumn id="7" xr3:uid="{D8DC1F2E-A617-4E8F-A41A-50821B2610FC}" name="Flavor"/>
    <tableColumn id="8" xr3:uid="{3987BBD1-B431-4690-9E96-ACCEBB20E19D}" name="Ingredients"/>
    <tableColumn id="9" xr3:uid="{40E441ED-0E8F-44E8-9837-5A5DC6348E04}" name="Healthy" dataDxfId="15"/>
    <tableColumn id="10" xr3:uid="{C02D2440-05E9-41B2-9273-364B0515EE72}" name="Good_food" dataDxfId="14"/>
    <tableColumn id="11" xr3:uid="{003F3C49-608E-4790-9409-629C8C0CBD71}" name="Protein_rich" dataDxfId="13"/>
    <tableColumn id="12" xr3:uid="{CDB49D16-276B-42A7-A1CA-198AA6752C52}" name="Fibre_rich" dataDxfId="12"/>
    <tableColumn id="13" xr3:uid="{79D0DE3D-2247-4FBA-9E97-57692D7C43A7}" name="Sugar" dataDxfId="11"/>
    <tableColumn id="14" xr3:uid="{D1929F91-257B-44F8-8B56-A8C923603288}" name="Oil" dataDxfId="10"/>
    <tableColumn id="15" xr3:uid="{F890F944-CEEA-4015-B392-008174C3F6BD}" name="Ghee" dataDxfId="9"/>
    <tableColumn id="16" xr3:uid="{DB95ADDD-30C1-4F7A-BDAE-EB63658A37EC}" name="Fried" dataDxfId="8"/>
    <tableColumn id="17" xr3:uid="{733D5A5D-7B6A-4AAF-BB2E-9FA1A44265C5}" name="Junk" dataDxfId="7"/>
    <tableColumn id="18" xr3:uid="{206CFC74-B167-492F-BCAF-947D85314406}" name="Refined" dataDxfId="6"/>
    <tableColumn id="19" xr3:uid="{D3A27A64-07FB-4CF5-9175-7EF498676A3F}" name="Adjus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ECB335-0399-4089-BF30-BD2FFB0F778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8cdb855-e69b-4890-a764-143877bab6d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D62A-705C-4EB8-9203-FDFADDA9BDAB}">
  <dimension ref="A1:S1531"/>
  <sheetViews>
    <sheetView tabSelected="1" workbookViewId="0">
      <pane xSplit="1" ySplit="1" topLeftCell="D1512" activePane="bottomRight" state="frozen"/>
      <selection pane="topRight" activeCell="B1" sqref="B1"/>
      <selection pane="bottomLeft" activeCell="A2" sqref="A2"/>
      <selection pane="bottomRight" activeCell="O5" sqref="O5"/>
    </sheetView>
  </sheetViews>
  <sheetFormatPr defaultRowHeight="14.4" x14ac:dyDescent="0.3"/>
  <cols>
    <col min="1" max="1" width="35.21875" customWidth="1"/>
    <col min="2" max="2" width="9.21875" customWidth="1"/>
    <col min="3" max="3" width="13" customWidth="1"/>
    <col min="4" max="4" width="31.44140625" customWidth="1"/>
    <col min="5" max="7" width="15.77734375" customWidth="1"/>
    <col min="8" max="8" width="55.5546875" customWidth="1"/>
    <col min="9" max="19" width="13.88671875" customWidth="1"/>
  </cols>
  <sheetData>
    <row r="1" spans="1:19" x14ac:dyDescent="0.3">
      <c r="A1" s="3" t="s">
        <v>11</v>
      </c>
      <c r="B1" s="4" t="s">
        <v>12</v>
      </c>
      <c r="C1" s="4" t="s">
        <v>10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6" t="s">
        <v>18</v>
      </c>
    </row>
    <row r="2" spans="1:19" x14ac:dyDescent="0.3">
      <c r="A2" t="s">
        <v>19</v>
      </c>
      <c r="B2" s="5" t="e" cm="1">
        <f t="array" ref="B2">MAX(#REF!,MIN(#REF!,#REF!+SUMPRODUCT(--(FoodData[[#This Row],[Healthy]:[Refined]]="Yes"),#REF!)+FoodData[[#This Row],[Adjust]]))</f>
        <v>#REF!</v>
      </c>
      <c r="C2" s="1" t="e">
        <f>LOOKUP(FoodData[[#This Row],[Score]],#REF!,#REF!)</f>
        <v>#REF!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 t="s">
        <v>25</v>
      </c>
      <c r="J2" s="1" t="s">
        <v>25</v>
      </c>
      <c r="K2" s="1" t="s">
        <v>25</v>
      </c>
      <c r="L2" s="1" t="s">
        <v>26</v>
      </c>
      <c r="M2" s="1" t="s">
        <v>25</v>
      </c>
      <c r="N2" s="1" t="s">
        <v>25</v>
      </c>
      <c r="O2" s="1" t="s">
        <v>26</v>
      </c>
      <c r="P2" s="1" t="s">
        <v>25</v>
      </c>
      <c r="Q2" s="1" t="s">
        <v>25</v>
      </c>
      <c r="R2" s="1" t="s">
        <v>25</v>
      </c>
      <c r="S2" s="2">
        <v>0</v>
      </c>
    </row>
    <row r="3" spans="1:19" x14ac:dyDescent="0.3">
      <c r="A3" t="s">
        <v>27</v>
      </c>
      <c r="B3" s="5" t="e" cm="1">
        <f t="array" ref="B3">MAX(#REF!,MIN(#REF!,#REF!+SUMPRODUCT(--(FoodData[[#This Row],[Healthy]:[Refined]]="Yes"),#REF!)+FoodData[[#This Row],[Adjust]]))</f>
        <v>#REF!</v>
      </c>
      <c r="C3" s="1" t="e">
        <f>LOOKUP(FoodData[[#This Row],[Score]],#REF!,#REF!)</f>
        <v>#REF!</v>
      </c>
      <c r="D3" t="s">
        <v>20</v>
      </c>
      <c r="E3" t="s">
        <v>28</v>
      </c>
      <c r="F3" t="s">
        <v>22</v>
      </c>
      <c r="G3" t="s">
        <v>29</v>
      </c>
      <c r="H3" t="s">
        <v>30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25</v>
      </c>
      <c r="Q3" s="1" t="s">
        <v>25</v>
      </c>
      <c r="R3" s="1" t="s">
        <v>26</v>
      </c>
      <c r="S3" s="2">
        <v>0</v>
      </c>
    </row>
    <row r="4" spans="1:19" x14ac:dyDescent="0.3">
      <c r="A4" t="s">
        <v>31</v>
      </c>
      <c r="B4" s="5" t="e" cm="1">
        <f t="array" ref="B4">MAX(#REF!,MIN(#REF!,#REF!+SUMPRODUCT(--(FoodData[[#This Row],[Healthy]:[Refined]]="Yes"),#REF!)+FoodData[[#This Row],[Adjust]]))</f>
        <v>#REF!</v>
      </c>
      <c r="C4" s="1" t="e">
        <f>LOOKUP(FoodData[[#This Row],[Score]],#REF!,#REF!)</f>
        <v>#REF!</v>
      </c>
      <c r="D4" t="s">
        <v>20</v>
      </c>
      <c r="E4" t="s">
        <v>28</v>
      </c>
      <c r="F4" t="s">
        <v>22</v>
      </c>
      <c r="G4" t="s">
        <v>29</v>
      </c>
      <c r="H4" t="s">
        <v>32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2">
        <v>0</v>
      </c>
    </row>
    <row r="5" spans="1:19" x14ac:dyDescent="0.3">
      <c r="A5" t="s">
        <v>33</v>
      </c>
      <c r="B5" s="5" t="e" cm="1">
        <f t="array" ref="B5">MAX(#REF!,MIN(#REF!,#REF!+SUMPRODUCT(--(FoodData[[#This Row],[Healthy]:[Refined]]="Yes"),#REF!)+FoodData[[#This Row],[Adjust]]))</f>
        <v>#REF!</v>
      </c>
      <c r="C5" s="1" t="e">
        <f>LOOKUP(FoodData[[#This Row],[Score]],#REF!,#REF!)</f>
        <v>#REF!</v>
      </c>
      <c r="D5" t="s">
        <v>20</v>
      </c>
      <c r="E5" t="s">
        <v>28</v>
      </c>
      <c r="F5" t="s">
        <v>22</v>
      </c>
      <c r="G5" t="s">
        <v>29</v>
      </c>
      <c r="H5" t="s">
        <v>34</v>
      </c>
      <c r="I5" s="1" t="s">
        <v>26</v>
      </c>
      <c r="J5" s="1" t="s">
        <v>26</v>
      </c>
      <c r="K5" s="1" t="s">
        <v>25</v>
      </c>
      <c r="L5" s="1" t="s">
        <v>26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2">
        <v>0</v>
      </c>
    </row>
    <row r="6" spans="1:19" x14ac:dyDescent="0.3">
      <c r="A6" t="s">
        <v>35</v>
      </c>
      <c r="B6" s="5" t="e" cm="1">
        <f t="array" ref="B6">MAX(#REF!,MIN(#REF!,#REF!+SUMPRODUCT(--(FoodData[[#This Row],[Healthy]:[Refined]]="Yes"),#REF!)+FoodData[[#This Row],[Adjust]]))</f>
        <v>#REF!</v>
      </c>
      <c r="C6" s="1" t="e">
        <f>LOOKUP(FoodData[[#This Row],[Score]],#REF!,#REF!)</f>
        <v>#REF!</v>
      </c>
      <c r="D6" t="s">
        <v>20</v>
      </c>
      <c r="E6" t="s">
        <v>28</v>
      </c>
      <c r="F6" t="s">
        <v>22</v>
      </c>
      <c r="G6" t="s">
        <v>23</v>
      </c>
      <c r="H6" t="s">
        <v>36</v>
      </c>
      <c r="I6" s="1" t="s">
        <v>26</v>
      </c>
      <c r="J6" s="1" t="s">
        <v>25</v>
      </c>
      <c r="K6" s="1" t="s">
        <v>25</v>
      </c>
      <c r="L6" s="1" t="s">
        <v>26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2">
        <v>0</v>
      </c>
    </row>
    <row r="7" spans="1:19" x14ac:dyDescent="0.3">
      <c r="A7" t="s">
        <v>37</v>
      </c>
      <c r="B7" s="5" t="e" cm="1">
        <f t="array" ref="B7">MAX(#REF!,MIN(#REF!,#REF!+SUMPRODUCT(--(FoodData[[#This Row],[Healthy]:[Refined]]="Yes"),#REF!)+FoodData[[#This Row],[Adjust]]))</f>
        <v>#REF!</v>
      </c>
      <c r="C7" s="1" t="e">
        <f>LOOKUP(FoodData[[#This Row],[Score]],#REF!,#REF!)</f>
        <v>#REF!</v>
      </c>
      <c r="D7" t="s">
        <v>20</v>
      </c>
      <c r="E7" t="s">
        <v>28</v>
      </c>
      <c r="F7" t="s">
        <v>22</v>
      </c>
      <c r="G7" t="s">
        <v>29</v>
      </c>
      <c r="H7" t="s">
        <v>38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26</v>
      </c>
      <c r="P7" s="1" t="s">
        <v>25</v>
      </c>
      <c r="Q7" s="1" t="s">
        <v>25</v>
      </c>
      <c r="R7" s="1" t="s">
        <v>26</v>
      </c>
      <c r="S7" s="2">
        <v>0</v>
      </c>
    </row>
    <row r="8" spans="1:19" x14ac:dyDescent="0.3">
      <c r="A8" t="s">
        <v>39</v>
      </c>
      <c r="B8" s="5" t="e" cm="1">
        <f t="array" ref="B8">MAX(#REF!,MIN(#REF!,#REF!+SUMPRODUCT(--(FoodData[[#This Row],[Healthy]:[Refined]]="Yes"),#REF!)+FoodData[[#This Row],[Adjust]]))</f>
        <v>#REF!</v>
      </c>
      <c r="C8" s="1" t="e">
        <f>LOOKUP(FoodData[[#This Row],[Score]],#REF!,#REF!)</f>
        <v>#REF!</v>
      </c>
      <c r="D8" t="s">
        <v>20</v>
      </c>
      <c r="E8" t="s">
        <v>28</v>
      </c>
      <c r="F8" t="s">
        <v>22</v>
      </c>
      <c r="G8" t="s">
        <v>29</v>
      </c>
      <c r="H8" t="s">
        <v>40</v>
      </c>
      <c r="I8" s="1" t="s">
        <v>26</v>
      </c>
      <c r="J8" s="1" t="s">
        <v>26</v>
      </c>
      <c r="K8" s="1" t="s">
        <v>25</v>
      </c>
      <c r="L8" s="1" t="s">
        <v>26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2">
        <v>0</v>
      </c>
    </row>
    <row r="9" spans="1:19" x14ac:dyDescent="0.3">
      <c r="A9" t="s">
        <v>41</v>
      </c>
      <c r="B9" s="5" t="e" cm="1">
        <f t="array" ref="B9">MAX(#REF!,MIN(#REF!,#REF!+SUMPRODUCT(--(FoodData[[#This Row],[Healthy]:[Refined]]="Yes"),#REF!)+FoodData[[#This Row],[Adjust]]))</f>
        <v>#REF!</v>
      </c>
      <c r="C9" s="1" t="e">
        <f>LOOKUP(FoodData[[#This Row],[Score]],#REF!,#REF!)</f>
        <v>#REF!</v>
      </c>
      <c r="D9" t="s">
        <v>20</v>
      </c>
      <c r="E9" t="s">
        <v>28</v>
      </c>
      <c r="F9" t="s">
        <v>22</v>
      </c>
      <c r="G9" t="s">
        <v>29</v>
      </c>
      <c r="H9" t="s">
        <v>42</v>
      </c>
      <c r="I9" s="1" t="s">
        <v>26</v>
      </c>
      <c r="J9" s="1" t="s">
        <v>26</v>
      </c>
      <c r="K9" s="1" t="s">
        <v>25</v>
      </c>
      <c r="L9" s="1" t="s">
        <v>26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2">
        <v>0</v>
      </c>
    </row>
    <row r="10" spans="1:19" x14ac:dyDescent="0.3">
      <c r="A10" t="s">
        <v>43</v>
      </c>
      <c r="B10" s="5" t="e" cm="1">
        <f t="array" ref="B10">MAX(#REF!,MIN(#REF!,#REF!+SUMPRODUCT(--(FoodData[[#This Row],[Healthy]:[Refined]]="Yes"),#REF!)+FoodData[[#This Row],[Adjust]]))</f>
        <v>#REF!</v>
      </c>
      <c r="C10" s="1" t="e">
        <f>LOOKUP(FoodData[[#This Row],[Score]],#REF!,#REF!)</f>
        <v>#REF!</v>
      </c>
      <c r="D10" t="s">
        <v>20</v>
      </c>
      <c r="E10" t="s">
        <v>28</v>
      </c>
      <c r="F10" t="s">
        <v>22</v>
      </c>
      <c r="G10" t="s">
        <v>23</v>
      </c>
      <c r="H10" t="s">
        <v>44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25</v>
      </c>
      <c r="N10" s="1" t="s">
        <v>25</v>
      </c>
      <c r="O10" s="1" t="s">
        <v>25</v>
      </c>
      <c r="P10" s="1" t="s">
        <v>26</v>
      </c>
      <c r="Q10" s="1" t="s">
        <v>26</v>
      </c>
      <c r="R10" s="1" t="s">
        <v>26</v>
      </c>
      <c r="S10" s="2">
        <v>0</v>
      </c>
    </row>
    <row r="11" spans="1:19" x14ac:dyDescent="0.3">
      <c r="A11" t="s">
        <v>45</v>
      </c>
      <c r="B11" s="5" t="e" cm="1">
        <f t="array" ref="B11">MAX(#REF!,MIN(#REF!,#REF!+SUMPRODUCT(--(FoodData[[#This Row],[Healthy]:[Refined]]="Yes"),#REF!)+FoodData[[#This Row],[Adjust]]))</f>
        <v>#REF!</v>
      </c>
      <c r="C11" s="1" t="e">
        <f>LOOKUP(FoodData[[#This Row],[Score]],#REF!,#REF!)</f>
        <v>#REF!</v>
      </c>
      <c r="D11" t="s">
        <v>20</v>
      </c>
      <c r="E11" t="s">
        <v>28</v>
      </c>
      <c r="F11" t="s">
        <v>22</v>
      </c>
      <c r="G11" t="s">
        <v>29</v>
      </c>
      <c r="H11" t="s">
        <v>46</v>
      </c>
      <c r="I11" s="1" t="s">
        <v>25</v>
      </c>
      <c r="J11" s="1" t="s">
        <v>25</v>
      </c>
      <c r="K11" s="1" t="s">
        <v>26</v>
      </c>
      <c r="L11" s="1" t="s">
        <v>25</v>
      </c>
      <c r="M11" s="1" t="s">
        <v>25</v>
      </c>
      <c r="N11" s="1" t="s">
        <v>25</v>
      </c>
      <c r="O11" s="1" t="s">
        <v>26</v>
      </c>
      <c r="P11" s="1" t="s">
        <v>25</v>
      </c>
      <c r="Q11" s="1" t="s">
        <v>26</v>
      </c>
      <c r="R11" s="1" t="s">
        <v>26</v>
      </c>
      <c r="S11" s="2">
        <v>0</v>
      </c>
    </row>
    <row r="12" spans="1:19" x14ac:dyDescent="0.3">
      <c r="A12" t="s">
        <v>47</v>
      </c>
      <c r="B12" s="5" t="e" cm="1">
        <f t="array" ref="B12">MAX(#REF!,MIN(#REF!,#REF!+SUMPRODUCT(--(FoodData[[#This Row],[Healthy]:[Refined]]="Yes"),#REF!)+FoodData[[#This Row],[Adjust]]))</f>
        <v>#REF!</v>
      </c>
      <c r="C12" s="1" t="e">
        <f>LOOKUP(FoodData[[#This Row],[Score]],#REF!,#REF!)</f>
        <v>#REF!</v>
      </c>
      <c r="D12" t="s">
        <v>20</v>
      </c>
      <c r="E12" t="s">
        <v>28</v>
      </c>
      <c r="F12" t="s">
        <v>22</v>
      </c>
      <c r="G12" t="s">
        <v>29</v>
      </c>
      <c r="H12" t="s">
        <v>48</v>
      </c>
      <c r="I12" s="1" t="s">
        <v>25</v>
      </c>
      <c r="J12" s="1" t="s">
        <v>25</v>
      </c>
      <c r="K12" s="1" t="s">
        <v>25</v>
      </c>
      <c r="L12" s="1" t="s">
        <v>26</v>
      </c>
      <c r="M12" s="1" t="s">
        <v>25</v>
      </c>
      <c r="N12" s="1" t="s">
        <v>25</v>
      </c>
      <c r="O12" s="1" t="s">
        <v>26</v>
      </c>
      <c r="P12" s="1" t="s">
        <v>25</v>
      </c>
      <c r="Q12" s="1" t="s">
        <v>25</v>
      </c>
      <c r="R12" s="1" t="s">
        <v>25</v>
      </c>
      <c r="S12" s="2">
        <v>0</v>
      </c>
    </row>
    <row r="13" spans="1:19" x14ac:dyDescent="0.3">
      <c r="A13" t="s">
        <v>49</v>
      </c>
      <c r="B13" s="5" t="e" cm="1">
        <f t="array" ref="B13">MAX(#REF!,MIN(#REF!,#REF!+SUMPRODUCT(--(FoodData[[#This Row],[Healthy]:[Refined]]="Yes"),#REF!)+FoodData[[#This Row],[Adjust]]))</f>
        <v>#REF!</v>
      </c>
      <c r="C13" s="1" t="e">
        <f>LOOKUP(FoodData[[#This Row],[Score]],#REF!,#REF!)</f>
        <v>#REF!</v>
      </c>
      <c r="D13" t="s">
        <v>20</v>
      </c>
      <c r="E13" t="s">
        <v>28</v>
      </c>
      <c r="F13" t="s">
        <v>22</v>
      </c>
      <c r="G13" t="s">
        <v>29</v>
      </c>
      <c r="H13" t="s">
        <v>50</v>
      </c>
      <c r="I13" s="1" t="s">
        <v>26</v>
      </c>
      <c r="J13" s="1" t="s">
        <v>25</v>
      </c>
      <c r="K13" s="1" t="s">
        <v>25</v>
      </c>
      <c r="L13" s="1" t="s">
        <v>26</v>
      </c>
      <c r="M13" s="1" t="s">
        <v>25</v>
      </c>
      <c r="N13" s="1" t="s">
        <v>26</v>
      </c>
      <c r="O13" s="1" t="s">
        <v>25</v>
      </c>
      <c r="P13" s="1" t="s">
        <v>25</v>
      </c>
      <c r="Q13" s="1" t="s">
        <v>25</v>
      </c>
      <c r="R13" s="1" t="s">
        <v>25</v>
      </c>
      <c r="S13" s="2">
        <v>0</v>
      </c>
    </row>
    <row r="14" spans="1:19" x14ac:dyDescent="0.3">
      <c r="A14" t="s">
        <v>51</v>
      </c>
      <c r="B14" s="5" t="e" cm="1">
        <f t="array" ref="B14">MAX(#REF!,MIN(#REF!,#REF!+SUMPRODUCT(--(FoodData[[#This Row],[Healthy]:[Refined]]="Yes"),#REF!)+FoodData[[#This Row],[Adjust]]))</f>
        <v>#REF!</v>
      </c>
      <c r="C14" s="1" t="e">
        <f>LOOKUP(FoodData[[#This Row],[Score]],#REF!,#REF!)</f>
        <v>#REF!</v>
      </c>
      <c r="D14" t="s">
        <v>20</v>
      </c>
      <c r="E14" t="s">
        <v>28</v>
      </c>
      <c r="F14" t="s">
        <v>22</v>
      </c>
      <c r="G14" t="s">
        <v>29</v>
      </c>
      <c r="H14" t="s">
        <v>52</v>
      </c>
      <c r="I14" s="1" t="s">
        <v>25</v>
      </c>
      <c r="J14" s="1" t="s">
        <v>25</v>
      </c>
      <c r="K14" s="1" t="s">
        <v>25</v>
      </c>
      <c r="L14" s="1" t="s">
        <v>26</v>
      </c>
      <c r="M14" s="1" t="s">
        <v>25</v>
      </c>
      <c r="N14" s="1" t="s">
        <v>26</v>
      </c>
      <c r="O14" s="1" t="s">
        <v>25</v>
      </c>
      <c r="P14" s="1" t="s">
        <v>25</v>
      </c>
      <c r="Q14" s="1" t="s">
        <v>25</v>
      </c>
      <c r="R14" s="1" t="s">
        <v>25</v>
      </c>
      <c r="S14" s="2">
        <v>0</v>
      </c>
    </row>
    <row r="15" spans="1:19" x14ac:dyDescent="0.3">
      <c r="A15" t="s">
        <v>53</v>
      </c>
      <c r="B15" s="5" t="e" cm="1">
        <f t="array" ref="B15">MAX(#REF!,MIN(#REF!,#REF!+SUMPRODUCT(--(FoodData[[#This Row],[Healthy]:[Refined]]="Yes"),#REF!)+FoodData[[#This Row],[Adjust]]))</f>
        <v>#REF!</v>
      </c>
      <c r="C15" s="1" t="e">
        <f>LOOKUP(FoodData[[#This Row],[Score]],#REF!,#REF!)</f>
        <v>#REF!</v>
      </c>
      <c r="D15" t="s">
        <v>20</v>
      </c>
      <c r="E15" t="s">
        <v>28</v>
      </c>
      <c r="F15" t="s">
        <v>22</v>
      </c>
      <c r="G15" t="s">
        <v>29</v>
      </c>
      <c r="H15" t="s">
        <v>54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26</v>
      </c>
      <c r="P15" s="1" t="s">
        <v>25</v>
      </c>
      <c r="Q15" s="1" t="s">
        <v>26</v>
      </c>
      <c r="R15" s="1" t="s">
        <v>26</v>
      </c>
      <c r="S15" s="2">
        <v>0</v>
      </c>
    </row>
    <row r="16" spans="1:19" x14ac:dyDescent="0.3">
      <c r="A16" t="s">
        <v>55</v>
      </c>
      <c r="B16" s="5" t="e" cm="1">
        <f t="array" ref="B16">MAX(#REF!,MIN(#REF!,#REF!+SUMPRODUCT(--(FoodData[[#This Row],[Healthy]:[Refined]]="Yes"),#REF!)+FoodData[[#This Row],[Adjust]]))</f>
        <v>#REF!</v>
      </c>
      <c r="C16" s="1" t="e">
        <f>LOOKUP(FoodData[[#This Row],[Score]],#REF!,#REF!)</f>
        <v>#REF!</v>
      </c>
      <c r="D16" t="s">
        <v>20</v>
      </c>
      <c r="E16" t="s">
        <v>28</v>
      </c>
      <c r="F16" t="s">
        <v>22</v>
      </c>
      <c r="G16" t="s">
        <v>23</v>
      </c>
      <c r="H16" t="s">
        <v>56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2">
        <v>0</v>
      </c>
    </row>
    <row r="17" spans="1:19" x14ac:dyDescent="0.3">
      <c r="A17" t="s">
        <v>57</v>
      </c>
      <c r="B17" s="5" t="e" cm="1">
        <f t="array" ref="B17">MAX(#REF!,MIN(#REF!,#REF!+SUMPRODUCT(--(FoodData[[#This Row],[Healthy]:[Refined]]="Yes"),#REF!)+FoodData[[#This Row],[Adjust]]))</f>
        <v>#REF!</v>
      </c>
      <c r="C17" s="1" t="e">
        <f>LOOKUP(FoodData[[#This Row],[Score]],#REF!,#REF!)</f>
        <v>#REF!</v>
      </c>
      <c r="D17" t="s">
        <v>20</v>
      </c>
      <c r="E17" t="s">
        <v>28</v>
      </c>
      <c r="F17" t="s">
        <v>22</v>
      </c>
      <c r="G17" t="s">
        <v>23</v>
      </c>
      <c r="H17" t="s">
        <v>58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25</v>
      </c>
      <c r="N17" s="1" t="s">
        <v>25</v>
      </c>
      <c r="O17" s="1" t="s">
        <v>25</v>
      </c>
      <c r="P17" s="1" t="s">
        <v>26</v>
      </c>
      <c r="Q17" s="1" t="s">
        <v>26</v>
      </c>
      <c r="R17" s="1" t="s">
        <v>25</v>
      </c>
      <c r="S17" s="2">
        <v>0</v>
      </c>
    </row>
    <row r="18" spans="1:19" x14ac:dyDescent="0.3">
      <c r="A18" t="s">
        <v>59</v>
      </c>
      <c r="B18" s="5" t="e" cm="1">
        <f t="array" ref="B18">MAX(#REF!,MIN(#REF!,#REF!+SUMPRODUCT(--(FoodData[[#This Row],[Healthy]:[Refined]]="Yes"),#REF!)+FoodData[[#This Row],[Adjust]]))</f>
        <v>#REF!</v>
      </c>
      <c r="C18" s="1" t="e">
        <f>LOOKUP(FoodData[[#This Row],[Score]],#REF!,#REF!)</f>
        <v>#REF!</v>
      </c>
      <c r="D18" t="s">
        <v>20</v>
      </c>
      <c r="E18" t="s">
        <v>21</v>
      </c>
      <c r="F18" t="s">
        <v>60</v>
      </c>
      <c r="G18" t="s">
        <v>23</v>
      </c>
      <c r="H18" t="s">
        <v>61</v>
      </c>
      <c r="I18" s="1" t="s">
        <v>26</v>
      </c>
      <c r="J18" s="1" t="s">
        <v>25</v>
      </c>
      <c r="K18" s="1" t="s">
        <v>26</v>
      </c>
      <c r="L18" s="1" t="s">
        <v>26</v>
      </c>
      <c r="M18" s="1" t="s">
        <v>25</v>
      </c>
      <c r="N18" s="1" t="s">
        <v>26</v>
      </c>
      <c r="O18" s="1" t="s">
        <v>25</v>
      </c>
      <c r="P18" s="1" t="s">
        <v>25</v>
      </c>
      <c r="Q18" s="1" t="s">
        <v>25</v>
      </c>
      <c r="R18" s="1" t="s">
        <v>25</v>
      </c>
      <c r="S18" s="2">
        <v>0</v>
      </c>
    </row>
    <row r="19" spans="1:19" x14ac:dyDescent="0.3">
      <c r="A19" t="s">
        <v>62</v>
      </c>
      <c r="B19" s="5" t="e" cm="1">
        <f t="array" ref="B19">MAX(#REF!,MIN(#REF!,#REF!+SUMPRODUCT(--(FoodData[[#This Row],[Healthy]:[Refined]]="Yes"),#REF!)+FoodData[[#This Row],[Adjust]]))</f>
        <v>#REF!</v>
      </c>
      <c r="C19" s="1" t="e">
        <f>LOOKUP(FoodData[[#This Row],[Score]],#REF!,#REF!)</f>
        <v>#REF!</v>
      </c>
      <c r="D19" t="s">
        <v>20</v>
      </c>
      <c r="E19" t="s">
        <v>63</v>
      </c>
      <c r="F19" t="s">
        <v>22</v>
      </c>
      <c r="G19" t="s">
        <v>29</v>
      </c>
      <c r="H19" t="s">
        <v>64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25</v>
      </c>
      <c r="S19" s="2">
        <v>0</v>
      </c>
    </row>
    <row r="20" spans="1:19" x14ac:dyDescent="0.3">
      <c r="A20" t="s">
        <v>65</v>
      </c>
      <c r="B20" s="5" t="e" cm="1">
        <f t="array" ref="B20">MAX(#REF!,MIN(#REF!,#REF!+SUMPRODUCT(--(FoodData[[#This Row],[Healthy]:[Refined]]="Yes"),#REF!)+FoodData[[#This Row],[Adjust]]))</f>
        <v>#REF!</v>
      </c>
      <c r="C20" s="1" t="e">
        <f>LOOKUP(FoodData[[#This Row],[Score]],#REF!,#REF!)</f>
        <v>#REF!</v>
      </c>
      <c r="D20" t="s">
        <v>20</v>
      </c>
      <c r="E20" t="s">
        <v>28</v>
      </c>
      <c r="F20" t="s">
        <v>22</v>
      </c>
      <c r="G20" t="s">
        <v>29</v>
      </c>
      <c r="H20" t="s">
        <v>66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26</v>
      </c>
      <c r="P20" s="1" t="s">
        <v>25</v>
      </c>
      <c r="Q20" s="1" t="s">
        <v>25</v>
      </c>
      <c r="R20" s="1" t="s">
        <v>26</v>
      </c>
      <c r="S20" s="2">
        <v>0</v>
      </c>
    </row>
    <row r="21" spans="1:19" x14ac:dyDescent="0.3">
      <c r="A21" t="s">
        <v>67</v>
      </c>
      <c r="B21" s="5" t="e" cm="1">
        <f t="array" ref="B21">MAX(#REF!,MIN(#REF!,#REF!+SUMPRODUCT(--(FoodData[[#This Row],[Healthy]:[Refined]]="Yes"),#REF!)+FoodData[[#This Row],[Adjust]]))</f>
        <v>#REF!</v>
      </c>
      <c r="C21" s="1" t="e">
        <f>LOOKUP(FoodData[[#This Row],[Score]],#REF!,#REF!)</f>
        <v>#REF!</v>
      </c>
      <c r="D21" t="s">
        <v>20</v>
      </c>
      <c r="E21" t="s">
        <v>21</v>
      </c>
      <c r="F21" t="s">
        <v>22</v>
      </c>
      <c r="G21" t="s">
        <v>23</v>
      </c>
      <c r="H21" t="s">
        <v>68</v>
      </c>
      <c r="I21" s="1" t="s">
        <v>26</v>
      </c>
      <c r="J21" s="1" t="s">
        <v>25</v>
      </c>
      <c r="K21" s="1" t="s">
        <v>25</v>
      </c>
      <c r="L21" s="1" t="s">
        <v>26</v>
      </c>
      <c r="M21" s="1" t="s">
        <v>25</v>
      </c>
      <c r="N21" s="1" t="s">
        <v>26</v>
      </c>
      <c r="O21" s="1" t="s">
        <v>25</v>
      </c>
      <c r="P21" s="1" t="s">
        <v>25</v>
      </c>
      <c r="Q21" s="1" t="s">
        <v>25</v>
      </c>
      <c r="R21" s="1" t="s">
        <v>25</v>
      </c>
      <c r="S21" s="2">
        <v>0</v>
      </c>
    </row>
    <row r="22" spans="1:19" x14ac:dyDescent="0.3">
      <c r="A22" t="s">
        <v>69</v>
      </c>
      <c r="B22" s="5" t="e" cm="1">
        <f t="array" ref="B22">MAX(#REF!,MIN(#REF!,#REF!+SUMPRODUCT(--(FoodData[[#This Row],[Healthy]:[Refined]]="Yes"),#REF!)+FoodData[[#This Row],[Adjust]]))</f>
        <v>#REF!</v>
      </c>
      <c r="C22" s="1" t="e">
        <f>LOOKUP(FoodData[[#This Row],[Score]],#REF!,#REF!)</f>
        <v>#REF!</v>
      </c>
      <c r="D22" t="s">
        <v>20</v>
      </c>
      <c r="E22" t="s">
        <v>28</v>
      </c>
      <c r="F22" t="s">
        <v>22</v>
      </c>
      <c r="G22" t="s">
        <v>29</v>
      </c>
      <c r="H22" t="s">
        <v>70</v>
      </c>
      <c r="I22" s="1" t="s">
        <v>26</v>
      </c>
      <c r="J22" s="1" t="s">
        <v>26</v>
      </c>
      <c r="K22" s="1" t="s">
        <v>25</v>
      </c>
      <c r="L22" s="1" t="s">
        <v>26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  <c r="S22" s="2">
        <v>0</v>
      </c>
    </row>
    <row r="23" spans="1:19" x14ac:dyDescent="0.3">
      <c r="A23" t="s">
        <v>71</v>
      </c>
      <c r="B23" s="5" t="e" cm="1">
        <f t="array" ref="B23">MAX(#REF!,MIN(#REF!,#REF!+SUMPRODUCT(--(FoodData[[#This Row],[Healthy]:[Refined]]="Yes"),#REF!)+FoodData[[#This Row],[Adjust]]))</f>
        <v>#REF!</v>
      </c>
      <c r="C23" s="1" t="e">
        <f>LOOKUP(FoodData[[#This Row],[Score]],#REF!,#REF!)</f>
        <v>#REF!</v>
      </c>
      <c r="D23" t="s">
        <v>20</v>
      </c>
      <c r="E23" t="s">
        <v>28</v>
      </c>
      <c r="F23" t="s">
        <v>60</v>
      </c>
      <c r="G23" t="s">
        <v>29</v>
      </c>
      <c r="H23" t="s">
        <v>72</v>
      </c>
      <c r="I23" s="1" t="s">
        <v>25</v>
      </c>
      <c r="J23" s="1" t="s">
        <v>25</v>
      </c>
      <c r="K23" s="1" t="s">
        <v>26</v>
      </c>
      <c r="L23" s="1" t="s">
        <v>25</v>
      </c>
      <c r="M23" s="1" t="s">
        <v>25</v>
      </c>
      <c r="N23" s="1" t="s">
        <v>25</v>
      </c>
      <c r="O23" s="1" t="s">
        <v>26</v>
      </c>
      <c r="P23" s="1" t="s">
        <v>25</v>
      </c>
      <c r="Q23" s="1" t="s">
        <v>25</v>
      </c>
      <c r="R23" s="1" t="s">
        <v>26</v>
      </c>
      <c r="S23" s="2">
        <v>0</v>
      </c>
    </row>
    <row r="24" spans="1:19" x14ac:dyDescent="0.3">
      <c r="A24" t="s">
        <v>73</v>
      </c>
      <c r="B24" s="5" t="e" cm="1">
        <f t="array" ref="B24">MAX(#REF!,MIN(#REF!,#REF!+SUMPRODUCT(--(FoodData[[#This Row],[Healthy]:[Refined]]="Yes"),#REF!)+FoodData[[#This Row],[Adjust]]))</f>
        <v>#REF!</v>
      </c>
      <c r="C24" s="1" t="e">
        <f>LOOKUP(FoodData[[#This Row],[Score]],#REF!,#REF!)</f>
        <v>#REF!</v>
      </c>
      <c r="D24" t="s">
        <v>20</v>
      </c>
      <c r="E24" t="s">
        <v>21</v>
      </c>
      <c r="F24" t="s">
        <v>60</v>
      </c>
      <c r="G24" t="s">
        <v>23</v>
      </c>
      <c r="H24" t="s">
        <v>74</v>
      </c>
      <c r="I24" s="1" t="s">
        <v>26</v>
      </c>
      <c r="J24" s="1" t="s">
        <v>25</v>
      </c>
      <c r="K24" s="1" t="s">
        <v>26</v>
      </c>
      <c r="L24" s="1" t="s">
        <v>26</v>
      </c>
      <c r="M24" s="1" t="s">
        <v>25</v>
      </c>
      <c r="N24" s="1" t="s">
        <v>26</v>
      </c>
      <c r="O24" s="1" t="s">
        <v>25</v>
      </c>
      <c r="P24" s="1" t="s">
        <v>25</v>
      </c>
      <c r="Q24" s="1" t="s">
        <v>25</v>
      </c>
      <c r="R24" s="1" t="s">
        <v>25</v>
      </c>
      <c r="S24" s="2">
        <v>0</v>
      </c>
    </row>
    <row r="25" spans="1:19" x14ac:dyDescent="0.3">
      <c r="A25" t="s">
        <v>75</v>
      </c>
      <c r="B25" s="5" t="e" cm="1">
        <f t="array" ref="B25">MAX(#REF!,MIN(#REF!,#REF!+SUMPRODUCT(--(FoodData[[#This Row],[Healthy]:[Refined]]="Yes"),#REF!)+FoodData[[#This Row],[Adjust]]))</f>
        <v>#REF!</v>
      </c>
      <c r="C25" s="1" t="e">
        <f>LOOKUP(FoodData[[#This Row],[Score]],#REF!,#REF!)</f>
        <v>#REF!</v>
      </c>
      <c r="D25" t="s">
        <v>20</v>
      </c>
      <c r="E25" t="s">
        <v>63</v>
      </c>
      <c r="F25" t="s">
        <v>22</v>
      </c>
      <c r="G25" t="s">
        <v>23</v>
      </c>
      <c r="H25" t="s">
        <v>76</v>
      </c>
      <c r="I25" s="1" t="s">
        <v>26</v>
      </c>
      <c r="J25" s="1" t="s">
        <v>25</v>
      </c>
      <c r="K25" s="1" t="s">
        <v>26</v>
      </c>
      <c r="L25" s="1" t="s">
        <v>26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  <c r="S25" s="2">
        <v>0</v>
      </c>
    </row>
    <row r="26" spans="1:19" x14ac:dyDescent="0.3">
      <c r="A26" t="s">
        <v>77</v>
      </c>
      <c r="B26" s="5" t="e" cm="1">
        <f t="array" ref="B26">MAX(#REF!,MIN(#REF!,#REF!+SUMPRODUCT(--(FoodData[[#This Row],[Healthy]:[Refined]]="Yes"),#REF!)+FoodData[[#This Row],[Adjust]]))</f>
        <v>#REF!</v>
      </c>
      <c r="C26" s="1" t="e">
        <f>LOOKUP(FoodData[[#This Row],[Score]],#REF!,#REF!)</f>
        <v>#REF!</v>
      </c>
      <c r="D26" t="s">
        <v>20</v>
      </c>
      <c r="E26" t="s">
        <v>28</v>
      </c>
      <c r="F26" t="s">
        <v>22</v>
      </c>
      <c r="G26" t="s">
        <v>29</v>
      </c>
      <c r="H26" t="s">
        <v>78</v>
      </c>
      <c r="I26" s="1" t="s">
        <v>25</v>
      </c>
      <c r="J26" s="1" t="s">
        <v>25</v>
      </c>
      <c r="K26" s="1" t="s">
        <v>26</v>
      </c>
      <c r="L26" s="1" t="s">
        <v>25</v>
      </c>
      <c r="M26" s="1" t="s">
        <v>25</v>
      </c>
      <c r="N26" s="1" t="s">
        <v>25</v>
      </c>
      <c r="O26" s="1" t="s">
        <v>26</v>
      </c>
      <c r="P26" s="1" t="s">
        <v>25</v>
      </c>
      <c r="Q26" s="1" t="s">
        <v>26</v>
      </c>
      <c r="R26" s="1" t="s">
        <v>26</v>
      </c>
      <c r="S26" s="2">
        <v>0</v>
      </c>
    </row>
    <row r="27" spans="1:19" x14ac:dyDescent="0.3">
      <c r="A27" t="s">
        <v>79</v>
      </c>
      <c r="B27" s="5" t="e" cm="1">
        <f t="array" ref="B27">MAX(#REF!,MIN(#REF!,#REF!+SUMPRODUCT(--(FoodData[[#This Row],[Healthy]:[Refined]]="Yes"),#REF!)+FoodData[[#This Row],[Adjust]]))</f>
        <v>#REF!</v>
      </c>
      <c r="C27" s="1" t="e">
        <f>LOOKUP(FoodData[[#This Row],[Score]],#REF!,#REF!)</f>
        <v>#REF!</v>
      </c>
      <c r="D27" t="s">
        <v>20</v>
      </c>
      <c r="E27" t="s">
        <v>28</v>
      </c>
      <c r="F27" t="s">
        <v>22</v>
      </c>
      <c r="G27" t="s">
        <v>29</v>
      </c>
      <c r="H27" t="s">
        <v>80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26</v>
      </c>
      <c r="S27" s="2">
        <v>0</v>
      </c>
    </row>
    <row r="28" spans="1:19" x14ac:dyDescent="0.3">
      <c r="A28" t="s">
        <v>81</v>
      </c>
      <c r="B28" s="5" t="e" cm="1">
        <f t="array" ref="B28">MAX(#REF!,MIN(#REF!,#REF!+SUMPRODUCT(--(FoodData[[#This Row],[Healthy]:[Refined]]="Yes"),#REF!)+FoodData[[#This Row],[Adjust]]))</f>
        <v>#REF!</v>
      </c>
      <c r="C28" s="1" t="e">
        <f>LOOKUP(FoodData[[#This Row],[Score]],#REF!,#REF!)</f>
        <v>#REF!</v>
      </c>
      <c r="D28" t="s">
        <v>20</v>
      </c>
      <c r="E28" t="s">
        <v>28</v>
      </c>
      <c r="F28" t="s">
        <v>22</v>
      </c>
      <c r="G28" t="s">
        <v>29</v>
      </c>
      <c r="H28" t="s">
        <v>82</v>
      </c>
      <c r="I28" s="1" t="s">
        <v>25</v>
      </c>
      <c r="J28" s="1" t="s">
        <v>25</v>
      </c>
      <c r="K28" s="1" t="s">
        <v>25</v>
      </c>
      <c r="L28" s="1" t="s">
        <v>26</v>
      </c>
      <c r="M28" s="1" t="s">
        <v>25</v>
      </c>
      <c r="N28" s="1" t="s">
        <v>25</v>
      </c>
      <c r="O28" s="1" t="s">
        <v>26</v>
      </c>
      <c r="P28" s="1" t="s">
        <v>25</v>
      </c>
      <c r="Q28" s="1" t="s">
        <v>25</v>
      </c>
      <c r="R28" s="1" t="s">
        <v>25</v>
      </c>
      <c r="S28" s="2">
        <v>0</v>
      </c>
    </row>
    <row r="29" spans="1:19" x14ac:dyDescent="0.3">
      <c r="A29" t="s">
        <v>83</v>
      </c>
      <c r="B29" s="5" t="e" cm="1">
        <f t="array" ref="B29">MAX(#REF!,MIN(#REF!,#REF!+SUMPRODUCT(--(FoodData[[#This Row],[Healthy]:[Refined]]="Yes"),#REF!)+FoodData[[#This Row],[Adjust]]))</f>
        <v>#REF!</v>
      </c>
      <c r="C29" s="1" t="e">
        <f>LOOKUP(FoodData[[#This Row],[Score]],#REF!,#REF!)</f>
        <v>#REF!</v>
      </c>
      <c r="D29" t="s">
        <v>20</v>
      </c>
      <c r="E29" t="s">
        <v>28</v>
      </c>
      <c r="F29" t="s">
        <v>22</v>
      </c>
      <c r="G29" t="s">
        <v>23</v>
      </c>
      <c r="H29" t="s">
        <v>84</v>
      </c>
      <c r="I29" s="1" t="s">
        <v>26</v>
      </c>
      <c r="J29" s="1" t="s">
        <v>25</v>
      </c>
      <c r="K29" s="1" t="s">
        <v>26</v>
      </c>
      <c r="L29" s="1" t="s">
        <v>26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25</v>
      </c>
      <c r="R29" s="1" t="s">
        <v>25</v>
      </c>
      <c r="S29" s="2">
        <v>0</v>
      </c>
    </row>
    <row r="30" spans="1:19" x14ac:dyDescent="0.3">
      <c r="A30" t="s">
        <v>85</v>
      </c>
      <c r="B30" s="5" t="e" cm="1">
        <f t="array" ref="B30">MAX(#REF!,MIN(#REF!,#REF!+SUMPRODUCT(--(FoodData[[#This Row],[Healthy]:[Refined]]="Yes"),#REF!)+FoodData[[#This Row],[Adjust]]))</f>
        <v>#REF!</v>
      </c>
      <c r="C30" s="1" t="e">
        <f>LOOKUP(FoodData[[#This Row],[Score]],#REF!,#REF!)</f>
        <v>#REF!</v>
      </c>
      <c r="D30" t="s">
        <v>20</v>
      </c>
      <c r="E30" t="s">
        <v>28</v>
      </c>
      <c r="F30" t="s">
        <v>22</v>
      </c>
      <c r="G30" t="s">
        <v>23</v>
      </c>
      <c r="H30" t="s">
        <v>86</v>
      </c>
      <c r="I30" s="1" t="s">
        <v>26</v>
      </c>
      <c r="J30" s="1" t="s">
        <v>25</v>
      </c>
      <c r="K30" s="1" t="s">
        <v>25</v>
      </c>
      <c r="L30" s="1" t="s">
        <v>26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  <c r="S30" s="2">
        <v>0</v>
      </c>
    </row>
    <row r="31" spans="1:19" x14ac:dyDescent="0.3">
      <c r="A31" t="s">
        <v>87</v>
      </c>
      <c r="B31" s="5" t="e" cm="1">
        <f t="array" ref="B31">MAX(#REF!,MIN(#REF!,#REF!+SUMPRODUCT(--(FoodData[[#This Row],[Healthy]:[Refined]]="Yes"),#REF!)+FoodData[[#This Row],[Adjust]]))</f>
        <v>#REF!</v>
      </c>
      <c r="C31" s="1" t="e">
        <f>LOOKUP(FoodData[[#This Row],[Score]],#REF!,#REF!)</f>
        <v>#REF!</v>
      </c>
      <c r="D31" t="s">
        <v>20</v>
      </c>
      <c r="E31" t="s">
        <v>28</v>
      </c>
      <c r="F31" t="s">
        <v>22</v>
      </c>
      <c r="G31" t="s">
        <v>29</v>
      </c>
      <c r="H31" t="s">
        <v>88</v>
      </c>
      <c r="I31" s="1" t="s">
        <v>26</v>
      </c>
      <c r="J31" s="1" t="s">
        <v>25</v>
      </c>
      <c r="K31" s="1" t="s">
        <v>25</v>
      </c>
      <c r="L31" s="1" t="s">
        <v>26</v>
      </c>
      <c r="M31" s="1" t="s">
        <v>25</v>
      </c>
      <c r="N31" s="1" t="s">
        <v>25</v>
      </c>
      <c r="O31" s="1" t="s">
        <v>25</v>
      </c>
      <c r="P31" s="1" t="s">
        <v>25</v>
      </c>
      <c r="Q31" s="1" t="s">
        <v>25</v>
      </c>
      <c r="R31" s="1" t="s">
        <v>25</v>
      </c>
      <c r="S31" s="2">
        <v>0</v>
      </c>
    </row>
    <row r="32" spans="1:19" x14ac:dyDescent="0.3">
      <c r="A32" t="s">
        <v>89</v>
      </c>
      <c r="B32" s="5" t="e" cm="1">
        <f t="array" ref="B32">MAX(#REF!,MIN(#REF!,#REF!+SUMPRODUCT(--(FoodData[[#This Row],[Healthy]:[Refined]]="Yes"),#REF!)+FoodData[[#This Row],[Adjust]]))</f>
        <v>#REF!</v>
      </c>
      <c r="C32" s="1" t="e">
        <f>LOOKUP(FoodData[[#This Row],[Score]],#REF!,#REF!)</f>
        <v>#REF!</v>
      </c>
      <c r="D32" t="s">
        <v>20</v>
      </c>
      <c r="E32" t="s">
        <v>28</v>
      </c>
      <c r="F32" t="s">
        <v>22</v>
      </c>
      <c r="G32" t="s">
        <v>29</v>
      </c>
      <c r="H32" t="s">
        <v>90</v>
      </c>
      <c r="I32" s="1" t="s">
        <v>25</v>
      </c>
      <c r="J32" s="1" t="s">
        <v>25</v>
      </c>
      <c r="K32" s="1" t="s">
        <v>25</v>
      </c>
      <c r="L32" s="1" t="s">
        <v>26</v>
      </c>
      <c r="M32" s="1" t="s">
        <v>25</v>
      </c>
      <c r="N32" s="1" t="s">
        <v>25</v>
      </c>
      <c r="O32" s="1" t="s">
        <v>26</v>
      </c>
      <c r="P32" s="1" t="s">
        <v>25</v>
      </c>
      <c r="Q32" s="1" t="s">
        <v>25</v>
      </c>
      <c r="R32" s="1" t="s">
        <v>25</v>
      </c>
      <c r="S32" s="2">
        <v>0</v>
      </c>
    </row>
    <row r="33" spans="1:19" x14ac:dyDescent="0.3">
      <c r="A33" t="s">
        <v>91</v>
      </c>
      <c r="B33" s="5" t="e" cm="1">
        <f t="array" ref="B33">MAX(#REF!,MIN(#REF!,#REF!+SUMPRODUCT(--(FoodData[[#This Row],[Healthy]:[Refined]]="Yes"),#REF!)+FoodData[[#This Row],[Adjust]]))</f>
        <v>#REF!</v>
      </c>
      <c r="C33" s="1" t="e">
        <f>LOOKUP(FoodData[[#This Row],[Score]],#REF!,#REF!)</f>
        <v>#REF!</v>
      </c>
      <c r="D33" t="s">
        <v>20</v>
      </c>
      <c r="E33" t="s">
        <v>28</v>
      </c>
      <c r="F33" t="s">
        <v>22</v>
      </c>
      <c r="G33" t="s">
        <v>29</v>
      </c>
      <c r="H33" t="s">
        <v>92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26</v>
      </c>
      <c r="O33" s="1" t="s">
        <v>25</v>
      </c>
      <c r="P33" s="1" t="s">
        <v>26</v>
      </c>
      <c r="Q33" s="1" t="s">
        <v>25</v>
      </c>
      <c r="R33" s="1" t="s">
        <v>25</v>
      </c>
      <c r="S33" s="2">
        <v>0</v>
      </c>
    </row>
    <row r="34" spans="1:19" x14ac:dyDescent="0.3">
      <c r="A34" t="s">
        <v>93</v>
      </c>
      <c r="B34" s="5" t="e" cm="1">
        <f t="array" ref="B34">MAX(#REF!,MIN(#REF!,#REF!+SUMPRODUCT(--(FoodData[[#This Row],[Healthy]:[Refined]]="Yes"),#REF!)+FoodData[[#This Row],[Adjust]]))</f>
        <v>#REF!</v>
      </c>
      <c r="C34" s="1" t="e">
        <f>LOOKUP(FoodData[[#This Row],[Score]],#REF!,#REF!)</f>
        <v>#REF!</v>
      </c>
      <c r="D34" t="s">
        <v>20</v>
      </c>
      <c r="E34" t="s">
        <v>28</v>
      </c>
      <c r="F34" t="s">
        <v>22</v>
      </c>
      <c r="G34" t="s">
        <v>23</v>
      </c>
      <c r="H34" t="s">
        <v>94</v>
      </c>
      <c r="I34" s="1" t="s">
        <v>26</v>
      </c>
      <c r="J34" s="1" t="s">
        <v>26</v>
      </c>
      <c r="K34" s="1" t="s">
        <v>25</v>
      </c>
      <c r="L34" s="1" t="s">
        <v>26</v>
      </c>
      <c r="M34" s="1" t="s">
        <v>25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25</v>
      </c>
      <c r="S34" s="2">
        <v>0</v>
      </c>
    </row>
    <row r="35" spans="1:19" x14ac:dyDescent="0.3">
      <c r="A35" t="s">
        <v>95</v>
      </c>
      <c r="B35" s="5" t="e" cm="1">
        <f t="array" ref="B35">MAX(#REF!,MIN(#REF!,#REF!+SUMPRODUCT(--(FoodData[[#This Row],[Healthy]:[Refined]]="Yes"),#REF!)+FoodData[[#This Row],[Adjust]]))</f>
        <v>#REF!</v>
      </c>
      <c r="C35" s="1" t="e">
        <f>LOOKUP(FoodData[[#This Row],[Score]],#REF!,#REF!)</f>
        <v>#REF!</v>
      </c>
      <c r="D35" t="s">
        <v>20</v>
      </c>
      <c r="E35" t="s">
        <v>28</v>
      </c>
      <c r="F35" t="s">
        <v>22</v>
      </c>
      <c r="G35" t="s">
        <v>29</v>
      </c>
      <c r="H35" t="s">
        <v>96</v>
      </c>
      <c r="I35" s="1" t="s">
        <v>25</v>
      </c>
      <c r="J35" s="1" t="s">
        <v>25</v>
      </c>
      <c r="K35" s="1" t="s">
        <v>26</v>
      </c>
      <c r="L35" s="1" t="s">
        <v>26</v>
      </c>
      <c r="M35" s="1" t="s">
        <v>25</v>
      </c>
      <c r="N35" s="1" t="s">
        <v>25</v>
      </c>
      <c r="O35" s="1" t="s">
        <v>26</v>
      </c>
      <c r="P35" s="1" t="s">
        <v>25</v>
      </c>
      <c r="Q35" s="1" t="s">
        <v>25</v>
      </c>
      <c r="R35" s="1" t="s">
        <v>25</v>
      </c>
      <c r="S35" s="2">
        <v>0</v>
      </c>
    </row>
    <row r="36" spans="1:19" x14ac:dyDescent="0.3">
      <c r="A36" t="s">
        <v>97</v>
      </c>
      <c r="B36" s="5" t="e" cm="1">
        <f t="array" ref="B36">MAX(#REF!,MIN(#REF!,#REF!+SUMPRODUCT(--(FoodData[[#This Row],[Healthy]:[Refined]]="Yes"),#REF!)+FoodData[[#This Row],[Adjust]]))</f>
        <v>#REF!</v>
      </c>
      <c r="C36" s="1" t="e">
        <f>LOOKUP(FoodData[[#This Row],[Score]],#REF!,#REF!)</f>
        <v>#REF!</v>
      </c>
      <c r="D36" t="s">
        <v>20</v>
      </c>
      <c r="E36" t="s">
        <v>28</v>
      </c>
      <c r="F36" t="s">
        <v>22</v>
      </c>
      <c r="G36" t="s">
        <v>29</v>
      </c>
      <c r="H36" t="s">
        <v>98</v>
      </c>
      <c r="I36" s="1" t="s">
        <v>26</v>
      </c>
      <c r="J36" s="1" t="s">
        <v>25</v>
      </c>
      <c r="K36" s="1" t="s">
        <v>25</v>
      </c>
      <c r="L36" s="1" t="s">
        <v>26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25</v>
      </c>
      <c r="S36" s="2">
        <v>0</v>
      </c>
    </row>
    <row r="37" spans="1:19" x14ac:dyDescent="0.3">
      <c r="A37" t="s">
        <v>99</v>
      </c>
      <c r="B37" s="5" t="e" cm="1">
        <f t="array" ref="B37">MAX(#REF!,MIN(#REF!,#REF!+SUMPRODUCT(--(FoodData[[#This Row],[Healthy]:[Refined]]="Yes"),#REF!)+FoodData[[#This Row],[Adjust]]))</f>
        <v>#REF!</v>
      </c>
      <c r="C37" s="1" t="e">
        <f>LOOKUP(FoodData[[#This Row],[Score]],#REF!,#REF!)</f>
        <v>#REF!</v>
      </c>
      <c r="D37" t="s">
        <v>20</v>
      </c>
      <c r="E37" t="s">
        <v>28</v>
      </c>
      <c r="F37" t="s">
        <v>22</v>
      </c>
      <c r="G37" t="s">
        <v>29</v>
      </c>
      <c r="H37" t="s">
        <v>100</v>
      </c>
      <c r="I37" s="1" t="s">
        <v>26</v>
      </c>
      <c r="J37" s="1" t="s">
        <v>26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  <c r="S37" s="2">
        <v>0</v>
      </c>
    </row>
    <row r="38" spans="1:19" x14ac:dyDescent="0.3">
      <c r="A38" t="s">
        <v>101</v>
      </c>
      <c r="B38" s="5" t="e" cm="1">
        <f t="array" ref="B38">MAX(#REF!,MIN(#REF!,#REF!+SUMPRODUCT(--(FoodData[[#This Row],[Healthy]:[Refined]]="Yes"),#REF!)+FoodData[[#This Row],[Adjust]]))</f>
        <v>#REF!</v>
      </c>
      <c r="C38" s="1" t="e">
        <f>LOOKUP(FoodData[[#This Row],[Score]],#REF!,#REF!)</f>
        <v>#REF!</v>
      </c>
      <c r="D38" t="s">
        <v>20</v>
      </c>
      <c r="E38" t="s">
        <v>28</v>
      </c>
      <c r="F38" t="s">
        <v>22</v>
      </c>
      <c r="G38" t="s">
        <v>29</v>
      </c>
      <c r="H38" t="s">
        <v>102</v>
      </c>
      <c r="I38" s="1" t="s">
        <v>25</v>
      </c>
      <c r="J38" s="1" t="s">
        <v>25</v>
      </c>
      <c r="K38" s="1" t="s">
        <v>25</v>
      </c>
      <c r="L38" s="1" t="s">
        <v>26</v>
      </c>
      <c r="M38" s="1" t="s">
        <v>26</v>
      </c>
      <c r="N38" s="1" t="s">
        <v>25</v>
      </c>
      <c r="O38" s="1" t="s">
        <v>26</v>
      </c>
      <c r="P38" s="1" t="s">
        <v>25</v>
      </c>
      <c r="Q38" s="1" t="s">
        <v>26</v>
      </c>
      <c r="R38" s="1" t="s">
        <v>26</v>
      </c>
      <c r="S38" s="2">
        <v>0</v>
      </c>
    </row>
    <row r="39" spans="1:19" x14ac:dyDescent="0.3">
      <c r="A39" t="s">
        <v>103</v>
      </c>
      <c r="B39" s="5" t="e" cm="1">
        <f t="array" ref="B39">MAX(#REF!,MIN(#REF!,#REF!+SUMPRODUCT(--(FoodData[[#This Row],[Healthy]:[Refined]]="Yes"),#REF!)+FoodData[[#This Row],[Adjust]]))</f>
        <v>#REF!</v>
      </c>
      <c r="C39" s="1" t="e">
        <f>LOOKUP(FoodData[[#This Row],[Score]],#REF!,#REF!)</f>
        <v>#REF!</v>
      </c>
      <c r="D39" t="s">
        <v>20</v>
      </c>
      <c r="E39" t="s">
        <v>28</v>
      </c>
      <c r="F39" t="s">
        <v>22</v>
      </c>
      <c r="G39" t="s">
        <v>29</v>
      </c>
      <c r="H39" t="s">
        <v>104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26</v>
      </c>
      <c r="O39" s="1" t="s">
        <v>25</v>
      </c>
      <c r="P39" s="1" t="s">
        <v>25</v>
      </c>
      <c r="Q39" s="1" t="s">
        <v>25</v>
      </c>
      <c r="R39" s="1" t="s">
        <v>26</v>
      </c>
      <c r="S39" s="2">
        <v>0</v>
      </c>
    </row>
    <row r="40" spans="1:19" x14ac:dyDescent="0.3">
      <c r="A40" t="s">
        <v>105</v>
      </c>
      <c r="B40" s="5" t="e" cm="1">
        <f t="array" ref="B40">MAX(#REF!,MIN(#REF!,#REF!+SUMPRODUCT(--(FoodData[[#This Row],[Healthy]:[Refined]]="Yes"),#REF!)+FoodData[[#This Row],[Adjust]]))</f>
        <v>#REF!</v>
      </c>
      <c r="C40" s="1" t="e">
        <f>LOOKUP(FoodData[[#This Row],[Score]],#REF!,#REF!)</f>
        <v>#REF!</v>
      </c>
      <c r="D40" t="s">
        <v>20</v>
      </c>
      <c r="E40" t="s">
        <v>28</v>
      </c>
      <c r="F40" t="s">
        <v>22</v>
      </c>
      <c r="G40" t="s">
        <v>29</v>
      </c>
      <c r="H40" t="s">
        <v>106</v>
      </c>
      <c r="I40" s="1" t="s">
        <v>25</v>
      </c>
      <c r="J40" s="1" t="s">
        <v>25</v>
      </c>
      <c r="K40" s="1" t="s">
        <v>26</v>
      </c>
      <c r="L40" s="1" t="s">
        <v>25</v>
      </c>
      <c r="M40" s="1" t="s">
        <v>25</v>
      </c>
      <c r="N40" s="1" t="s">
        <v>25</v>
      </c>
      <c r="O40" s="1" t="s">
        <v>25</v>
      </c>
      <c r="P40" s="1" t="s">
        <v>26</v>
      </c>
      <c r="Q40" s="1" t="s">
        <v>25</v>
      </c>
      <c r="R40" s="1" t="s">
        <v>26</v>
      </c>
      <c r="S40" s="2">
        <v>0</v>
      </c>
    </row>
    <row r="41" spans="1:19" x14ac:dyDescent="0.3">
      <c r="A41" t="s">
        <v>107</v>
      </c>
      <c r="B41" s="5" t="e" cm="1">
        <f t="array" ref="B41">MAX(#REF!,MIN(#REF!,#REF!+SUMPRODUCT(--(FoodData[[#This Row],[Healthy]:[Refined]]="Yes"),#REF!)+FoodData[[#This Row],[Adjust]]))</f>
        <v>#REF!</v>
      </c>
      <c r="C41" s="1" t="e">
        <f>LOOKUP(FoodData[[#This Row],[Score]],#REF!,#REF!)</f>
        <v>#REF!</v>
      </c>
      <c r="D41" t="s">
        <v>20</v>
      </c>
      <c r="E41" t="s">
        <v>28</v>
      </c>
      <c r="F41" t="s">
        <v>22</v>
      </c>
      <c r="G41" t="s">
        <v>29</v>
      </c>
      <c r="H41" t="s">
        <v>108</v>
      </c>
      <c r="I41" s="1" t="s">
        <v>25</v>
      </c>
      <c r="J41" s="1" t="s">
        <v>25</v>
      </c>
      <c r="K41" s="1" t="s">
        <v>26</v>
      </c>
      <c r="L41" s="1" t="s">
        <v>25</v>
      </c>
      <c r="M41" s="1" t="s">
        <v>25</v>
      </c>
      <c r="N41" s="1" t="s">
        <v>26</v>
      </c>
      <c r="O41" s="1" t="s">
        <v>26</v>
      </c>
      <c r="P41" s="1" t="s">
        <v>25</v>
      </c>
      <c r="Q41" s="1" t="s">
        <v>25</v>
      </c>
      <c r="R41" s="1" t="s">
        <v>26</v>
      </c>
      <c r="S41" s="2">
        <v>0</v>
      </c>
    </row>
    <row r="42" spans="1:19" x14ac:dyDescent="0.3">
      <c r="A42" t="s">
        <v>109</v>
      </c>
      <c r="B42" s="5" t="e" cm="1">
        <f t="array" ref="B42">MAX(#REF!,MIN(#REF!,#REF!+SUMPRODUCT(--(FoodData[[#This Row],[Healthy]:[Refined]]="Yes"),#REF!)+FoodData[[#This Row],[Adjust]]))</f>
        <v>#REF!</v>
      </c>
      <c r="C42" s="1" t="e">
        <f>LOOKUP(FoodData[[#This Row],[Score]],#REF!,#REF!)</f>
        <v>#REF!</v>
      </c>
      <c r="D42" t="s">
        <v>20</v>
      </c>
      <c r="E42" t="s">
        <v>21</v>
      </c>
      <c r="F42" t="s">
        <v>22</v>
      </c>
      <c r="G42" t="s">
        <v>23</v>
      </c>
      <c r="H42" t="s">
        <v>110</v>
      </c>
      <c r="I42" s="1" t="s">
        <v>25</v>
      </c>
      <c r="J42" s="1" t="s">
        <v>25</v>
      </c>
      <c r="K42" s="1" t="s">
        <v>26</v>
      </c>
      <c r="L42" s="1" t="s">
        <v>26</v>
      </c>
      <c r="M42" s="1" t="s">
        <v>25</v>
      </c>
      <c r="N42" s="1" t="s">
        <v>25</v>
      </c>
      <c r="O42" s="1" t="s">
        <v>26</v>
      </c>
      <c r="P42" s="1" t="s">
        <v>25</v>
      </c>
      <c r="Q42" s="1" t="s">
        <v>25</v>
      </c>
      <c r="R42" s="1" t="s">
        <v>25</v>
      </c>
      <c r="S42" s="2">
        <v>0</v>
      </c>
    </row>
    <row r="43" spans="1:19" x14ac:dyDescent="0.3">
      <c r="A43" t="s">
        <v>111</v>
      </c>
      <c r="B43" s="5" t="e" cm="1">
        <f t="array" ref="B43">MAX(#REF!,MIN(#REF!,#REF!+SUMPRODUCT(--(FoodData[[#This Row],[Healthy]:[Refined]]="Yes"),#REF!)+FoodData[[#This Row],[Adjust]]))</f>
        <v>#REF!</v>
      </c>
      <c r="C43" s="1" t="e">
        <f>LOOKUP(FoodData[[#This Row],[Score]],#REF!,#REF!)</f>
        <v>#REF!</v>
      </c>
      <c r="D43" t="s">
        <v>20</v>
      </c>
      <c r="E43" t="s">
        <v>28</v>
      </c>
      <c r="F43" t="s">
        <v>22</v>
      </c>
      <c r="G43" t="s">
        <v>23</v>
      </c>
      <c r="H43" t="s">
        <v>112</v>
      </c>
      <c r="I43" s="1" t="s">
        <v>25</v>
      </c>
      <c r="J43" s="1" t="s">
        <v>25</v>
      </c>
      <c r="K43" s="1" t="s">
        <v>25</v>
      </c>
      <c r="L43" s="1" t="s">
        <v>26</v>
      </c>
      <c r="M43" s="1" t="s">
        <v>25</v>
      </c>
      <c r="N43" s="1" t="s">
        <v>25</v>
      </c>
      <c r="O43" s="1" t="s">
        <v>26</v>
      </c>
      <c r="P43" s="1" t="s">
        <v>25</v>
      </c>
      <c r="Q43" s="1" t="s">
        <v>25</v>
      </c>
      <c r="R43" s="1" t="s">
        <v>25</v>
      </c>
      <c r="S43" s="2">
        <v>0</v>
      </c>
    </row>
    <row r="44" spans="1:19" x14ac:dyDescent="0.3">
      <c r="A44" t="s">
        <v>113</v>
      </c>
      <c r="B44" s="5" t="e" cm="1">
        <f t="array" ref="B44">MAX(#REF!,MIN(#REF!,#REF!+SUMPRODUCT(--(FoodData[[#This Row],[Healthy]:[Refined]]="Yes"),#REF!)+FoodData[[#This Row],[Adjust]]))</f>
        <v>#REF!</v>
      </c>
      <c r="C44" s="1" t="e">
        <f>LOOKUP(FoodData[[#This Row],[Score]],#REF!,#REF!)</f>
        <v>#REF!</v>
      </c>
      <c r="D44" t="s">
        <v>20</v>
      </c>
      <c r="E44" t="s">
        <v>28</v>
      </c>
      <c r="F44" t="s">
        <v>22</v>
      </c>
      <c r="G44" t="s">
        <v>29</v>
      </c>
      <c r="H44" t="s">
        <v>114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  <c r="S44" s="2">
        <v>0</v>
      </c>
    </row>
    <row r="45" spans="1:19" x14ac:dyDescent="0.3">
      <c r="A45" t="s">
        <v>115</v>
      </c>
      <c r="B45" s="5" t="e" cm="1">
        <f t="array" ref="B45">MAX(#REF!,MIN(#REF!,#REF!+SUMPRODUCT(--(FoodData[[#This Row],[Healthy]:[Refined]]="Yes"),#REF!)+FoodData[[#This Row],[Adjust]]))</f>
        <v>#REF!</v>
      </c>
      <c r="C45" s="1" t="e">
        <f>LOOKUP(FoodData[[#This Row],[Score]],#REF!,#REF!)</f>
        <v>#REF!</v>
      </c>
      <c r="D45" t="s">
        <v>20</v>
      </c>
      <c r="E45" t="s">
        <v>28</v>
      </c>
      <c r="F45" t="s">
        <v>22</v>
      </c>
      <c r="G45" t="s">
        <v>29</v>
      </c>
      <c r="H45" t="s">
        <v>116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26</v>
      </c>
      <c r="S45" s="2">
        <v>0</v>
      </c>
    </row>
    <row r="46" spans="1:19" x14ac:dyDescent="0.3">
      <c r="A46" t="s">
        <v>117</v>
      </c>
      <c r="B46" s="5" t="e" cm="1">
        <f t="array" ref="B46">MAX(#REF!,MIN(#REF!,#REF!+SUMPRODUCT(--(FoodData[[#This Row],[Healthy]:[Refined]]="Yes"),#REF!)+FoodData[[#This Row],[Adjust]]))</f>
        <v>#REF!</v>
      </c>
      <c r="C46" s="1" t="e">
        <f>LOOKUP(FoodData[[#This Row],[Score]],#REF!,#REF!)</f>
        <v>#REF!</v>
      </c>
      <c r="D46" t="s">
        <v>20</v>
      </c>
      <c r="E46" t="s">
        <v>28</v>
      </c>
      <c r="F46" t="s">
        <v>22</v>
      </c>
      <c r="G46" t="s">
        <v>29</v>
      </c>
      <c r="H46" t="s">
        <v>118</v>
      </c>
      <c r="I46" s="1" t="s">
        <v>26</v>
      </c>
      <c r="J46" s="1" t="s">
        <v>26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  <c r="S46" s="2">
        <v>0</v>
      </c>
    </row>
    <row r="47" spans="1:19" x14ac:dyDescent="0.3">
      <c r="A47" t="s">
        <v>119</v>
      </c>
      <c r="B47" s="5" t="e" cm="1">
        <f t="array" ref="B47">MAX(#REF!,MIN(#REF!,#REF!+SUMPRODUCT(--(FoodData[[#This Row],[Healthy]:[Refined]]="Yes"),#REF!)+FoodData[[#This Row],[Adjust]]))</f>
        <v>#REF!</v>
      </c>
      <c r="C47" s="1" t="e">
        <f>LOOKUP(FoodData[[#This Row],[Score]],#REF!,#REF!)</f>
        <v>#REF!</v>
      </c>
      <c r="D47" t="s">
        <v>20</v>
      </c>
      <c r="E47" t="s">
        <v>28</v>
      </c>
      <c r="F47" t="s">
        <v>22</v>
      </c>
      <c r="G47" t="s">
        <v>29</v>
      </c>
      <c r="H47" t="s">
        <v>120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26</v>
      </c>
      <c r="S47" s="2">
        <v>0</v>
      </c>
    </row>
    <row r="48" spans="1:19" x14ac:dyDescent="0.3">
      <c r="A48" t="s">
        <v>121</v>
      </c>
      <c r="B48" s="5" t="e" cm="1">
        <f t="array" ref="B48">MAX(#REF!,MIN(#REF!,#REF!+SUMPRODUCT(--(FoodData[[#This Row],[Healthy]:[Refined]]="Yes"),#REF!)+FoodData[[#This Row],[Adjust]]))</f>
        <v>#REF!</v>
      </c>
      <c r="C48" s="1" t="e">
        <f>LOOKUP(FoodData[[#This Row],[Score]],#REF!,#REF!)</f>
        <v>#REF!</v>
      </c>
      <c r="D48" t="s">
        <v>20</v>
      </c>
      <c r="E48" t="s">
        <v>28</v>
      </c>
      <c r="F48" t="s">
        <v>22</v>
      </c>
      <c r="G48" t="s">
        <v>29</v>
      </c>
      <c r="H48" t="s">
        <v>122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26</v>
      </c>
      <c r="S48" s="2">
        <v>0</v>
      </c>
    </row>
    <row r="49" spans="1:19" x14ac:dyDescent="0.3">
      <c r="A49" t="s">
        <v>123</v>
      </c>
      <c r="B49" s="5" t="e" cm="1">
        <f t="array" ref="B49">MAX(#REF!,MIN(#REF!,#REF!+SUMPRODUCT(--(FoodData[[#This Row],[Healthy]:[Refined]]="Yes"),#REF!)+FoodData[[#This Row],[Adjust]]))</f>
        <v>#REF!</v>
      </c>
      <c r="C49" s="1" t="e">
        <f>LOOKUP(FoodData[[#This Row],[Score]],#REF!,#REF!)</f>
        <v>#REF!</v>
      </c>
      <c r="D49" t="s">
        <v>20</v>
      </c>
      <c r="E49" t="s">
        <v>28</v>
      </c>
      <c r="F49" t="s">
        <v>22</v>
      </c>
      <c r="G49" t="s">
        <v>29</v>
      </c>
      <c r="H49" t="s">
        <v>124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26</v>
      </c>
      <c r="O49" s="1" t="s">
        <v>25</v>
      </c>
      <c r="P49" s="1" t="s">
        <v>26</v>
      </c>
      <c r="Q49" s="1" t="s">
        <v>25</v>
      </c>
      <c r="R49" s="1" t="s">
        <v>25</v>
      </c>
      <c r="S49" s="2">
        <v>0</v>
      </c>
    </row>
    <row r="50" spans="1:19" x14ac:dyDescent="0.3">
      <c r="A50" t="s">
        <v>125</v>
      </c>
      <c r="B50" s="5" t="e" cm="1">
        <f t="array" ref="B50">MAX(#REF!,MIN(#REF!,#REF!+SUMPRODUCT(--(FoodData[[#This Row],[Healthy]:[Refined]]="Yes"),#REF!)+FoodData[[#This Row],[Adjust]]))</f>
        <v>#REF!</v>
      </c>
      <c r="C50" s="1" t="e">
        <f>LOOKUP(FoodData[[#This Row],[Score]],#REF!,#REF!)</f>
        <v>#REF!</v>
      </c>
      <c r="D50" t="s">
        <v>20</v>
      </c>
      <c r="E50" t="s">
        <v>28</v>
      </c>
      <c r="F50" t="s">
        <v>22</v>
      </c>
      <c r="G50" t="s">
        <v>29</v>
      </c>
      <c r="H50" t="s">
        <v>126</v>
      </c>
      <c r="I50" s="1" t="s">
        <v>25</v>
      </c>
      <c r="J50" s="1" t="s">
        <v>25</v>
      </c>
      <c r="K50" s="1" t="s">
        <v>25</v>
      </c>
      <c r="L50" s="1" t="s">
        <v>26</v>
      </c>
      <c r="M50" s="1" t="s">
        <v>25</v>
      </c>
      <c r="N50" s="1" t="s">
        <v>26</v>
      </c>
      <c r="O50" s="1" t="s">
        <v>25</v>
      </c>
      <c r="P50" s="1" t="s">
        <v>26</v>
      </c>
      <c r="Q50" s="1" t="s">
        <v>26</v>
      </c>
      <c r="R50" s="1" t="s">
        <v>25</v>
      </c>
      <c r="S50" s="2">
        <v>0</v>
      </c>
    </row>
    <row r="51" spans="1:19" x14ac:dyDescent="0.3">
      <c r="A51" t="s">
        <v>127</v>
      </c>
      <c r="B51" s="5" t="e" cm="1">
        <f t="array" ref="B51">MAX(#REF!,MIN(#REF!,#REF!+SUMPRODUCT(--(FoodData[[#This Row],[Healthy]:[Refined]]="Yes"),#REF!)+FoodData[[#This Row],[Adjust]]))</f>
        <v>#REF!</v>
      </c>
      <c r="C51" s="1" t="e">
        <f>LOOKUP(FoodData[[#This Row],[Score]],#REF!,#REF!)</f>
        <v>#REF!</v>
      </c>
      <c r="D51" t="s">
        <v>20</v>
      </c>
      <c r="E51" t="s">
        <v>28</v>
      </c>
      <c r="F51" t="s">
        <v>22</v>
      </c>
      <c r="G51" t="s">
        <v>29</v>
      </c>
      <c r="H51" t="s">
        <v>128</v>
      </c>
      <c r="I51" s="1" t="s">
        <v>26</v>
      </c>
      <c r="J51" s="1" t="s">
        <v>26</v>
      </c>
      <c r="K51" s="1" t="s">
        <v>25</v>
      </c>
      <c r="L51" s="1" t="s">
        <v>26</v>
      </c>
      <c r="M51" s="1" t="s">
        <v>25</v>
      </c>
      <c r="N51" s="1" t="s">
        <v>25</v>
      </c>
      <c r="O51" s="1" t="s">
        <v>25</v>
      </c>
      <c r="P51" s="1" t="s">
        <v>25</v>
      </c>
      <c r="Q51" s="1" t="s">
        <v>25</v>
      </c>
      <c r="R51" s="1" t="s">
        <v>25</v>
      </c>
      <c r="S51" s="2">
        <v>0</v>
      </c>
    </row>
    <row r="52" spans="1:19" x14ac:dyDescent="0.3">
      <c r="A52" t="s">
        <v>129</v>
      </c>
      <c r="B52" s="5" t="e" cm="1">
        <f t="array" ref="B52">MAX(#REF!,MIN(#REF!,#REF!+SUMPRODUCT(--(FoodData[[#This Row],[Healthy]:[Refined]]="Yes"),#REF!)+FoodData[[#This Row],[Adjust]]))</f>
        <v>#REF!</v>
      </c>
      <c r="C52" s="1" t="e">
        <f>LOOKUP(FoodData[[#This Row],[Score]],#REF!,#REF!)</f>
        <v>#REF!</v>
      </c>
      <c r="D52" t="s">
        <v>20</v>
      </c>
      <c r="E52" t="s">
        <v>28</v>
      </c>
      <c r="F52" t="s">
        <v>22</v>
      </c>
      <c r="G52" t="s">
        <v>29</v>
      </c>
      <c r="H52" t="s">
        <v>130</v>
      </c>
      <c r="I52" s="1" t="s">
        <v>26</v>
      </c>
      <c r="J52" s="1" t="s">
        <v>26</v>
      </c>
      <c r="K52" s="1" t="s">
        <v>26</v>
      </c>
      <c r="L52" s="1" t="s">
        <v>26</v>
      </c>
      <c r="M52" s="1" t="s">
        <v>25</v>
      </c>
      <c r="N52" s="1" t="s">
        <v>25</v>
      </c>
      <c r="O52" s="1" t="s">
        <v>25</v>
      </c>
      <c r="P52" s="1" t="s">
        <v>25</v>
      </c>
      <c r="Q52" s="1" t="s">
        <v>25</v>
      </c>
      <c r="R52" s="1" t="s">
        <v>25</v>
      </c>
      <c r="S52" s="2">
        <v>0</v>
      </c>
    </row>
    <row r="53" spans="1:19" x14ac:dyDescent="0.3">
      <c r="A53" t="s">
        <v>131</v>
      </c>
      <c r="B53" s="5" t="e" cm="1">
        <f t="array" ref="B53">MAX(#REF!,MIN(#REF!,#REF!+SUMPRODUCT(--(FoodData[[#This Row],[Healthy]:[Refined]]="Yes"),#REF!)+FoodData[[#This Row],[Adjust]]))</f>
        <v>#REF!</v>
      </c>
      <c r="C53" s="1" t="e">
        <f>LOOKUP(FoodData[[#This Row],[Score]],#REF!,#REF!)</f>
        <v>#REF!</v>
      </c>
      <c r="D53" t="s">
        <v>20</v>
      </c>
      <c r="E53" t="s">
        <v>28</v>
      </c>
      <c r="F53" t="s">
        <v>22</v>
      </c>
      <c r="G53" t="s">
        <v>29</v>
      </c>
      <c r="H53" t="s">
        <v>132</v>
      </c>
      <c r="I53" s="1" t="s">
        <v>25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s">
        <v>25</v>
      </c>
      <c r="P53" s="1" t="s">
        <v>25</v>
      </c>
      <c r="Q53" s="1" t="s">
        <v>25</v>
      </c>
      <c r="R53" s="1" t="s">
        <v>25</v>
      </c>
      <c r="S53" s="2">
        <v>0</v>
      </c>
    </row>
    <row r="54" spans="1:19" x14ac:dyDescent="0.3">
      <c r="A54" t="s">
        <v>133</v>
      </c>
      <c r="B54" s="5" t="e" cm="1">
        <f t="array" ref="B54">MAX(#REF!,MIN(#REF!,#REF!+SUMPRODUCT(--(FoodData[[#This Row],[Healthy]:[Refined]]="Yes"),#REF!)+FoodData[[#This Row],[Adjust]]))</f>
        <v>#REF!</v>
      </c>
      <c r="C54" s="1" t="e">
        <f>LOOKUP(FoodData[[#This Row],[Score]],#REF!,#REF!)</f>
        <v>#REF!</v>
      </c>
      <c r="D54" t="s">
        <v>20</v>
      </c>
      <c r="E54" t="s">
        <v>28</v>
      </c>
      <c r="F54" t="s">
        <v>22</v>
      </c>
      <c r="G54" t="s">
        <v>29</v>
      </c>
      <c r="H54" t="s">
        <v>134</v>
      </c>
      <c r="I54" s="1" t="s">
        <v>25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25</v>
      </c>
      <c r="O54" s="1" t="s">
        <v>26</v>
      </c>
      <c r="P54" s="1" t="s">
        <v>25</v>
      </c>
      <c r="Q54" s="1" t="s">
        <v>25</v>
      </c>
      <c r="R54" s="1" t="s">
        <v>26</v>
      </c>
      <c r="S54" s="2">
        <v>0</v>
      </c>
    </row>
    <row r="55" spans="1:19" x14ac:dyDescent="0.3">
      <c r="A55" t="s">
        <v>135</v>
      </c>
      <c r="B55" s="5" t="e" cm="1">
        <f t="array" ref="B55">MAX(#REF!,MIN(#REF!,#REF!+SUMPRODUCT(--(FoodData[[#This Row],[Healthy]:[Refined]]="Yes"),#REF!)+FoodData[[#This Row],[Adjust]]))</f>
        <v>#REF!</v>
      </c>
      <c r="C55" s="1" t="e">
        <f>LOOKUP(FoodData[[#This Row],[Score]],#REF!,#REF!)</f>
        <v>#REF!</v>
      </c>
      <c r="D55" t="s">
        <v>20</v>
      </c>
      <c r="E55" t="s">
        <v>28</v>
      </c>
      <c r="F55" t="s">
        <v>22</v>
      </c>
      <c r="G55" t="s">
        <v>29</v>
      </c>
      <c r="H55" t="s">
        <v>136</v>
      </c>
      <c r="I55" s="1" t="s">
        <v>26</v>
      </c>
      <c r="J55" s="1" t="s">
        <v>25</v>
      </c>
      <c r="K55" s="1" t="s">
        <v>25</v>
      </c>
      <c r="L55" s="1" t="s">
        <v>26</v>
      </c>
      <c r="M55" s="1" t="s">
        <v>25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25</v>
      </c>
      <c r="S55" s="2">
        <v>0</v>
      </c>
    </row>
    <row r="56" spans="1:19" x14ac:dyDescent="0.3">
      <c r="A56" t="s">
        <v>137</v>
      </c>
      <c r="B56" s="5" t="e" cm="1">
        <f t="array" ref="B56">MAX(#REF!,MIN(#REF!,#REF!+SUMPRODUCT(--(FoodData[[#This Row],[Healthy]:[Refined]]="Yes"),#REF!)+FoodData[[#This Row],[Adjust]]))</f>
        <v>#REF!</v>
      </c>
      <c r="C56" s="1" t="e">
        <f>LOOKUP(FoodData[[#This Row],[Score]],#REF!,#REF!)</f>
        <v>#REF!</v>
      </c>
      <c r="D56" t="s">
        <v>20</v>
      </c>
      <c r="E56" t="s">
        <v>28</v>
      </c>
      <c r="F56" t="s">
        <v>22</v>
      </c>
      <c r="G56" t="s">
        <v>29</v>
      </c>
      <c r="H56" t="s">
        <v>138</v>
      </c>
      <c r="I56" s="1" t="s">
        <v>25</v>
      </c>
      <c r="J56" s="1" t="s">
        <v>25</v>
      </c>
      <c r="K56" s="1" t="s">
        <v>25</v>
      </c>
      <c r="L56" s="1" t="s">
        <v>26</v>
      </c>
      <c r="M56" s="1" t="s">
        <v>25</v>
      </c>
      <c r="N56" s="1" t="s">
        <v>25</v>
      </c>
      <c r="O56" s="1" t="s">
        <v>26</v>
      </c>
      <c r="P56" s="1" t="s">
        <v>25</v>
      </c>
      <c r="Q56" s="1" t="s">
        <v>25</v>
      </c>
      <c r="R56" s="1" t="s">
        <v>25</v>
      </c>
      <c r="S56" s="2">
        <v>0</v>
      </c>
    </row>
    <row r="57" spans="1:19" x14ac:dyDescent="0.3">
      <c r="A57" t="s">
        <v>139</v>
      </c>
      <c r="B57" s="5" t="e" cm="1">
        <f t="array" ref="B57">MAX(#REF!,MIN(#REF!,#REF!+SUMPRODUCT(--(FoodData[[#This Row],[Healthy]:[Refined]]="Yes"),#REF!)+FoodData[[#This Row],[Adjust]]))</f>
        <v>#REF!</v>
      </c>
      <c r="C57" s="1" t="e">
        <f>LOOKUP(FoodData[[#This Row],[Score]],#REF!,#REF!)</f>
        <v>#REF!</v>
      </c>
      <c r="D57" t="s">
        <v>20</v>
      </c>
      <c r="E57" t="s">
        <v>28</v>
      </c>
      <c r="F57" t="s">
        <v>22</v>
      </c>
      <c r="G57" t="s">
        <v>29</v>
      </c>
      <c r="H57" t="s">
        <v>140</v>
      </c>
      <c r="I57" s="1" t="s">
        <v>25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25</v>
      </c>
      <c r="Q57" s="1" t="s">
        <v>25</v>
      </c>
      <c r="R57" s="1" t="s">
        <v>26</v>
      </c>
      <c r="S57" s="2">
        <v>0</v>
      </c>
    </row>
    <row r="58" spans="1:19" x14ac:dyDescent="0.3">
      <c r="A58" t="s">
        <v>141</v>
      </c>
      <c r="B58" s="5" t="e" cm="1">
        <f t="array" ref="B58">MAX(#REF!,MIN(#REF!,#REF!+SUMPRODUCT(--(FoodData[[#This Row],[Healthy]:[Refined]]="Yes"),#REF!)+FoodData[[#This Row],[Adjust]]))</f>
        <v>#REF!</v>
      </c>
      <c r="C58" s="1" t="e">
        <f>LOOKUP(FoodData[[#This Row],[Score]],#REF!,#REF!)</f>
        <v>#REF!</v>
      </c>
      <c r="D58" t="s">
        <v>20</v>
      </c>
      <c r="E58" t="s">
        <v>28</v>
      </c>
      <c r="F58" t="s">
        <v>22</v>
      </c>
      <c r="G58" t="s">
        <v>29</v>
      </c>
      <c r="H58" t="s">
        <v>142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26</v>
      </c>
      <c r="N58" s="1" t="s">
        <v>25</v>
      </c>
      <c r="O58" s="1" t="s">
        <v>26</v>
      </c>
      <c r="P58" s="1" t="s">
        <v>25</v>
      </c>
      <c r="Q58" s="1" t="s">
        <v>25</v>
      </c>
      <c r="R58" s="1" t="s">
        <v>26</v>
      </c>
      <c r="S58" s="2">
        <v>0</v>
      </c>
    </row>
    <row r="59" spans="1:19" x14ac:dyDescent="0.3">
      <c r="A59" t="s">
        <v>143</v>
      </c>
      <c r="B59" s="5" t="e" cm="1">
        <f t="array" ref="B59">MAX(#REF!,MIN(#REF!,#REF!+SUMPRODUCT(--(FoodData[[#This Row],[Healthy]:[Refined]]="Yes"),#REF!)+FoodData[[#This Row],[Adjust]]))</f>
        <v>#REF!</v>
      </c>
      <c r="C59" s="1" t="e">
        <f>LOOKUP(FoodData[[#This Row],[Score]],#REF!,#REF!)</f>
        <v>#REF!</v>
      </c>
      <c r="D59" t="s">
        <v>20</v>
      </c>
      <c r="E59" t="s">
        <v>28</v>
      </c>
      <c r="F59" t="s">
        <v>22</v>
      </c>
      <c r="G59" t="s">
        <v>29</v>
      </c>
      <c r="H59" t="s">
        <v>144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26</v>
      </c>
      <c r="P59" s="1" t="s">
        <v>25</v>
      </c>
      <c r="Q59" s="1" t="s">
        <v>25</v>
      </c>
      <c r="R59" s="1" t="s">
        <v>26</v>
      </c>
      <c r="S59" s="2">
        <v>0</v>
      </c>
    </row>
    <row r="60" spans="1:19" x14ac:dyDescent="0.3">
      <c r="A60" t="s">
        <v>145</v>
      </c>
      <c r="B60" s="5" t="e" cm="1">
        <f t="array" ref="B60">MAX(#REF!,MIN(#REF!,#REF!+SUMPRODUCT(--(FoodData[[#This Row],[Healthy]:[Refined]]="Yes"),#REF!)+FoodData[[#This Row],[Adjust]]))</f>
        <v>#REF!</v>
      </c>
      <c r="C60" s="1" t="e">
        <f>LOOKUP(FoodData[[#This Row],[Score]],#REF!,#REF!)</f>
        <v>#REF!</v>
      </c>
      <c r="D60" t="s">
        <v>20</v>
      </c>
      <c r="E60" t="s">
        <v>28</v>
      </c>
      <c r="F60" t="s">
        <v>22</v>
      </c>
      <c r="G60" t="s">
        <v>29</v>
      </c>
      <c r="H60" t="s">
        <v>146</v>
      </c>
      <c r="I60" s="1" t="s">
        <v>25</v>
      </c>
      <c r="J60" s="1" t="s">
        <v>25</v>
      </c>
      <c r="K60" s="1" t="s">
        <v>25</v>
      </c>
      <c r="L60" s="1" t="s">
        <v>26</v>
      </c>
      <c r="M60" s="1" t="s">
        <v>25</v>
      </c>
      <c r="N60" s="1" t="s">
        <v>25</v>
      </c>
      <c r="O60" s="1" t="s">
        <v>25</v>
      </c>
      <c r="P60" s="1" t="s">
        <v>25</v>
      </c>
      <c r="Q60" s="1" t="s">
        <v>25</v>
      </c>
      <c r="R60" s="1" t="s">
        <v>25</v>
      </c>
      <c r="S60" s="2">
        <v>0</v>
      </c>
    </row>
    <row r="61" spans="1:19" x14ac:dyDescent="0.3">
      <c r="A61" t="s">
        <v>147</v>
      </c>
      <c r="B61" s="5" t="e" cm="1">
        <f t="array" ref="B61">MAX(#REF!,MIN(#REF!,#REF!+SUMPRODUCT(--(FoodData[[#This Row],[Healthy]:[Refined]]="Yes"),#REF!)+FoodData[[#This Row],[Adjust]]))</f>
        <v>#REF!</v>
      </c>
      <c r="C61" s="1" t="e">
        <f>LOOKUP(FoodData[[#This Row],[Score]],#REF!,#REF!)</f>
        <v>#REF!</v>
      </c>
      <c r="D61" t="s">
        <v>20</v>
      </c>
      <c r="E61" t="s">
        <v>28</v>
      </c>
      <c r="F61" t="s">
        <v>22</v>
      </c>
      <c r="G61" t="s">
        <v>29</v>
      </c>
      <c r="H61" t="s">
        <v>136</v>
      </c>
      <c r="I61" s="1" t="s">
        <v>26</v>
      </c>
      <c r="J61" s="1" t="s">
        <v>25</v>
      </c>
      <c r="K61" s="1" t="s">
        <v>25</v>
      </c>
      <c r="L61" s="1" t="s">
        <v>26</v>
      </c>
      <c r="M61" s="1" t="s">
        <v>25</v>
      </c>
      <c r="N61" s="1" t="s">
        <v>25</v>
      </c>
      <c r="O61" s="1" t="s">
        <v>25</v>
      </c>
      <c r="P61" s="1" t="s">
        <v>25</v>
      </c>
      <c r="Q61" s="1" t="s">
        <v>25</v>
      </c>
      <c r="R61" s="1" t="s">
        <v>25</v>
      </c>
      <c r="S61" s="2">
        <v>0</v>
      </c>
    </row>
    <row r="62" spans="1:19" x14ac:dyDescent="0.3">
      <c r="A62" t="s">
        <v>148</v>
      </c>
      <c r="B62" s="5" t="e" cm="1">
        <f t="array" ref="B62">MAX(#REF!,MIN(#REF!,#REF!+SUMPRODUCT(--(FoodData[[#This Row],[Healthy]:[Refined]]="Yes"),#REF!)+FoodData[[#This Row],[Adjust]]))</f>
        <v>#REF!</v>
      </c>
      <c r="C62" s="1" t="e">
        <f>LOOKUP(FoodData[[#This Row],[Score]],#REF!,#REF!)</f>
        <v>#REF!</v>
      </c>
      <c r="D62" t="s">
        <v>20</v>
      </c>
      <c r="E62" t="s">
        <v>63</v>
      </c>
      <c r="F62" t="s">
        <v>22</v>
      </c>
      <c r="G62" t="s">
        <v>23</v>
      </c>
      <c r="H62" t="s">
        <v>149</v>
      </c>
      <c r="I62" s="1" t="s">
        <v>26</v>
      </c>
      <c r="J62" s="1" t="s">
        <v>26</v>
      </c>
      <c r="K62" s="1" t="s">
        <v>25</v>
      </c>
      <c r="L62" s="1" t="s">
        <v>26</v>
      </c>
      <c r="M62" s="1" t="s">
        <v>25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  <c r="S62" s="2">
        <v>0</v>
      </c>
    </row>
    <row r="63" spans="1:19" x14ac:dyDescent="0.3">
      <c r="A63" t="s">
        <v>150</v>
      </c>
      <c r="B63" s="5" t="e" cm="1">
        <f t="array" ref="B63">MAX(#REF!,MIN(#REF!,#REF!+SUMPRODUCT(--(FoodData[[#This Row],[Healthy]:[Refined]]="Yes"),#REF!)+FoodData[[#This Row],[Adjust]]))</f>
        <v>#REF!</v>
      </c>
      <c r="C63" s="1" t="e">
        <f>LOOKUP(FoodData[[#This Row],[Score]],#REF!,#REF!)</f>
        <v>#REF!</v>
      </c>
      <c r="D63" t="s">
        <v>20</v>
      </c>
      <c r="E63" t="s">
        <v>28</v>
      </c>
      <c r="F63" t="s">
        <v>22</v>
      </c>
      <c r="G63" t="s">
        <v>29</v>
      </c>
      <c r="H63" t="s">
        <v>151</v>
      </c>
      <c r="I63" s="1" t="s">
        <v>25</v>
      </c>
      <c r="J63" s="1" t="s">
        <v>25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25</v>
      </c>
      <c r="P63" s="1" t="s">
        <v>25</v>
      </c>
      <c r="Q63" s="1" t="s">
        <v>25</v>
      </c>
      <c r="R63" s="1" t="s">
        <v>26</v>
      </c>
      <c r="S63" s="2">
        <v>0</v>
      </c>
    </row>
    <row r="64" spans="1:19" x14ac:dyDescent="0.3">
      <c r="A64" t="s">
        <v>152</v>
      </c>
      <c r="B64" s="5" t="e" cm="1">
        <f t="array" ref="B64">MAX(#REF!,MIN(#REF!,#REF!+SUMPRODUCT(--(FoodData[[#This Row],[Healthy]:[Refined]]="Yes"),#REF!)+FoodData[[#This Row],[Adjust]]))</f>
        <v>#REF!</v>
      </c>
      <c r="C64" s="1" t="e">
        <f>LOOKUP(FoodData[[#This Row],[Score]],#REF!,#REF!)</f>
        <v>#REF!</v>
      </c>
      <c r="D64" t="s">
        <v>20</v>
      </c>
      <c r="E64" t="s">
        <v>28</v>
      </c>
      <c r="F64" t="s">
        <v>22</v>
      </c>
      <c r="G64" t="s">
        <v>23</v>
      </c>
      <c r="H64" t="s">
        <v>153</v>
      </c>
      <c r="I64" s="1" t="s">
        <v>26</v>
      </c>
      <c r="J64" s="1" t="s">
        <v>26</v>
      </c>
      <c r="K64" s="1" t="s">
        <v>25</v>
      </c>
      <c r="L64" s="1" t="s">
        <v>26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  <c r="S64" s="2">
        <v>0</v>
      </c>
    </row>
    <row r="65" spans="1:19" x14ac:dyDescent="0.3">
      <c r="A65" t="s">
        <v>154</v>
      </c>
      <c r="B65" s="5" t="e" cm="1">
        <f t="array" ref="B65">MAX(#REF!,MIN(#REF!,#REF!+SUMPRODUCT(--(FoodData[[#This Row],[Healthy]:[Refined]]="Yes"),#REF!)+FoodData[[#This Row],[Adjust]]))</f>
        <v>#REF!</v>
      </c>
      <c r="C65" s="1" t="e">
        <f>LOOKUP(FoodData[[#This Row],[Score]],#REF!,#REF!)</f>
        <v>#REF!</v>
      </c>
      <c r="D65" t="s">
        <v>20</v>
      </c>
      <c r="E65" t="s">
        <v>28</v>
      </c>
      <c r="F65" t="s">
        <v>22</v>
      </c>
      <c r="G65" t="s">
        <v>29</v>
      </c>
      <c r="H65" t="s">
        <v>155</v>
      </c>
      <c r="I65" s="1" t="s">
        <v>25</v>
      </c>
      <c r="J65" s="1" t="s">
        <v>25</v>
      </c>
      <c r="K65" s="1" t="s">
        <v>25</v>
      </c>
      <c r="L65" s="1" t="s">
        <v>26</v>
      </c>
      <c r="M65" s="1" t="s">
        <v>25</v>
      </c>
      <c r="N65" s="1" t="s">
        <v>25</v>
      </c>
      <c r="O65" s="1" t="s">
        <v>25</v>
      </c>
      <c r="P65" s="1" t="s">
        <v>25</v>
      </c>
      <c r="Q65" s="1" t="s">
        <v>25</v>
      </c>
      <c r="R65" s="1" t="s">
        <v>25</v>
      </c>
      <c r="S65" s="2">
        <v>0</v>
      </c>
    </row>
    <row r="66" spans="1:19" x14ac:dyDescent="0.3">
      <c r="A66" t="s">
        <v>156</v>
      </c>
      <c r="B66" s="5" t="e" cm="1">
        <f t="array" ref="B66">MAX(#REF!,MIN(#REF!,#REF!+SUMPRODUCT(--(FoodData[[#This Row],[Healthy]:[Refined]]="Yes"),#REF!)+FoodData[[#This Row],[Adjust]]))</f>
        <v>#REF!</v>
      </c>
      <c r="C66" s="1" t="e">
        <f>LOOKUP(FoodData[[#This Row],[Score]],#REF!,#REF!)</f>
        <v>#REF!</v>
      </c>
      <c r="D66" t="s">
        <v>20</v>
      </c>
      <c r="E66" t="s">
        <v>28</v>
      </c>
      <c r="F66" t="s">
        <v>22</v>
      </c>
      <c r="G66" t="s">
        <v>29</v>
      </c>
      <c r="H66" t="s">
        <v>157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25</v>
      </c>
      <c r="P66" s="1" t="s">
        <v>25</v>
      </c>
      <c r="Q66" s="1" t="s">
        <v>25</v>
      </c>
      <c r="R66" s="1" t="s">
        <v>26</v>
      </c>
      <c r="S66" s="2">
        <v>0</v>
      </c>
    </row>
    <row r="67" spans="1:19" x14ac:dyDescent="0.3">
      <c r="A67" t="s">
        <v>158</v>
      </c>
      <c r="B67" s="5" t="e" cm="1">
        <f t="array" ref="B67">MAX(#REF!,MIN(#REF!,#REF!+SUMPRODUCT(--(FoodData[[#This Row],[Healthy]:[Refined]]="Yes"),#REF!)+FoodData[[#This Row],[Adjust]]))</f>
        <v>#REF!</v>
      </c>
      <c r="C67" s="1" t="e">
        <f>LOOKUP(FoodData[[#This Row],[Score]],#REF!,#REF!)</f>
        <v>#REF!</v>
      </c>
      <c r="D67" t="s">
        <v>159</v>
      </c>
      <c r="E67" t="s">
        <v>63</v>
      </c>
      <c r="F67" t="s">
        <v>22</v>
      </c>
      <c r="G67" t="s">
        <v>23</v>
      </c>
      <c r="H67" t="s">
        <v>160</v>
      </c>
      <c r="I67" s="1" t="s">
        <v>25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26</v>
      </c>
      <c r="O67" s="1" t="s">
        <v>25</v>
      </c>
      <c r="P67" s="1" t="s">
        <v>26</v>
      </c>
      <c r="Q67" s="1" t="s">
        <v>25</v>
      </c>
      <c r="R67" s="1" t="s">
        <v>25</v>
      </c>
      <c r="S67" s="2">
        <v>0</v>
      </c>
    </row>
    <row r="68" spans="1:19" x14ac:dyDescent="0.3">
      <c r="A68" t="s">
        <v>161</v>
      </c>
      <c r="B68" s="5" t="e" cm="1">
        <f t="array" ref="B68">MAX(#REF!,MIN(#REF!,#REF!+SUMPRODUCT(--(FoodData[[#This Row],[Healthy]:[Refined]]="Yes"),#REF!)+FoodData[[#This Row],[Adjust]]))</f>
        <v>#REF!</v>
      </c>
      <c r="C68" s="1" t="e">
        <f>LOOKUP(FoodData[[#This Row],[Score]],#REF!,#REF!)</f>
        <v>#REF!</v>
      </c>
      <c r="D68" t="s">
        <v>159</v>
      </c>
      <c r="E68" t="s">
        <v>63</v>
      </c>
      <c r="F68" t="s">
        <v>22</v>
      </c>
      <c r="G68" t="s">
        <v>162</v>
      </c>
      <c r="H68" t="s">
        <v>163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  <c r="S68" s="2">
        <v>0</v>
      </c>
    </row>
    <row r="69" spans="1:19" x14ac:dyDescent="0.3">
      <c r="A69" t="s">
        <v>164</v>
      </c>
      <c r="B69" s="5" t="e" cm="1">
        <f t="array" ref="B69">MAX(#REF!,MIN(#REF!,#REF!+SUMPRODUCT(--(FoodData[[#This Row],[Healthy]:[Refined]]="Yes"),#REF!)+FoodData[[#This Row],[Adjust]]))</f>
        <v>#REF!</v>
      </c>
      <c r="C69" s="1" t="e">
        <f>LOOKUP(FoodData[[#This Row],[Score]],#REF!,#REF!)</f>
        <v>#REF!</v>
      </c>
      <c r="D69" t="s">
        <v>159</v>
      </c>
      <c r="E69" t="s">
        <v>28</v>
      </c>
      <c r="F69" t="s">
        <v>22</v>
      </c>
      <c r="G69" t="s">
        <v>23</v>
      </c>
      <c r="H69" t="s">
        <v>165</v>
      </c>
      <c r="I69" s="1" t="s">
        <v>25</v>
      </c>
      <c r="J69" s="1" t="s">
        <v>25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26</v>
      </c>
      <c r="Q69" s="1" t="s">
        <v>26</v>
      </c>
      <c r="R69" s="1" t="s">
        <v>26</v>
      </c>
      <c r="S69" s="2">
        <v>0</v>
      </c>
    </row>
    <row r="70" spans="1:19" x14ac:dyDescent="0.3">
      <c r="A70" t="s">
        <v>166</v>
      </c>
      <c r="B70" s="5" t="e" cm="1">
        <f t="array" ref="B70">MAX(#REF!,MIN(#REF!,#REF!+SUMPRODUCT(--(FoodData[[#This Row],[Healthy]:[Refined]]="Yes"),#REF!)+FoodData[[#This Row],[Adjust]]))</f>
        <v>#REF!</v>
      </c>
      <c r="C70" s="1" t="e">
        <f>LOOKUP(FoodData[[#This Row],[Score]],#REF!,#REF!)</f>
        <v>#REF!</v>
      </c>
      <c r="D70" t="s">
        <v>159</v>
      </c>
      <c r="E70" t="s">
        <v>63</v>
      </c>
      <c r="F70" t="s">
        <v>22</v>
      </c>
      <c r="G70" t="s">
        <v>23</v>
      </c>
      <c r="H70" t="s">
        <v>167</v>
      </c>
      <c r="I70" s="1" t="s">
        <v>25</v>
      </c>
      <c r="J70" s="1" t="s">
        <v>25</v>
      </c>
      <c r="K70" s="1" t="s">
        <v>26</v>
      </c>
      <c r="L70" s="1" t="s">
        <v>25</v>
      </c>
      <c r="M70" s="1" t="s">
        <v>26</v>
      </c>
      <c r="N70" s="1" t="s">
        <v>26</v>
      </c>
      <c r="O70" s="1" t="s">
        <v>25</v>
      </c>
      <c r="P70" s="1" t="s">
        <v>26</v>
      </c>
      <c r="Q70" s="1" t="s">
        <v>25</v>
      </c>
      <c r="R70" s="1" t="s">
        <v>25</v>
      </c>
      <c r="S70" s="2">
        <v>0</v>
      </c>
    </row>
    <row r="71" spans="1:19" x14ac:dyDescent="0.3">
      <c r="A71" t="s">
        <v>168</v>
      </c>
      <c r="B71" s="5" t="e" cm="1">
        <f t="array" ref="B71">MAX(#REF!,MIN(#REF!,#REF!+SUMPRODUCT(--(FoodData[[#This Row],[Healthy]:[Refined]]="Yes"),#REF!)+FoodData[[#This Row],[Adjust]]))</f>
        <v>#REF!</v>
      </c>
      <c r="C71" s="1" t="e">
        <f>LOOKUP(FoodData[[#This Row],[Score]],#REF!,#REF!)</f>
        <v>#REF!</v>
      </c>
      <c r="D71" t="s">
        <v>159</v>
      </c>
      <c r="E71" t="s">
        <v>63</v>
      </c>
      <c r="F71" t="s">
        <v>22</v>
      </c>
      <c r="G71" t="s">
        <v>23</v>
      </c>
      <c r="H71" t="s">
        <v>169</v>
      </c>
      <c r="I71" s="1" t="s">
        <v>25</v>
      </c>
      <c r="J71" s="1" t="s">
        <v>25</v>
      </c>
      <c r="K71" s="1" t="s">
        <v>25</v>
      </c>
      <c r="L71" s="1" t="s">
        <v>26</v>
      </c>
      <c r="M71" s="1" t="s">
        <v>25</v>
      </c>
      <c r="N71" s="1" t="s">
        <v>25</v>
      </c>
      <c r="O71" s="1" t="s">
        <v>25</v>
      </c>
      <c r="P71" s="1" t="s">
        <v>25</v>
      </c>
      <c r="Q71" s="1" t="s">
        <v>25</v>
      </c>
      <c r="R71" s="1" t="s">
        <v>25</v>
      </c>
      <c r="S71" s="2">
        <v>0</v>
      </c>
    </row>
    <row r="72" spans="1:19" x14ac:dyDescent="0.3">
      <c r="A72" t="s">
        <v>170</v>
      </c>
      <c r="B72" s="5" t="e" cm="1">
        <f t="array" ref="B72">MAX(#REF!,MIN(#REF!,#REF!+SUMPRODUCT(--(FoodData[[#This Row],[Healthy]:[Refined]]="Yes"),#REF!)+FoodData[[#This Row],[Adjust]]))</f>
        <v>#REF!</v>
      </c>
      <c r="C72" s="1" t="e">
        <f>LOOKUP(FoodData[[#This Row],[Score]],#REF!,#REF!)</f>
        <v>#REF!</v>
      </c>
      <c r="D72" t="s">
        <v>159</v>
      </c>
      <c r="E72" t="s">
        <v>63</v>
      </c>
      <c r="F72" t="s">
        <v>22</v>
      </c>
      <c r="G72" t="s">
        <v>23</v>
      </c>
      <c r="H72" t="s">
        <v>171</v>
      </c>
      <c r="I72" s="1" t="s">
        <v>25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26</v>
      </c>
      <c r="O72" s="1" t="s">
        <v>26</v>
      </c>
      <c r="P72" s="1" t="s">
        <v>25</v>
      </c>
      <c r="Q72" s="1" t="s">
        <v>25</v>
      </c>
      <c r="R72" s="1" t="s">
        <v>25</v>
      </c>
      <c r="S72" s="2">
        <v>0</v>
      </c>
    </row>
    <row r="73" spans="1:19" x14ac:dyDescent="0.3">
      <c r="A73" t="s">
        <v>172</v>
      </c>
      <c r="B73" s="5" t="e" cm="1">
        <f t="array" ref="B73">MAX(#REF!,MIN(#REF!,#REF!+SUMPRODUCT(--(FoodData[[#This Row],[Healthy]:[Refined]]="Yes"),#REF!)+FoodData[[#This Row],[Adjust]]))</f>
        <v>#REF!</v>
      </c>
      <c r="C73" s="1" t="e">
        <f>LOOKUP(FoodData[[#This Row],[Score]],#REF!,#REF!)</f>
        <v>#REF!</v>
      </c>
      <c r="D73" t="s">
        <v>159</v>
      </c>
      <c r="E73" t="s">
        <v>63</v>
      </c>
      <c r="F73" t="s">
        <v>22</v>
      </c>
      <c r="G73" t="s">
        <v>23</v>
      </c>
      <c r="H73" t="s">
        <v>173</v>
      </c>
      <c r="I73" s="1" t="s">
        <v>25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26</v>
      </c>
      <c r="O73" s="1" t="s">
        <v>25</v>
      </c>
      <c r="P73" s="1" t="s">
        <v>26</v>
      </c>
      <c r="Q73" s="1" t="s">
        <v>25</v>
      </c>
      <c r="R73" s="1" t="s">
        <v>25</v>
      </c>
      <c r="S73" s="2">
        <v>0</v>
      </c>
    </row>
    <row r="74" spans="1:19" x14ac:dyDescent="0.3">
      <c r="A74" t="s">
        <v>174</v>
      </c>
      <c r="B74" s="5" t="e" cm="1">
        <f t="array" ref="B74">MAX(#REF!,MIN(#REF!,#REF!+SUMPRODUCT(--(FoodData[[#This Row],[Healthy]:[Refined]]="Yes"),#REF!)+FoodData[[#This Row],[Adjust]]))</f>
        <v>#REF!</v>
      </c>
      <c r="C74" s="1" t="e">
        <f>LOOKUP(FoodData[[#This Row],[Score]],#REF!,#REF!)</f>
        <v>#REF!</v>
      </c>
      <c r="D74" t="s">
        <v>159</v>
      </c>
      <c r="E74" t="s">
        <v>63</v>
      </c>
      <c r="F74" t="s">
        <v>22</v>
      </c>
      <c r="G74" t="s">
        <v>23</v>
      </c>
      <c r="H74" t="s">
        <v>175</v>
      </c>
      <c r="I74" s="1" t="s">
        <v>25</v>
      </c>
      <c r="J74" s="1" t="s">
        <v>25</v>
      </c>
      <c r="K74" s="1" t="s">
        <v>25</v>
      </c>
      <c r="L74" s="1" t="s">
        <v>25</v>
      </c>
      <c r="M74" s="1" t="s">
        <v>25</v>
      </c>
      <c r="N74" s="1" t="s">
        <v>26</v>
      </c>
      <c r="O74" s="1" t="s">
        <v>25</v>
      </c>
      <c r="P74" s="1" t="s">
        <v>26</v>
      </c>
      <c r="Q74" s="1" t="s">
        <v>25</v>
      </c>
      <c r="R74" s="1" t="s">
        <v>26</v>
      </c>
      <c r="S74" s="2">
        <v>0</v>
      </c>
    </row>
    <row r="75" spans="1:19" x14ac:dyDescent="0.3">
      <c r="A75" t="s">
        <v>176</v>
      </c>
      <c r="B75" s="5" t="e" cm="1">
        <f t="array" ref="B75">MAX(#REF!,MIN(#REF!,#REF!+SUMPRODUCT(--(FoodData[[#This Row],[Healthy]:[Refined]]="Yes"),#REF!)+FoodData[[#This Row],[Adjust]]))</f>
        <v>#REF!</v>
      </c>
      <c r="C75" s="1" t="e">
        <f>LOOKUP(FoodData[[#This Row],[Score]],#REF!,#REF!)</f>
        <v>#REF!</v>
      </c>
      <c r="D75" t="s">
        <v>159</v>
      </c>
      <c r="E75" t="s">
        <v>63</v>
      </c>
      <c r="F75" t="s">
        <v>22</v>
      </c>
      <c r="G75" t="s">
        <v>23</v>
      </c>
      <c r="H75" t="s">
        <v>177</v>
      </c>
      <c r="I75" s="1" t="s">
        <v>26</v>
      </c>
      <c r="J75" s="1" t="s">
        <v>25</v>
      </c>
      <c r="K75" s="1" t="s">
        <v>25</v>
      </c>
      <c r="L75" s="1" t="s">
        <v>25</v>
      </c>
      <c r="M75" s="1" t="s">
        <v>25</v>
      </c>
      <c r="N75" s="1" t="s">
        <v>25</v>
      </c>
      <c r="O75" s="1" t="s">
        <v>25</v>
      </c>
      <c r="P75" s="1" t="s">
        <v>25</v>
      </c>
      <c r="Q75" s="1" t="s">
        <v>25</v>
      </c>
      <c r="R75" s="1" t="s">
        <v>26</v>
      </c>
      <c r="S75" s="2">
        <v>0</v>
      </c>
    </row>
    <row r="76" spans="1:19" x14ac:dyDescent="0.3">
      <c r="A76" t="s">
        <v>178</v>
      </c>
      <c r="B76" s="5" t="e" cm="1">
        <f t="array" ref="B76">MAX(#REF!,MIN(#REF!,#REF!+SUMPRODUCT(--(FoodData[[#This Row],[Healthy]:[Refined]]="Yes"),#REF!)+FoodData[[#This Row],[Adjust]]))</f>
        <v>#REF!</v>
      </c>
      <c r="C76" s="1" t="e">
        <f>LOOKUP(FoodData[[#This Row],[Score]],#REF!,#REF!)</f>
        <v>#REF!</v>
      </c>
      <c r="D76" t="s">
        <v>159</v>
      </c>
      <c r="E76" t="s">
        <v>63</v>
      </c>
      <c r="F76" t="s">
        <v>22</v>
      </c>
      <c r="G76" t="s">
        <v>23</v>
      </c>
      <c r="H76" t="s">
        <v>179</v>
      </c>
      <c r="I76" s="1" t="s">
        <v>26</v>
      </c>
      <c r="J76" s="1" t="s">
        <v>25</v>
      </c>
      <c r="K76" s="1" t="s">
        <v>25</v>
      </c>
      <c r="L76" s="1" t="s">
        <v>26</v>
      </c>
      <c r="M76" s="1" t="s">
        <v>25</v>
      </c>
      <c r="N76" s="1" t="s">
        <v>25</v>
      </c>
      <c r="O76" s="1" t="s">
        <v>25</v>
      </c>
      <c r="P76" s="1" t="s">
        <v>25</v>
      </c>
      <c r="Q76" s="1" t="s">
        <v>25</v>
      </c>
      <c r="R76" s="1" t="s">
        <v>25</v>
      </c>
      <c r="S76" s="2">
        <v>0</v>
      </c>
    </row>
    <row r="77" spans="1:19" x14ac:dyDescent="0.3">
      <c r="A77" t="s">
        <v>180</v>
      </c>
      <c r="B77" s="5" t="e" cm="1">
        <f t="array" ref="B77">MAX(#REF!,MIN(#REF!,#REF!+SUMPRODUCT(--(FoodData[[#This Row],[Healthy]:[Refined]]="Yes"),#REF!)+FoodData[[#This Row],[Adjust]]))</f>
        <v>#REF!</v>
      </c>
      <c r="C77" s="1" t="e">
        <f>LOOKUP(FoodData[[#This Row],[Score]],#REF!,#REF!)</f>
        <v>#REF!</v>
      </c>
      <c r="D77" t="s">
        <v>159</v>
      </c>
      <c r="E77" t="s">
        <v>63</v>
      </c>
      <c r="F77" t="s">
        <v>22</v>
      </c>
      <c r="G77" t="s">
        <v>23</v>
      </c>
      <c r="H77" t="s">
        <v>181</v>
      </c>
      <c r="I77" s="1" t="s">
        <v>25</v>
      </c>
      <c r="J77" s="1" t="s">
        <v>25</v>
      </c>
      <c r="K77" s="1" t="s">
        <v>26</v>
      </c>
      <c r="L77" s="1" t="s">
        <v>25</v>
      </c>
      <c r="M77" s="1" t="s">
        <v>25</v>
      </c>
      <c r="N77" s="1" t="s">
        <v>26</v>
      </c>
      <c r="O77" s="1" t="s">
        <v>25</v>
      </c>
      <c r="P77" s="1" t="s">
        <v>26</v>
      </c>
      <c r="Q77" s="1" t="s">
        <v>26</v>
      </c>
      <c r="R77" s="1" t="s">
        <v>25</v>
      </c>
      <c r="S77" s="2">
        <v>0</v>
      </c>
    </row>
    <row r="78" spans="1:19" x14ac:dyDescent="0.3">
      <c r="A78" t="s">
        <v>182</v>
      </c>
      <c r="B78" s="5" t="e" cm="1">
        <f t="array" ref="B78">MAX(#REF!,MIN(#REF!,#REF!+SUMPRODUCT(--(FoodData[[#This Row],[Healthy]:[Refined]]="Yes"),#REF!)+FoodData[[#This Row],[Adjust]]))</f>
        <v>#REF!</v>
      </c>
      <c r="C78" s="1" t="e">
        <f>LOOKUP(FoodData[[#This Row],[Score]],#REF!,#REF!)</f>
        <v>#REF!</v>
      </c>
      <c r="D78" t="s">
        <v>159</v>
      </c>
      <c r="E78" t="s">
        <v>63</v>
      </c>
      <c r="F78" t="s">
        <v>22</v>
      </c>
      <c r="G78" t="s">
        <v>23</v>
      </c>
      <c r="H78" t="s">
        <v>183</v>
      </c>
      <c r="I78" s="1" t="s">
        <v>25</v>
      </c>
      <c r="J78" s="1" t="s">
        <v>25</v>
      </c>
      <c r="K78" s="1" t="s">
        <v>26</v>
      </c>
      <c r="L78" s="1" t="s">
        <v>25</v>
      </c>
      <c r="M78" s="1" t="s">
        <v>25</v>
      </c>
      <c r="N78" s="1" t="s">
        <v>26</v>
      </c>
      <c r="O78" s="1" t="s">
        <v>25</v>
      </c>
      <c r="P78" s="1" t="s">
        <v>26</v>
      </c>
      <c r="Q78" s="1" t="s">
        <v>26</v>
      </c>
      <c r="R78" s="1" t="s">
        <v>26</v>
      </c>
      <c r="S78" s="2">
        <v>0</v>
      </c>
    </row>
    <row r="79" spans="1:19" x14ac:dyDescent="0.3">
      <c r="A79" t="s">
        <v>184</v>
      </c>
      <c r="B79" s="5" t="e" cm="1">
        <f t="array" ref="B79">MAX(#REF!,MIN(#REF!,#REF!+SUMPRODUCT(--(FoodData[[#This Row],[Healthy]:[Refined]]="Yes"),#REF!)+FoodData[[#This Row],[Adjust]]))</f>
        <v>#REF!</v>
      </c>
      <c r="C79" s="1" t="e">
        <f>LOOKUP(FoodData[[#This Row],[Score]],#REF!,#REF!)</f>
        <v>#REF!</v>
      </c>
      <c r="D79" t="s">
        <v>159</v>
      </c>
      <c r="E79" t="s">
        <v>63</v>
      </c>
      <c r="F79" t="s">
        <v>22</v>
      </c>
      <c r="G79" t="s">
        <v>23</v>
      </c>
      <c r="H79" t="s">
        <v>185</v>
      </c>
      <c r="I79" s="1" t="s">
        <v>25</v>
      </c>
      <c r="J79" s="1" t="s">
        <v>25</v>
      </c>
      <c r="K79" s="1" t="s">
        <v>25</v>
      </c>
      <c r="L79" s="1" t="s">
        <v>25</v>
      </c>
      <c r="M79" s="1" t="s">
        <v>25</v>
      </c>
      <c r="N79" s="1" t="s">
        <v>25</v>
      </c>
      <c r="O79" s="1" t="s">
        <v>26</v>
      </c>
      <c r="P79" s="1" t="s">
        <v>25</v>
      </c>
      <c r="Q79" s="1" t="s">
        <v>25</v>
      </c>
      <c r="R79" s="1" t="s">
        <v>26</v>
      </c>
      <c r="S79" s="2">
        <v>0</v>
      </c>
    </row>
    <row r="80" spans="1:19" x14ac:dyDescent="0.3">
      <c r="A80" t="s">
        <v>186</v>
      </c>
      <c r="B80" s="5" t="e" cm="1">
        <f t="array" ref="B80">MAX(#REF!,MIN(#REF!,#REF!+SUMPRODUCT(--(FoodData[[#This Row],[Healthy]:[Refined]]="Yes"),#REF!)+FoodData[[#This Row],[Adjust]]))</f>
        <v>#REF!</v>
      </c>
      <c r="C80" s="1" t="e">
        <f>LOOKUP(FoodData[[#This Row],[Score]],#REF!,#REF!)</f>
        <v>#REF!</v>
      </c>
      <c r="D80" t="s">
        <v>159</v>
      </c>
      <c r="E80" t="s">
        <v>63</v>
      </c>
      <c r="F80" t="s">
        <v>22</v>
      </c>
      <c r="G80" t="s">
        <v>23</v>
      </c>
      <c r="H80" t="s">
        <v>187</v>
      </c>
      <c r="I80" s="1" t="s">
        <v>26</v>
      </c>
      <c r="J80" s="1" t="s">
        <v>25</v>
      </c>
      <c r="K80" s="1" t="s">
        <v>26</v>
      </c>
      <c r="L80" s="1" t="s">
        <v>26</v>
      </c>
      <c r="M80" s="1" t="s">
        <v>25</v>
      </c>
      <c r="N80" s="1" t="s">
        <v>25</v>
      </c>
      <c r="O80" s="1" t="s">
        <v>25</v>
      </c>
      <c r="P80" s="1" t="s">
        <v>25</v>
      </c>
      <c r="Q80" s="1" t="s">
        <v>25</v>
      </c>
      <c r="R80" s="1" t="s">
        <v>25</v>
      </c>
      <c r="S80" s="2">
        <v>0</v>
      </c>
    </row>
    <row r="81" spans="1:19" x14ac:dyDescent="0.3">
      <c r="A81" t="s">
        <v>188</v>
      </c>
      <c r="B81" s="5" t="e" cm="1">
        <f t="array" ref="B81">MAX(#REF!,MIN(#REF!,#REF!+SUMPRODUCT(--(FoodData[[#This Row],[Healthy]:[Refined]]="Yes"),#REF!)+FoodData[[#This Row],[Adjust]]))</f>
        <v>#REF!</v>
      </c>
      <c r="C81" s="1" t="e">
        <f>LOOKUP(FoodData[[#This Row],[Score]],#REF!,#REF!)</f>
        <v>#REF!</v>
      </c>
      <c r="D81" t="s">
        <v>159</v>
      </c>
      <c r="E81" t="s">
        <v>63</v>
      </c>
      <c r="F81" t="s">
        <v>22</v>
      </c>
      <c r="G81" t="s">
        <v>23</v>
      </c>
      <c r="H81" t="s">
        <v>189</v>
      </c>
      <c r="I81" s="1" t="s">
        <v>25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26</v>
      </c>
      <c r="P81" s="1" t="s">
        <v>26</v>
      </c>
      <c r="Q81" s="1" t="s">
        <v>26</v>
      </c>
      <c r="R81" s="1" t="s">
        <v>26</v>
      </c>
      <c r="S81" s="2">
        <v>0</v>
      </c>
    </row>
    <row r="82" spans="1:19" x14ac:dyDescent="0.3">
      <c r="A82" t="s">
        <v>190</v>
      </c>
      <c r="B82" s="5" t="e" cm="1">
        <f t="array" ref="B82">MAX(#REF!,MIN(#REF!,#REF!+SUMPRODUCT(--(FoodData[[#This Row],[Healthy]:[Refined]]="Yes"),#REF!)+FoodData[[#This Row],[Adjust]]))</f>
        <v>#REF!</v>
      </c>
      <c r="C82" s="1" t="e">
        <f>LOOKUP(FoodData[[#This Row],[Score]],#REF!,#REF!)</f>
        <v>#REF!</v>
      </c>
      <c r="D82" t="s">
        <v>159</v>
      </c>
      <c r="E82" t="s">
        <v>63</v>
      </c>
      <c r="F82" t="s">
        <v>22</v>
      </c>
      <c r="G82" t="s">
        <v>23</v>
      </c>
      <c r="H82" t="s">
        <v>191</v>
      </c>
      <c r="I82" s="1" t="s">
        <v>25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26</v>
      </c>
      <c r="O82" s="1" t="s">
        <v>26</v>
      </c>
      <c r="P82" s="1" t="s">
        <v>25</v>
      </c>
      <c r="Q82" s="1" t="s">
        <v>25</v>
      </c>
      <c r="R82" s="1" t="s">
        <v>26</v>
      </c>
      <c r="S82" s="2">
        <v>0</v>
      </c>
    </row>
    <row r="83" spans="1:19" x14ac:dyDescent="0.3">
      <c r="A83" t="s">
        <v>192</v>
      </c>
      <c r="B83" s="5" t="e" cm="1">
        <f t="array" ref="B83">MAX(#REF!,MIN(#REF!,#REF!+SUMPRODUCT(--(FoodData[[#This Row],[Healthy]:[Refined]]="Yes"),#REF!)+FoodData[[#This Row],[Adjust]]))</f>
        <v>#REF!</v>
      </c>
      <c r="C83" s="1" t="e">
        <f>LOOKUP(FoodData[[#This Row],[Score]],#REF!,#REF!)</f>
        <v>#REF!</v>
      </c>
      <c r="D83" t="s">
        <v>159</v>
      </c>
      <c r="E83" t="s">
        <v>63</v>
      </c>
      <c r="F83" t="s">
        <v>22</v>
      </c>
      <c r="G83" t="s">
        <v>23</v>
      </c>
      <c r="H83" t="s">
        <v>193</v>
      </c>
      <c r="I83" s="1" t="s">
        <v>25</v>
      </c>
      <c r="J83" s="1" t="s">
        <v>25</v>
      </c>
      <c r="K83" s="1" t="s">
        <v>25</v>
      </c>
      <c r="L83" s="1" t="s">
        <v>25</v>
      </c>
      <c r="M83" s="1" t="s">
        <v>25</v>
      </c>
      <c r="N83" s="1" t="s">
        <v>26</v>
      </c>
      <c r="O83" s="1" t="s">
        <v>26</v>
      </c>
      <c r="P83" s="1" t="s">
        <v>25</v>
      </c>
      <c r="Q83" s="1" t="s">
        <v>26</v>
      </c>
      <c r="R83" s="1" t="s">
        <v>26</v>
      </c>
      <c r="S83" s="2">
        <v>0</v>
      </c>
    </row>
    <row r="84" spans="1:19" x14ac:dyDescent="0.3">
      <c r="A84" t="s">
        <v>194</v>
      </c>
      <c r="B84" s="5" t="e" cm="1">
        <f t="array" ref="B84">MAX(#REF!,MIN(#REF!,#REF!+SUMPRODUCT(--(FoodData[[#This Row],[Healthy]:[Refined]]="Yes"),#REF!)+FoodData[[#This Row],[Adjust]]))</f>
        <v>#REF!</v>
      </c>
      <c r="C84" s="1" t="e">
        <f>LOOKUP(FoodData[[#This Row],[Score]],#REF!,#REF!)</f>
        <v>#REF!</v>
      </c>
      <c r="D84" t="s">
        <v>159</v>
      </c>
      <c r="E84" t="s">
        <v>63</v>
      </c>
      <c r="F84" t="s">
        <v>22</v>
      </c>
      <c r="G84" t="s">
        <v>23</v>
      </c>
      <c r="H84" t="s">
        <v>195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26</v>
      </c>
      <c r="O84" s="1" t="s">
        <v>25</v>
      </c>
      <c r="P84" s="1" t="s">
        <v>26</v>
      </c>
      <c r="Q84" s="1" t="s">
        <v>26</v>
      </c>
      <c r="R84" s="1" t="s">
        <v>26</v>
      </c>
      <c r="S84" s="2">
        <v>0</v>
      </c>
    </row>
    <row r="85" spans="1:19" x14ac:dyDescent="0.3">
      <c r="A85" t="s">
        <v>196</v>
      </c>
      <c r="B85" s="5" t="e" cm="1">
        <f t="array" ref="B85">MAX(#REF!,MIN(#REF!,#REF!+SUMPRODUCT(--(FoodData[[#This Row],[Healthy]:[Refined]]="Yes"),#REF!)+FoodData[[#This Row],[Adjust]]))</f>
        <v>#REF!</v>
      </c>
      <c r="C85" s="1" t="e">
        <f>LOOKUP(FoodData[[#This Row],[Score]],#REF!,#REF!)</f>
        <v>#REF!</v>
      </c>
      <c r="D85" t="s">
        <v>159</v>
      </c>
      <c r="E85" t="s">
        <v>63</v>
      </c>
      <c r="F85" t="s">
        <v>60</v>
      </c>
      <c r="G85" t="s">
        <v>23</v>
      </c>
      <c r="H85" t="s">
        <v>197</v>
      </c>
      <c r="I85" s="1" t="s">
        <v>25</v>
      </c>
      <c r="J85" s="1" t="s">
        <v>25</v>
      </c>
      <c r="K85" s="1" t="s">
        <v>26</v>
      </c>
      <c r="L85" s="1" t="s">
        <v>25</v>
      </c>
      <c r="M85" s="1" t="s">
        <v>25</v>
      </c>
      <c r="N85" s="1" t="s">
        <v>26</v>
      </c>
      <c r="O85" s="1" t="s">
        <v>25</v>
      </c>
      <c r="P85" s="1" t="s">
        <v>26</v>
      </c>
      <c r="Q85" s="1" t="s">
        <v>25</v>
      </c>
      <c r="R85" s="1" t="s">
        <v>25</v>
      </c>
      <c r="S85" s="2">
        <v>0</v>
      </c>
    </row>
    <row r="86" spans="1:19" x14ac:dyDescent="0.3">
      <c r="A86" t="s">
        <v>198</v>
      </c>
      <c r="B86" s="5" t="e" cm="1">
        <f t="array" ref="B86">MAX(#REF!,MIN(#REF!,#REF!+SUMPRODUCT(--(FoodData[[#This Row],[Healthy]:[Refined]]="Yes"),#REF!)+FoodData[[#This Row],[Adjust]]))</f>
        <v>#REF!</v>
      </c>
      <c r="C86" s="1" t="e">
        <f>LOOKUP(FoodData[[#This Row],[Score]],#REF!,#REF!)</f>
        <v>#REF!</v>
      </c>
      <c r="D86" t="s">
        <v>159</v>
      </c>
      <c r="E86" t="s">
        <v>199</v>
      </c>
      <c r="F86" t="s">
        <v>60</v>
      </c>
      <c r="G86" t="s">
        <v>23</v>
      </c>
      <c r="H86" t="s">
        <v>200</v>
      </c>
      <c r="I86" s="1" t="s">
        <v>25</v>
      </c>
      <c r="J86" s="1" t="s">
        <v>25</v>
      </c>
      <c r="K86" s="1" t="s">
        <v>26</v>
      </c>
      <c r="L86" s="1" t="s">
        <v>25</v>
      </c>
      <c r="M86" s="1" t="s">
        <v>25</v>
      </c>
      <c r="N86" s="1" t="s">
        <v>26</v>
      </c>
      <c r="O86" s="1" t="s">
        <v>25</v>
      </c>
      <c r="P86" s="1" t="s">
        <v>26</v>
      </c>
      <c r="Q86" s="1" t="s">
        <v>26</v>
      </c>
      <c r="R86" s="1" t="s">
        <v>25</v>
      </c>
      <c r="S86" s="2">
        <v>0</v>
      </c>
    </row>
    <row r="87" spans="1:19" x14ac:dyDescent="0.3">
      <c r="A87" t="s">
        <v>201</v>
      </c>
      <c r="B87" s="5" t="e" cm="1">
        <f t="array" ref="B87">MAX(#REF!,MIN(#REF!,#REF!+SUMPRODUCT(--(FoodData[[#This Row],[Healthy]:[Refined]]="Yes"),#REF!)+FoodData[[#This Row],[Adjust]]))</f>
        <v>#REF!</v>
      </c>
      <c r="C87" s="1" t="e">
        <f>LOOKUP(FoodData[[#This Row],[Score]],#REF!,#REF!)</f>
        <v>#REF!</v>
      </c>
      <c r="D87" t="s">
        <v>159</v>
      </c>
      <c r="E87" t="s">
        <v>63</v>
      </c>
      <c r="F87" t="s">
        <v>22</v>
      </c>
      <c r="G87" t="s">
        <v>23</v>
      </c>
      <c r="H87" t="s">
        <v>202</v>
      </c>
      <c r="I87" s="1" t="s">
        <v>25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26</v>
      </c>
      <c r="O87" s="1" t="s">
        <v>25</v>
      </c>
      <c r="P87" s="1" t="s">
        <v>26</v>
      </c>
      <c r="Q87" s="1" t="s">
        <v>26</v>
      </c>
      <c r="R87" s="1" t="s">
        <v>26</v>
      </c>
      <c r="S87" s="2">
        <v>0</v>
      </c>
    </row>
    <row r="88" spans="1:19" x14ac:dyDescent="0.3">
      <c r="A88" t="s">
        <v>203</v>
      </c>
      <c r="B88" s="5" t="e" cm="1">
        <f t="array" ref="B88">MAX(#REF!,MIN(#REF!,#REF!+SUMPRODUCT(--(FoodData[[#This Row],[Healthy]:[Refined]]="Yes"),#REF!)+FoodData[[#This Row],[Adjust]]))</f>
        <v>#REF!</v>
      </c>
      <c r="C88" s="1" t="e">
        <f>LOOKUP(FoodData[[#This Row],[Score]],#REF!,#REF!)</f>
        <v>#REF!</v>
      </c>
      <c r="D88" t="s">
        <v>159</v>
      </c>
      <c r="E88" t="s">
        <v>63</v>
      </c>
      <c r="F88" t="s">
        <v>22</v>
      </c>
      <c r="G88" t="s">
        <v>23</v>
      </c>
      <c r="H88" t="s">
        <v>204</v>
      </c>
      <c r="I88" s="1" t="s">
        <v>25</v>
      </c>
      <c r="J88" s="1" t="s">
        <v>25</v>
      </c>
      <c r="K88" s="1" t="s">
        <v>26</v>
      </c>
      <c r="L88" s="1" t="s">
        <v>26</v>
      </c>
      <c r="M88" s="1" t="s">
        <v>25</v>
      </c>
      <c r="N88" s="1" t="s">
        <v>26</v>
      </c>
      <c r="O88" s="1" t="s">
        <v>25</v>
      </c>
      <c r="P88" s="1" t="s">
        <v>25</v>
      </c>
      <c r="Q88" s="1" t="s">
        <v>25</v>
      </c>
      <c r="R88" s="1" t="s">
        <v>26</v>
      </c>
      <c r="S88" s="2">
        <v>0</v>
      </c>
    </row>
    <row r="89" spans="1:19" x14ac:dyDescent="0.3">
      <c r="A89" t="s">
        <v>205</v>
      </c>
      <c r="B89" s="5" t="e" cm="1">
        <f t="array" ref="B89">MAX(#REF!,MIN(#REF!,#REF!+SUMPRODUCT(--(FoodData[[#This Row],[Healthy]:[Refined]]="Yes"),#REF!)+FoodData[[#This Row],[Adjust]]))</f>
        <v>#REF!</v>
      </c>
      <c r="C89" s="1" t="e">
        <f>LOOKUP(FoodData[[#This Row],[Score]],#REF!,#REF!)</f>
        <v>#REF!</v>
      </c>
      <c r="D89" t="s">
        <v>159</v>
      </c>
      <c r="E89" t="s">
        <v>63</v>
      </c>
      <c r="F89" t="s">
        <v>22</v>
      </c>
      <c r="G89" t="s">
        <v>23</v>
      </c>
      <c r="H89" t="s">
        <v>206</v>
      </c>
      <c r="I89" s="1" t="s">
        <v>25</v>
      </c>
      <c r="J89" s="1" t="s">
        <v>25</v>
      </c>
      <c r="K89" s="1" t="s">
        <v>25</v>
      </c>
      <c r="L89" s="1" t="s">
        <v>26</v>
      </c>
      <c r="M89" s="1" t="s">
        <v>25</v>
      </c>
      <c r="N89" s="1" t="s">
        <v>26</v>
      </c>
      <c r="O89" s="1" t="s">
        <v>25</v>
      </c>
      <c r="P89" s="1" t="s">
        <v>25</v>
      </c>
      <c r="Q89" s="1" t="s">
        <v>25</v>
      </c>
      <c r="R89" s="1" t="s">
        <v>25</v>
      </c>
      <c r="S89" s="2">
        <v>0</v>
      </c>
    </row>
    <row r="90" spans="1:19" x14ac:dyDescent="0.3">
      <c r="A90" t="s">
        <v>207</v>
      </c>
      <c r="B90" s="5" t="e" cm="1">
        <f t="array" ref="B90">MAX(#REF!,MIN(#REF!,#REF!+SUMPRODUCT(--(FoodData[[#This Row],[Healthy]:[Refined]]="Yes"),#REF!)+FoodData[[#This Row],[Adjust]]))</f>
        <v>#REF!</v>
      </c>
      <c r="C90" s="1" t="e">
        <f>LOOKUP(FoodData[[#This Row],[Score]],#REF!,#REF!)</f>
        <v>#REF!</v>
      </c>
      <c r="D90" t="s">
        <v>159</v>
      </c>
      <c r="E90" t="s">
        <v>63</v>
      </c>
      <c r="F90" t="s">
        <v>22</v>
      </c>
      <c r="G90" t="s">
        <v>23</v>
      </c>
      <c r="H90" t="s">
        <v>208</v>
      </c>
      <c r="I90" s="1" t="s">
        <v>25</v>
      </c>
      <c r="J90" s="1" t="s">
        <v>25</v>
      </c>
      <c r="K90" s="1" t="s">
        <v>25</v>
      </c>
      <c r="L90" s="1" t="s">
        <v>26</v>
      </c>
      <c r="M90" s="1" t="s">
        <v>25</v>
      </c>
      <c r="N90" s="1" t="s">
        <v>26</v>
      </c>
      <c r="O90" s="1" t="s">
        <v>25</v>
      </c>
      <c r="P90" s="1" t="s">
        <v>25</v>
      </c>
      <c r="Q90" s="1" t="s">
        <v>25</v>
      </c>
      <c r="R90" s="1" t="s">
        <v>25</v>
      </c>
      <c r="S90" s="2">
        <v>0</v>
      </c>
    </row>
    <row r="91" spans="1:19" x14ac:dyDescent="0.3">
      <c r="A91" t="s">
        <v>209</v>
      </c>
      <c r="B91" s="5" t="e" cm="1">
        <f t="array" ref="B91">MAX(#REF!,MIN(#REF!,#REF!+SUMPRODUCT(--(FoodData[[#This Row],[Healthy]:[Refined]]="Yes"),#REF!)+FoodData[[#This Row],[Adjust]]))</f>
        <v>#REF!</v>
      </c>
      <c r="C91" s="1" t="e">
        <f>LOOKUP(FoodData[[#This Row],[Score]],#REF!,#REF!)</f>
        <v>#REF!</v>
      </c>
      <c r="D91" t="s">
        <v>159</v>
      </c>
      <c r="E91" t="s">
        <v>63</v>
      </c>
      <c r="F91" t="s">
        <v>22</v>
      </c>
      <c r="G91" t="s">
        <v>162</v>
      </c>
      <c r="H91" t="s">
        <v>210</v>
      </c>
      <c r="I91" s="1" t="s">
        <v>26</v>
      </c>
      <c r="J91" s="1" t="s">
        <v>26</v>
      </c>
      <c r="K91" s="1" t="s">
        <v>25</v>
      </c>
      <c r="L91" s="1" t="s">
        <v>26</v>
      </c>
      <c r="M91" s="1" t="s">
        <v>25</v>
      </c>
      <c r="N91" s="1" t="s">
        <v>25</v>
      </c>
      <c r="O91" s="1" t="s">
        <v>25</v>
      </c>
      <c r="P91" s="1" t="s">
        <v>25</v>
      </c>
      <c r="Q91" s="1" t="s">
        <v>25</v>
      </c>
      <c r="R91" s="1" t="s">
        <v>25</v>
      </c>
      <c r="S91" s="2">
        <v>0</v>
      </c>
    </row>
    <row r="92" spans="1:19" x14ac:dyDescent="0.3">
      <c r="A92" t="s">
        <v>211</v>
      </c>
      <c r="B92" s="5" t="e" cm="1">
        <f t="array" ref="B92">MAX(#REF!,MIN(#REF!,#REF!+SUMPRODUCT(--(FoodData[[#This Row],[Healthy]:[Refined]]="Yes"),#REF!)+FoodData[[#This Row],[Adjust]]))</f>
        <v>#REF!</v>
      </c>
      <c r="C92" s="1" t="e">
        <f>LOOKUP(FoodData[[#This Row],[Score]],#REF!,#REF!)</f>
        <v>#REF!</v>
      </c>
      <c r="D92" t="s">
        <v>159</v>
      </c>
      <c r="E92" t="s">
        <v>63</v>
      </c>
      <c r="F92" t="s">
        <v>22</v>
      </c>
      <c r="G92" t="s">
        <v>23</v>
      </c>
      <c r="H92" t="s">
        <v>212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26</v>
      </c>
      <c r="P92" s="1" t="s">
        <v>26</v>
      </c>
      <c r="Q92" s="1" t="s">
        <v>26</v>
      </c>
      <c r="R92" s="1" t="s">
        <v>26</v>
      </c>
      <c r="S92" s="2">
        <v>0</v>
      </c>
    </row>
    <row r="93" spans="1:19" x14ac:dyDescent="0.3">
      <c r="A93" t="s">
        <v>213</v>
      </c>
      <c r="B93" s="5" t="e" cm="1">
        <f t="array" ref="B93">MAX(#REF!,MIN(#REF!,#REF!+SUMPRODUCT(--(FoodData[[#This Row],[Healthy]:[Refined]]="Yes"),#REF!)+FoodData[[#This Row],[Adjust]]))</f>
        <v>#REF!</v>
      </c>
      <c r="C93" s="1" t="e">
        <f>LOOKUP(FoodData[[#This Row],[Score]],#REF!,#REF!)</f>
        <v>#REF!</v>
      </c>
      <c r="D93" t="s">
        <v>159</v>
      </c>
      <c r="E93" t="s">
        <v>63</v>
      </c>
      <c r="F93" t="s">
        <v>22</v>
      </c>
      <c r="G93" t="s">
        <v>23</v>
      </c>
      <c r="H93" t="s">
        <v>214</v>
      </c>
      <c r="I93" s="1" t="s">
        <v>25</v>
      </c>
      <c r="J93" s="1" t="s">
        <v>25</v>
      </c>
      <c r="K93" s="1" t="s">
        <v>25</v>
      </c>
      <c r="L93" s="1" t="s">
        <v>25</v>
      </c>
      <c r="M93" s="1" t="s">
        <v>26</v>
      </c>
      <c r="N93" s="1" t="s">
        <v>26</v>
      </c>
      <c r="O93" s="1" t="s">
        <v>25</v>
      </c>
      <c r="P93" s="1" t="s">
        <v>25</v>
      </c>
      <c r="Q93" s="1" t="s">
        <v>25</v>
      </c>
      <c r="R93" s="1" t="s">
        <v>26</v>
      </c>
      <c r="S93" s="2">
        <v>0</v>
      </c>
    </row>
    <row r="94" spans="1:19" x14ac:dyDescent="0.3">
      <c r="A94" t="s">
        <v>215</v>
      </c>
      <c r="B94" s="5" t="e" cm="1">
        <f t="array" ref="B94">MAX(#REF!,MIN(#REF!,#REF!+SUMPRODUCT(--(FoodData[[#This Row],[Healthy]:[Refined]]="Yes"),#REF!)+FoodData[[#This Row],[Adjust]]))</f>
        <v>#REF!</v>
      </c>
      <c r="C94" s="1" t="e">
        <f>LOOKUP(FoodData[[#This Row],[Score]],#REF!,#REF!)</f>
        <v>#REF!</v>
      </c>
      <c r="D94" t="s">
        <v>159</v>
      </c>
      <c r="E94" t="s">
        <v>63</v>
      </c>
      <c r="F94" t="s">
        <v>22</v>
      </c>
      <c r="G94" t="s">
        <v>162</v>
      </c>
      <c r="H94" t="s">
        <v>216</v>
      </c>
      <c r="I94" s="1" t="s">
        <v>25</v>
      </c>
      <c r="J94" s="1" t="s">
        <v>25</v>
      </c>
      <c r="K94" s="1" t="s">
        <v>26</v>
      </c>
      <c r="L94" s="1" t="s">
        <v>26</v>
      </c>
      <c r="M94" s="1" t="s">
        <v>25</v>
      </c>
      <c r="N94" s="1" t="s">
        <v>26</v>
      </c>
      <c r="O94" s="1" t="s">
        <v>25</v>
      </c>
      <c r="P94" s="1" t="s">
        <v>26</v>
      </c>
      <c r="Q94" s="1" t="s">
        <v>26</v>
      </c>
      <c r="R94" s="1" t="s">
        <v>25</v>
      </c>
      <c r="S94" s="2">
        <v>0</v>
      </c>
    </row>
    <row r="95" spans="1:19" x14ac:dyDescent="0.3">
      <c r="A95" t="s">
        <v>217</v>
      </c>
      <c r="B95" s="5" t="e" cm="1">
        <f t="array" ref="B95">MAX(#REF!,MIN(#REF!,#REF!+SUMPRODUCT(--(FoodData[[#This Row],[Healthy]:[Refined]]="Yes"),#REF!)+FoodData[[#This Row],[Adjust]]))</f>
        <v>#REF!</v>
      </c>
      <c r="C95" s="1" t="e">
        <f>LOOKUP(FoodData[[#This Row],[Score]],#REF!,#REF!)</f>
        <v>#REF!</v>
      </c>
      <c r="D95" t="s">
        <v>159</v>
      </c>
      <c r="E95" t="s">
        <v>63</v>
      </c>
      <c r="F95" t="s">
        <v>22</v>
      </c>
      <c r="G95" t="s">
        <v>23</v>
      </c>
      <c r="H95" t="s">
        <v>218</v>
      </c>
      <c r="I95" s="1" t="s">
        <v>25</v>
      </c>
      <c r="J95" s="1" t="s">
        <v>25</v>
      </c>
      <c r="K95" s="1" t="s">
        <v>26</v>
      </c>
      <c r="L95" s="1" t="s">
        <v>25</v>
      </c>
      <c r="M95" s="1" t="s">
        <v>25</v>
      </c>
      <c r="N95" s="1" t="s">
        <v>26</v>
      </c>
      <c r="O95" s="1" t="s">
        <v>25</v>
      </c>
      <c r="P95" s="1" t="s">
        <v>25</v>
      </c>
      <c r="Q95" s="1" t="s">
        <v>25</v>
      </c>
      <c r="R95" s="1" t="s">
        <v>25</v>
      </c>
      <c r="S95" s="2">
        <v>0</v>
      </c>
    </row>
    <row r="96" spans="1:19" x14ac:dyDescent="0.3">
      <c r="A96" t="s">
        <v>219</v>
      </c>
      <c r="B96" s="5" t="e" cm="1">
        <f t="array" ref="B96">MAX(#REF!,MIN(#REF!,#REF!+SUMPRODUCT(--(FoodData[[#This Row],[Healthy]:[Refined]]="Yes"),#REF!)+FoodData[[#This Row],[Adjust]]))</f>
        <v>#REF!</v>
      </c>
      <c r="C96" s="1" t="e">
        <f>LOOKUP(FoodData[[#This Row],[Score]],#REF!,#REF!)</f>
        <v>#REF!</v>
      </c>
      <c r="D96" t="s">
        <v>159</v>
      </c>
      <c r="E96" t="s">
        <v>63</v>
      </c>
      <c r="F96" t="s">
        <v>22</v>
      </c>
      <c r="G96" t="s">
        <v>23</v>
      </c>
      <c r="H96" t="s">
        <v>220</v>
      </c>
      <c r="I96" s="1" t="s">
        <v>25</v>
      </c>
      <c r="J96" s="1" t="s">
        <v>25</v>
      </c>
      <c r="K96" s="1" t="s">
        <v>26</v>
      </c>
      <c r="L96" s="1" t="s">
        <v>26</v>
      </c>
      <c r="M96" s="1" t="s">
        <v>25</v>
      </c>
      <c r="N96" s="1" t="s">
        <v>26</v>
      </c>
      <c r="O96" s="1" t="s">
        <v>25</v>
      </c>
      <c r="P96" s="1" t="s">
        <v>25</v>
      </c>
      <c r="Q96" s="1" t="s">
        <v>25</v>
      </c>
      <c r="R96" s="1" t="s">
        <v>26</v>
      </c>
      <c r="S96" s="2">
        <v>0</v>
      </c>
    </row>
    <row r="97" spans="1:19" x14ac:dyDescent="0.3">
      <c r="A97" t="s">
        <v>221</v>
      </c>
      <c r="B97" s="5" t="e" cm="1">
        <f t="array" ref="B97">MAX(#REF!,MIN(#REF!,#REF!+SUMPRODUCT(--(FoodData[[#This Row],[Healthy]:[Refined]]="Yes"),#REF!)+FoodData[[#This Row],[Adjust]]))</f>
        <v>#REF!</v>
      </c>
      <c r="C97" s="1" t="e">
        <f>LOOKUP(FoodData[[#This Row],[Score]],#REF!,#REF!)</f>
        <v>#REF!</v>
      </c>
      <c r="D97" t="s">
        <v>159</v>
      </c>
      <c r="E97" t="s">
        <v>63</v>
      </c>
      <c r="F97" t="s">
        <v>22</v>
      </c>
      <c r="G97" t="s">
        <v>23</v>
      </c>
      <c r="H97" t="s">
        <v>222</v>
      </c>
      <c r="I97" s="1" t="s">
        <v>25</v>
      </c>
      <c r="J97" s="1" t="s">
        <v>25</v>
      </c>
      <c r="K97" s="1" t="s">
        <v>26</v>
      </c>
      <c r="L97" s="1" t="s">
        <v>25</v>
      </c>
      <c r="M97" s="1" t="s">
        <v>26</v>
      </c>
      <c r="N97" s="1" t="s">
        <v>25</v>
      </c>
      <c r="O97" s="1" t="s">
        <v>25</v>
      </c>
      <c r="P97" s="1" t="s">
        <v>26</v>
      </c>
      <c r="Q97" s="1" t="s">
        <v>25</v>
      </c>
      <c r="R97" s="1" t="s">
        <v>26</v>
      </c>
      <c r="S97" s="2">
        <v>0</v>
      </c>
    </row>
    <row r="98" spans="1:19" x14ac:dyDescent="0.3">
      <c r="A98" t="s">
        <v>223</v>
      </c>
      <c r="B98" s="5" t="e" cm="1">
        <f t="array" ref="B98">MAX(#REF!,MIN(#REF!,#REF!+SUMPRODUCT(--(FoodData[[#This Row],[Healthy]:[Refined]]="Yes"),#REF!)+FoodData[[#This Row],[Adjust]]))</f>
        <v>#REF!</v>
      </c>
      <c r="C98" s="1" t="e">
        <f>LOOKUP(FoodData[[#This Row],[Score]],#REF!,#REF!)</f>
        <v>#REF!</v>
      </c>
      <c r="D98" t="s">
        <v>159</v>
      </c>
      <c r="E98" t="s">
        <v>63</v>
      </c>
      <c r="F98" t="s">
        <v>22</v>
      </c>
      <c r="G98" t="s">
        <v>29</v>
      </c>
      <c r="H98" t="s">
        <v>224</v>
      </c>
      <c r="I98" s="1" t="s">
        <v>25</v>
      </c>
      <c r="J98" s="1" t="s">
        <v>25</v>
      </c>
      <c r="K98" s="1" t="s">
        <v>26</v>
      </c>
      <c r="L98" s="1" t="s">
        <v>26</v>
      </c>
      <c r="M98" s="1" t="s">
        <v>25</v>
      </c>
      <c r="N98" s="1" t="s">
        <v>25</v>
      </c>
      <c r="O98" s="1" t="s">
        <v>25</v>
      </c>
      <c r="P98" s="1" t="s">
        <v>26</v>
      </c>
      <c r="Q98" s="1" t="s">
        <v>26</v>
      </c>
      <c r="R98" s="1" t="s">
        <v>25</v>
      </c>
      <c r="S98" s="2">
        <v>0</v>
      </c>
    </row>
    <row r="99" spans="1:19" x14ac:dyDescent="0.3">
      <c r="A99" t="s">
        <v>225</v>
      </c>
      <c r="B99" s="5" t="e" cm="1">
        <f t="array" ref="B99">MAX(#REF!,MIN(#REF!,#REF!+SUMPRODUCT(--(FoodData[[#This Row],[Healthy]:[Refined]]="Yes"),#REF!)+FoodData[[#This Row],[Adjust]]))</f>
        <v>#REF!</v>
      </c>
      <c r="C99" s="1" t="e">
        <f>LOOKUP(FoodData[[#This Row],[Score]],#REF!,#REF!)</f>
        <v>#REF!</v>
      </c>
      <c r="D99" t="s">
        <v>159</v>
      </c>
      <c r="E99" t="s">
        <v>63</v>
      </c>
      <c r="F99" t="s">
        <v>22</v>
      </c>
      <c r="G99" t="s">
        <v>23</v>
      </c>
      <c r="H99" t="s">
        <v>226</v>
      </c>
      <c r="I99" s="1" t="s">
        <v>25</v>
      </c>
      <c r="J99" s="1" t="s">
        <v>25</v>
      </c>
      <c r="K99" s="1" t="s">
        <v>26</v>
      </c>
      <c r="L99" s="1" t="s">
        <v>25</v>
      </c>
      <c r="M99" s="1" t="s">
        <v>25</v>
      </c>
      <c r="N99" s="1" t="s">
        <v>26</v>
      </c>
      <c r="O99" s="1" t="s">
        <v>25</v>
      </c>
      <c r="P99" s="1" t="s">
        <v>26</v>
      </c>
      <c r="Q99" s="1" t="s">
        <v>25</v>
      </c>
      <c r="R99" s="1" t="s">
        <v>25</v>
      </c>
      <c r="S99" s="2">
        <v>0</v>
      </c>
    </row>
    <row r="100" spans="1:19" x14ac:dyDescent="0.3">
      <c r="A100" t="s">
        <v>227</v>
      </c>
      <c r="B100" s="5" t="e" cm="1">
        <f t="array" ref="B100">MAX(#REF!,MIN(#REF!,#REF!+SUMPRODUCT(--(FoodData[[#This Row],[Healthy]:[Refined]]="Yes"),#REF!)+FoodData[[#This Row],[Adjust]]))</f>
        <v>#REF!</v>
      </c>
      <c r="C100" s="1" t="e">
        <f>LOOKUP(FoodData[[#This Row],[Score]],#REF!,#REF!)</f>
        <v>#REF!</v>
      </c>
      <c r="D100" t="s">
        <v>159</v>
      </c>
      <c r="E100" t="s">
        <v>63</v>
      </c>
      <c r="F100" t="s">
        <v>60</v>
      </c>
      <c r="G100" t="s">
        <v>23</v>
      </c>
      <c r="H100" t="s">
        <v>228</v>
      </c>
      <c r="I100" s="1" t="s">
        <v>25</v>
      </c>
      <c r="J100" s="1" t="s">
        <v>26</v>
      </c>
      <c r="K100" s="1" t="s">
        <v>26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  <c r="S100" s="2">
        <v>0</v>
      </c>
    </row>
    <row r="101" spans="1:19" x14ac:dyDescent="0.3">
      <c r="A101" t="s">
        <v>229</v>
      </c>
      <c r="B101" s="5" t="e" cm="1">
        <f t="array" ref="B101">MAX(#REF!,MIN(#REF!,#REF!+SUMPRODUCT(--(FoodData[[#This Row],[Healthy]:[Refined]]="Yes"),#REF!)+FoodData[[#This Row],[Adjust]]))</f>
        <v>#REF!</v>
      </c>
      <c r="C101" s="1" t="e">
        <f>LOOKUP(FoodData[[#This Row],[Score]],#REF!,#REF!)</f>
        <v>#REF!</v>
      </c>
      <c r="D101" t="s">
        <v>159</v>
      </c>
      <c r="E101" t="s">
        <v>63</v>
      </c>
      <c r="F101" t="s">
        <v>60</v>
      </c>
      <c r="G101" t="s">
        <v>23</v>
      </c>
      <c r="H101" t="s">
        <v>230</v>
      </c>
      <c r="I101" s="1" t="s">
        <v>25</v>
      </c>
      <c r="J101" s="1" t="s">
        <v>25</v>
      </c>
      <c r="K101" s="1" t="s">
        <v>26</v>
      </c>
      <c r="L101" s="1" t="s">
        <v>25</v>
      </c>
      <c r="M101" s="1" t="s">
        <v>25</v>
      </c>
      <c r="N101" s="1" t="s">
        <v>26</v>
      </c>
      <c r="O101" s="1" t="s">
        <v>25</v>
      </c>
      <c r="P101" s="1" t="s">
        <v>26</v>
      </c>
      <c r="Q101" s="1" t="s">
        <v>25</v>
      </c>
      <c r="R101" s="1" t="s">
        <v>25</v>
      </c>
      <c r="S101" s="2">
        <v>0</v>
      </c>
    </row>
    <row r="102" spans="1:19" x14ac:dyDescent="0.3">
      <c r="A102" t="s">
        <v>231</v>
      </c>
      <c r="B102" s="5" t="e" cm="1">
        <f t="array" ref="B102">MAX(#REF!,MIN(#REF!,#REF!+SUMPRODUCT(--(FoodData[[#This Row],[Healthy]:[Refined]]="Yes"),#REF!)+FoodData[[#This Row],[Adjust]]))</f>
        <v>#REF!</v>
      </c>
      <c r="C102" s="1" t="e">
        <f>LOOKUP(FoodData[[#This Row],[Score]],#REF!,#REF!)</f>
        <v>#REF!</v>
      </c>
      <c r="D102" t="s">
        <v>159</v>
      </c>
      <c r="E102" t="s">
        <v>63</v>
      </c>
      <c r="F102" t="s">
        <v>22</v>
      </c>
      <c r="G102" t="s">
        <v>23</v>
      </c>
      <c r="H102" t="s">
        <v>232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26</v>
      </c>
      <c r="N102" s="1" t="s">
        <v>26</v>
      </c>
      <c r="O102" s="1" t="s">
        <v>25</v>
      </c>
      <c r="P102" s="1" t="s">
        <v>26</v>
      </c>
      <c r="Q102" s="1" t="s">
        <v>25</v>
      </c>
      <c r="R102" s="1" t="s">
        <v>26</v>
      </c>
      <c r="S102" s="2">
        <v>0</v>
      </c>
    </row>
    <row r="103" spans="1:19" x14ac:dyDescent="0.3">
      <c r="A103" t="s">
        <v>233</v>
      </c>
      <c r="B103" s="5" t="e" cm="1">
        <f t="array" ref="B103">MAX(#REF!,MIN(#REF!,#REF!+SUMPRODUCT(--(FoodData[[#This Row],[Healthy]:[Refined]]="Yes"),#REF!)+FoodData[[#This Row],[Adjust]]))</f>
        <v>#REF!</v>
      </c>
      <c r="C103" s="1" t="e">
        <f>LOOKUP(FoodData[[#This Row],[Score]],#REF!,#REF!)</f>
        <v>#REF!</v>
      </c>
      <c r="D103" t="s">
        <v>159</v>
      </c>
      <c r="E103" t="s">
        <v>63</v>
      </c>
      <c r="F103" t="s">
        <v>22</v>
      </c>
      <c r="G103" t="s">
        <v>162</v>
      </c>
      <c r="H103" t="s">
        <v>234</v>
      </c>
      <c r="I103" s="1" t="s">
        <v>26</v>
      </c>
      <c r="J103" s="1" t="s">
        <v>26</v>
      </c>
      <c r="K103" s="1" t="s">
        <v>25</v>
      </c>
      <c r="L103" s="1" t="s">
        <v>26</v>
      </c>
      <c r="M103" s="1" t="s">
        <v>25</v>
      </c>
      <c r="N103" s="1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  <c r="S103" s="2">
        <v>0</v>
      </c>
    </row>
    <row r="104" spans="1:19" x14ac:dyDescent="0.3">
      <c r="A104" t="s">
        <v>235</v>
      </c>
      <c r="B104" s="5" t="e" cm="1">
        <f t="array" ref="B104">MAX(#REF!,MIN(#REF!,#REF!+SUMPRODUCT(--(FoodData[[#This Row],[Healthy]:[Refined]]="Yes"),#REF!)+FoodData[[#This Row],[Adjust]]))</f>
        <v>#REF!</v>
      </c>
      <c r="C104" s="1" t="e">
        <f>LOOKUP(FoodData[[#This Row],[Score]],#REF!,#REF!)</f>
        <v>#REF!</v>
      </c>
      <c r="D104" t="s">
        <v>159</v>
      </c>
      <c r="E104" t="s">
        <v>63</v>
      </c>
      <c r="F104" t="s">
        <v>22</v>
      </c>
      <c r="G104" t="s">
        <v>23</v>
      </c>
      <c r="H104" t="s">
        <v>236</v>
      </c>
      <c r="I104" s="1" t="s">
        <v>25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26</v>
      </c>
      <c r="O104" s="1" t="s">
        <v>25</v>
      </c>
      <c r="P104" s="1" t="s">
        <v>26</v>
      </c>
      <c r="Q104" s="1" t="s">
        <v>25</v>
      </c>
      <c r="R104" s="1" t="s">
        <v>25</v>
      </c>
      <c r="S104" s="2">
        <v>0</v>
      </c>
    </row>
    <row r="105" spans="1:19" x14ac:dyDescent="0.3">
      <c r="A105" t="s">
        <v>237</v>
      </c>
      <c r="B105" s="5" t="e" cm="1">
        <f t="array" ref="B105">MAX(#REF!,MIN(#REF!,#REF!+SUMPRODUCT(--(FoodData[[#This Row],[Healthy]:[Refined]]="Yes"),#REF!)+FoodData[[#This Row],[Adjust]]))</f>
        <v>#REF!</v>
      </c>
      <c r="C105" s="1" t="e">
        <f>LOOKUP(FoodData[[#This Row],[Score]],#REF!,#REF!)</f>
        <v>#REF!</v>
      </c>
      <c r="D105" t="s">
        <v>159</v>
      </c>
      <c r="E105" t="s">
        <v>63</v>
      </c>
      <c r="F105" t="s">
        <v>22</v>
      </c>
      <c r="G105" t="s">
        <v>23</v>
      </c>
      <c r="H105" t="s">
        <v>238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26</v>
      </c>
      <c r="O105" s="1" t="s">
        <v>25</v>
      </c>
      <c r="P105" s="1" t="s">
        <v>26</v>
      </c>
      <c r="Q105" s="1" t="s">
        <v>25</v>
      </c>
      <c r="R105" s="1" t="s">
        <v>25</v>
      </c>
      <c r="S105" s="2">
        <v>0</v>
      </c>
    </row>
    <row r="106" spans="1:19" x14ac:dyDescent="0.3">
      <c r="A106" t="s">
        <v>239</v>
      </c>
      <c r="B106" s="5" t="e" cm="1">
        <f t="array" ref="B106">MAX(#REF!,MIN(#REF!,#REF!+SUMPRODUCT(--(FoodData[[#This Row],[Healthy]:[Refined]]="Yes"),#REF!)+FoodData[[#This Row],[Adjust]]))</f>
        <v>#REF!</v>
      </c>
      <c r="C106" s="1" t="e">
        <f>LOOKUP(FoodData[[#This Row],[Score]],#REF!,#REF!)</f>
        <v>#REF!</v>
      </c>
      <c r="D106" t="s">
        <v>159</v>
      </c>
      <c r="E106" t="s">
        <v>63</v>
      </c>
      <c r="F106" t="s">
        <v>22</v>
      </c>
      <c r="G106" t="s">
        <v>23</v>
      </c>
      <c r="H106" t="s">
        <v>240</v>
      </c>
      <c r="I106" s="1" t="s">
        <v>25</v>
      </c>
      <c r="J106" s="1" t="s">
        <v>25</v>
      </c>
      <c r="K106" s="1" t="s">
        <v>25</v>
      </c>
      <c r="L106" s="1" t="s">
        <v>25</v>
      </c>
      <c r="M106" s="1" t="s">
        <v>26</v>
      </c>
      <c r="N106" s="1" t="s">
        <v>25</v>
      </c>
      <c r="O106" s="1" t="s">
        <v>25</v>
      </c>
      <c r="P106" s="1" t="s">
        <v>26</v>
      </c>
      <c r="Q106" s="1" t="s">
        <v>25</v>
      </c>
      <c r="R106" s="1" t="s">
        <v>26</v>
      </c>
      <c r="S106" s="2">
        <v>0</v>
      </c>
    </row>
    <row r="107" spans="1:19" x14ac:dyDescent="0.3">
      <c r="A107" t="s">
        <v>241</v>
      </c>
      <c r="B107" s="5" t="e" cm="1">
        <f t="array" ref="B107">MAX(#REF!,MIN(#REF!,#REF!+SUMPRODUCT(--(FoodData[[#This Row],[Healthy]:[Refined]]="Yes"),#REF!)+FoodData[[#This Row],[Adjust]]))</f>
        <v>#REF!</v>
      </c>
      <c r="C107" s="1" t="e">
        <f>LOOKUP(FoodData[[#This Row],[Score]],#REF!,#REF!)</f>
        <v>#REF!</v>
      </c>
      <c r="D107" t="s">
        <v>159</v>
      </c>
      <c r="E107" t="s">
        <v>63</v>
      </c>
      <c r="F107" t="s">
        <v>22</v>
      </c>
      <c r="G107" t="s">
        <v>23</v>
      </c>
      <c r="H107" t="s">
        <v>242</v>
      </c>
      <c r="I107" s="1" t="s">
        <v>25</v>
      </c>
      <c r="J107" s="1" t="s">
        <v>26</v>
      </c>
      <c r="K107" s="1" t="s">
        <v>25</v>
      </c>
      <c r="L107" s="1" t="s">
        <v>26</v>
      </c>
      <c r="M107" s="1" t="s">
        <v>25</v>
      </c>
      <c r="N107" s="1" t="s">
        <v>26</v>
      </c>
      <c r="O107" s="1" t="s">
        <v>25</v>
      </c>
      <c r="P107" s="1" t="s">
        <v>25</v>
      </c>
      <c r="Q107" s="1" t="s">
        <v>25</v>
      </c>
      <c r="R107" s="1" t="s">
        <v>25</v>
      </c>
      <c r="S107" s="2">
        <v>0</v>
      </c>
    </row>
    <row r="108" spans="1:19" x14ac:dyDescent="0.3">
      <c r="A108" t="s">
        <v>243</v>
      </c>
      <c r="B108" s="5" t="e" cm="1">
        <f t="array" ref="B108">MAX(#REF!,MIN(#REF!,#REF!+SUMPRODUCT(--(FoodData[[#This Row],[Healthy]:[Refined]]="Yes"),#REF!)+FoodData[[#This Row],[Adjust]]))</f>
        <v>#REF!</v>
      </c>
      <c r="C108" s="1" t="e">
        <f>LOOKUP(FoodData[[#This Row],[Score]],#REF!,#REF!)</f>
        <v>#REF!</v>
      </c>
      <c r="D108" t="s">
        <v>159</v>
      </c>
      <c r="E108" t="s">
        <v>63</v>
      </c>
      <c r="F108" t="s">
        <v>22</v>
      </c>
      <c r="G108" t="s">
        <v>23</v>
      </c>
      <c r="H108" t="s">
        <v>244</v>
      </c>
      <c r="I108" s="1" t="s">
        <v>25</v>
      </c>
      <c r="J108" s="1" t="s">
        <v>25</v>
      </c>
      <c r="K108" s="1" t="s">
        <v>25</v>
      </c>
      <c r="L108" s="1" t="s">
        <v>26</v>
      </c>
      <c r="M108" s="1" t="s">
        <v>25</v>
      </c>
      <c r="N108" s="1" t="s">
        <v>26</v>
      </c>
      <c r="O108" s="1" t="s">
        <v>25</v>
      </c>
      <c r="P108" s="1" t="s">
        <v>25</v>
      </c>
      <c r="Q108" s="1" t="s">
        <v>25</v>
      </c>
      <c r="R108" s="1" t="s">
        <v>25</v>
      </c>
      <c r="S108" s="2">
        <v>0</v>
      </c>
    </row>
    <row r="109" spans="1:19" x14ac:dyDescent="0.3">
      <c r="A109" t="s">
        <v>245</v>
      </c>
      <c r="B109" s="5" t="e" cm="1">
        <f t="array" ref="B109">MAX(#REF!,MIN(#REF!,#REF!+SUMPRODUCT(--(FoodData[[#This Row],[Healthy]:[Refined]]="Yes"),#REF!)+FoodData[[#This Row],[Adjust]]))</f>
        <v>#REF!</v>
      </c>
      <c r="C109" s="1" t="e">
        <f>LOOKUP(FoodData[[#This Row],[Score]],#REF!,#REF!)</f>
        <v>#REF!</v>
      </c>
      <c r="D109" t="s">
        <v>159</v>
      </c>
      <c r="E109" t="s">
        <v>63</v>
      </c>
      <c r="F109" t="s">
        <v>22</v>
      </c>
      <c r="G109" t="s">
        <v>23</v>
      </c>
      <c r="H109" t="s">
        <v>246</v>
      </c>
      <c r="I109" s="1" t="s">
        <v>25</v>
      </c>
      <c r="J109" s="1" t="s">
        <v>25</v>
      </c>
      <c r="K109" s="1" t="s">
        <v>26</v>
      </c>
      <c r="L109" s="1" t="s">
        <v>26</v>
      </c>
      <c r="M109" s="1" t="s">
        <v>25</v>
      </c>
      <c r="N109" s="1" t="s">
        <v>25</v>
      </c>
      <c r="O109" s="1" t="s">
        <v>25</v>
      </c>
      <c r="P109" s="1" t="s">
        <v>26</v>
      </c>
      <c r="Q109" s="1" t="s">
        <v>26</v>
      </c>
      <c r="R109" s="1" t="s">
        <v>26</v>
      </c>
      <c r="S109" s="2">
        <v>0</v>
      </c>
    </row>
    <row r="110" spans="1:19" x14ac:dyDescent="0.3">
      <c r="A110" t="s">
        <v>247</v>
      </c>
      <c r="B110" s="5" t="e" cm="1">
        <f t="array" ref="B110">MAX(#REF!,MIN(#REF!,#REF!+SUMPRODUCT(--(FoodData[[#This Row],[Healthy]:[Refined]]="Yes"),#REF!)+FoodData[[#This Row],[Adjust]]))</f>
        <v>#REF!</v>
      </c>
      <c r="C110" s="1" t="e">
        <f>LOOKUP(FoodData[[#This Row],[Score]],#REF!,#REF!)</f>
        <v>#REF!</v>
      </c>
      <c r="D110" t="s">
        <v>159</v>
      </c>
      <c r="E110" t="s">
        <v>63</v>
      </c>
      <c r="F110" t="s">
        <v>22</v>
      </c>
      <c r="G110" t="s">
        <v>23</v>
      </c>
      <c r="H110" t="s">
        <v>248</v>
      </c>
      <c r="I110" s="1" t="s">
        <v>25</v>
      </c>
      <c r="J110" s="1" t="s">
        <v>25</v>
      </c>
      <c r="K110" s="1" t="s">
        <v>26</v>
      </c>
      <c r="L110" s="1" t="s">
        <v>25</v>
      </c>
      <c r="M110" s="1" t="s">
        <v>26</v>
      </c>
      <c r="N110" s="1" t="s">
        <v>25</v>
      </c>
      <c r="O110" s="1" t="s">
        <v>25</v>
      </c>
      <c r="P110" s="1" t="s">
        <v>26</v>
      </c>
      <c r="Q110" s="1" t="s">
        <v>25</v>
      </c>
      <c r="R110" s="1" t="s">
        <v>26</v>
      </c>
      <c r="S110" s="2">
        <v>0</v>
      </c>
    </row>
    <row r="111" spans="1:19" x14ac:dyDescent="0.3">
      <c r="A111" t="s">
        <v>249</v>
      </c>
      <c r="B111" s="5" t="e" cm="1">
        <f t="array" ref="B111">MAX(#REF!,MIN(#REF!,#REF!+SUMPRODUCT(--(FoodData[[#This Row],[Healthy]:[Refined]]="Yes"),#REF!)+FoodData[[#This Row],[Adjust]]))</f>
        <v>#REF!</v>
      </c>
      <c r="C111" s="1" t="e">
        <f>LOOKUP(FoodData[[#This Row],[Score]],#REF!,#REF!)</f>
        <v>#REF!</v>
      </c>
      <c r="D111" t="s">
        <v>159</v>
      </c>
      <c r="E111" t="s">
        <v>63</v>
      </c>
      <c r="F111" t="s">
        <v>22</v>
      </c>
      <c r="G111" t="s">
        <v>23</v>
      </c>
      <c r="H111" t="s">
        <v>250</v>
      </c>
      <c r="I111" s="1" t="s">
        <v>25</v>
      </c>
      <c r="J111" s="1" t="s">
        <v>25</v>
      </c>
      <c r="K111" s="1" t="s">
        <v>25</v>
      </c>
      <c r="L111" s="1" t="s">
        <v>25</v>
      </c>
      <c r="M111" s="1" t="s">
        <v>25</v>
      </c>
      <c r="N111" s="1" t="s">
        <v>26</v>
      </c>
      <c r="O111" s="1" t="s">
        <v>25</v>
      </c>
      <c r="P111" s="1" t="s">
        <v>26</v>
      </c>
      <c r="Q111" s="1" t="s">
        <v>25</v>
      </c>
      <c r="R111" s="1" t="s">
        <v>26</v>
      </c>
      <c r="S111" s="2">
        <v>0</v>
      </c>
    </row>
    <row r="112" spans="1:19" x14ac:dyDescent="0.3">
      <c r="A112" t="s">
        <v>251</v>
      </c>
      <c r="B112" s="5" t="e" cm="1">
        <f t="array" ref="B112">MAX(#REF!,MIN(#REF!,#REF!+SUMPRODUCT(--(FoodData[[#This Row],[Healthy]:[Refined]]="Yes"),#REF!)+FoodData[[#This Row],[Adjust]]))</f>
        <v>#REF!</v>
      </c>
      <c r="C112" s="1" t="e">
        <f>LOOKUP(FoodData[[#This Row],[Score]],#REF!,#REF!)</f>
        <v>#REF!</v>
      </c>
      <c r="D112" t="s">
        <v>159</v>
      </c>
      <c r="E112" t="s">
        <v>28</v>
      </c>
      <c r="F112" t="s">
        <v>22</v>
      </c>
      <c r="G112" t="s">
        <v>23</v>
      </c>
      <c r="H112" t="s">
        <v>252</v>
      </c>
      <c r="I112" s="1" t="s">
        <v>25</v>
      </c>
      <c r="J112" s="1" t="s">
        <v>25</v>
      </c>
      <c r="K112" s="1" t="s">
        <v>26</v>
      </c>
      <c r="L112" s="1" t="s">
        <v>25</v>
      </c>
      <c r="M112" s="1" t="s">
        <v>25</v>
      </c>
      <c r="N112" s="1" t="s">
        <v>25</v>
      </c>
      <c r="O112" s="1" t="s">
        <v>25</v>
      </c>
      <c r="P112" s="1" t="s">
        <v>26</v>
      </c>
      <c r="Q112" s="1" t="s">
        <v>26</v>
      </c>
      <c r="R112" s="1" t="s">
        <v>25</v>
      </c>
      <c r="S112" s="2">
        <v>0</v>
      </c>
    </row>
    <row r="113" spans="1:19" x14ac:dyDescent="0.3">
      <c r="A113" t="s">
        <v>253</v>
      </c>
      <c r="B113" s="5" t="e" cm="1">
        <f t="array" ref="B113">MAX(#REF!,MIN(#REF!,#REF!+SUMPRODUCT(--(FoodData[[#This Row],[Healthy]:[Refined]]="Yes"),#REF!)+FoodData[[#This Row],[Adjust]]))</f>
        <v>#REF!</v>
      </c>
      <c r="C113" s="1" t="e">
        <f>LOOKUP(FoodData[[#This Row],[Score]],#REF!,#REF!)</f>
        <v>#REF!</v>
      </c>
      <c r="D113" t="s">
        <v>159</v>
      </c>
      <c r="E113" t="s">
        <v>63</v>
      </c>
      <c r="F113" t="s">
        <v>22</v>
      </c>
      <c r="G113" t="s">
        <v>23</v>
      </c>
      <c r="H113" t="s">
        <v>254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26</v>
      </c>
      <c r="O113" s="1" t="s">
        <v>25</v>
      </c>
      <c r="P113" s="1" t="s">
        <v>26</v>
      </c>
      <c r="Q113" s="1" t="s">
        <v>25</v>
      </c>
      <c r="R113" s="1" t="s">
        <v>25</v>
      </c>
      <c r="S113" s="2">
        <v>0</v>
      </c>
    </row>
    <row r="114" spans="1:19" x14ac:dyDescent="0.3">
      <c r="A114" t="s">
        <v>255</v>
      </c>
      <c r="B114" s="5" t="e" cm="1">
        <f t="array" ref="B114">MAX(#REF!,MIN(#REF!,#REF!+SUMPRODUCT(--(FoodData[[#This Row],[Healthy]:[Refined]]="Yes"),#REF!)+FoodData[[#This Row],[Adjust]]))</f>
        <v>#REF!</v>
      </c>
      <c r="C114" s="1" t="e">
        <f>LOOKUP(FoodData[[#This Row],[Score]],#REF!,#REF!)</f>
        <v>#REF!</v>
      </c>
      <c r="D114" t="s">
        <v>159</v>
      </c>
      <c r="E114" t="s">
        <v>63</v>
      </c>
      <c r="F114" t="s">
        <v>22</v>
      </c>
      <c r="G114" t="s">
        <v>23</v>
      </c>
      <c r="H114" t="s">
        <v>256</v>
      </c>
      <c r="I114" s="1" t="s">
        <v>25</v>
      </c>
      <c r="J114" s="1" t="s">
        <v>25</v>
      </c>
      <c r="K114" s="1" t="s">
        <v>25</v>
      </c>
      <c r="L114" s="1" t="s">
        <v>26</v>
      </c>
      <c r="M114" s="1" t="s">
        <v>25</v>
      </c>
      <c r="N114" s="1" t="s">
        <v>26</v>
      </c>
      <c r="O114" s="1" t="s">
        <v>25</v>
      </c>
      <c r="P114" s="1" t="s">
        <v>25</v>
      </c>
      <c r="Q114" s="1" t="s">
        <v>25</v>
      </c>
      <c r="R114" s="1" t="s">
        <v>25</v>
      </c>
      <c r="S114" s="2">
        <v>0</v>
      </c>
    </row>
    <row r="115" spans="1:19" x14ac:dyDescent="0.3">
      <c r="A115" t="s">
        <v>257</v>
      </c>
      <c r="B115" s="5" t="e" cm="1">
        <f t="array" ref="B115">MAX(#REF!,MIN(#REF!,#REF!+SUMPRODUCT(--(FoodData[[#This Row],[Healthy]:[Refined]]="Yes"),#REF!)+FoodData[[#This Row],[Adjust]]))</f>
        <v>#REF!</v>
      </c>
      <c r="C115" s="1" t="e">
        <f>LOOKUP(FoodData[[#This Row],[Score]],#REF!,#REF!)</f>
        <v>#REF!</v>
      </c>
      <c r="D115" t="s">
        <v>159</v>
      </c>
      <c r="E115" t="s">
        <v>63</v>
      </c>
      <c r="F115" t="s">
        <v>60</v>
      </c>
      <c r="G115" t="s">
        <v>23</v>
      </c>
      <c r="H115" t="s">
        <v>258</v>
      </c>
      <c r="I115" s="1" t="s">
        <v>25</v>
      </c>
      <c r="J115" s="1" t="s">
        <v>25</v>
      </c>
      <c r="K115" s="1" t="s">
        <v>26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26</v>
      </c>
      <c r="Q115" s="1" t="s">
        <v>26</v>
      </c>
      <c r="R115" s="1" t="s">
        <v>26</v>
      </c>
      <c r="S115" s="2">
        <v>0</v>
      </c>
    </row>
    <row r="116" spans="1:19" x14ac:dyDescent="0.3">
      <c r="A116" t="s">
        <v>259</v>
      </c>
      <c r="B116" s="5" t="e" cm="1">
        <f t="array" ref="B116">MAX(#REF!,MIN(#REF!,#REF!+SUMPRODUCT(--(FoodData[[#This Row],[Healthy]:[Refined]]="Yes"),#REF!)+FoodData[[#This Row],[Adjust]]))</f>
        <v>#REF!</v>
      </c>
      <c r="C116" s="1" t="e">
        <f>LOOKUP(FoodData[[#This Row],[Score]],#REF!,#REF!)</f>
        <v>#REF!</v>
      </c>
      <c r="D116" t="s">
        <v>159</v>
      </c>
      <c r="E116" t="s">
        <v>63</v>
      </c>
      <c r="F116" t="s">
        <v>22</v>
      </c>
      <c r="G116" t="s">
        <v>23</v>
      </c>
      <c r="H116" t="s">
        <v>260</v>
      </c>
      <c r="I116" s="1" t="s">
        <v>25</v>
      </c>
      <c r="J116" s="1" t="s">
        <v>25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26</v>
      </c>
      <c r="Q116" s="1" t="s">
        <v>26</v>
      </c>
      <c r="R116" s="1" t="s">
        <v>26</v>
      </c>
      <c r="S116" s="2">
        <v>0</v>
      </c>
    </row>
    <row r="117" spans="1:19" x14ac:dyDescent="0.3">
      <c r="A117" t="s">
        <v>261</v>
      </c>
      <c r="B117" s="5" t="e" cm="1">
        <f t="array" ref="B117">MAX(#REF!,MIN(#REF!,#REF!+SUMPRODUCT(--(FoodData[[#This Row],[Healthy]:[Refined]]="Yes"),#REF!)+FoodData[[#This Row],[Adjust]]))</f>
        <v>#REF!</v>
      </c>
      <c r="C117" s="1" t="e">
        <f>LOOKUP(FoodData[[#This Row],[Score]],#REF!,#REF!)</f>
        <v>#REF!</v>
      </c>
      <c r="D117" t="s">
        <v>159</v>
      </c>
      <c r="E117" t="s">
        <v>63</v>
      </c>
      <c r="F117" t="s">
        <v>22</v>
      </c>
      <c r="G117" t="s">
        <v>23</v>
      </c>
      <c r="H117" t="s">
        <v>262</v>
      </c>
      <c r="I117" s="1" t="s">
        <v>25</v>
      </c>
      <c r="J117" s="1" t="s">
        <v>25</v>
      </c>
      <c r="K117" s="1" t="s">
        <v>26</v>
      </c>
      <c r="L117" s="1" t="s">
        <v>25</v>
      </c>
      <c r="M117" s="1" t="s">
        <v>26</v>
      </c>
      <c r="N117" s="1" t="s">
        <v>26</v>
      </c>
      <c r="O117" s="1" t="s">
        <v>25</v>
      </c>
      <c r="P117" s="1" t="s">
        <v>26</v>
      </c>
      <c r="Q117" s="1" t="s">
        <v>25</v>
      </c>
      <c r="R117" s="1" t="s">
        <v>26</v>
      </c>
      <c r="S117" s="2">
        <v>0</v>
      </c>
    </row>
    <row r="118" spans="1:19" x14ac:dyDescent="0.3">
      <c r="A118" t="s">
        <v>263</v>
      </c>
      <c r="B118" s="5" t="e" cm="1">
        <f t="array" ref="B118">MAX(#REF!,MIN(#REF!,#REF!+SUMPRODUCT(--(FoodData[[#This Row],[Healthy]:[Refined]]="Yes"),#REF!)+FoodData[[#This Row],[Adjust]]))</f>
        <v>#REF!</v>
      </c>
      <c r="C118" s="1" t="e">
        <f>LOOKUP(FoodData[[#This Row],[Score]],#REF!,#REF!)</f>
        <v>#REF!</v>
      </c>
      <c r="D118" t="s">
        <v>159</v>
      </c>
      <c r="E118" t="s">
        <v>63</v>
      </c>
      <c r="F118" t="s">
        <v>22</v>
      </c>
      <c r="G118" t="s">
        <v>23</v>
      </c>
      <c r="H118" t="s">
        <v>264</v>
      </c>
      <c r="I118" s="1" t="s">
        <v>25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26</v>
      </c>
      <c r="Q118" s="1" t="s">
        <v>25</v>
      </c>
      <c r="R118" s="1" t="s">
        <v>26</v>
      </c>
      <c r="S118" s="2">
        <v>0</v>
      </c>
    </row>
    <row r="119" spans="1:19" x14ac:dyDescent="0.3">
      <c r="A119" t="s">
        <v>265</v>
      </c>
      <c r="B119" s="5" t="e" cm="1">
        <f t="array" ref="B119">MAX(#REF!,MIN(#REF!,#REF!+SUMPRODUCT(--(FoodData[[#This Row],[Healthy]:[Refined]]="Yes"),#REF!)+FoodData[[#This Row],[Adjust]]))</f>
        <v>#REF!</v>
      </c>
      <c r="C119" s="1" t="e">
        <f>LOOKUP(FoodData[[#This Row],[Score]],#REF!,#REF!)</f>
        <v>#REF!</v>
      </c>
      <c r="D119" t="s">
        <v>159</v>
      </c>
      <c r="E119" t="s">
        <v>63</v>
      </c>
      <c r="F119" t="s">
        <v>22</v>
      </c>
      <c r="G119" t="s">
        <v>23</v>
      </c>
      <c r="H119" t="s">
        <v>266</v>
      </c>
      <c r="I119" s="1" t="s">
        <v>25</v>
      </c>
      <c r="J119" s="1" t="s">
        <v>25</v>
      </c>
      <c r="K119" s="1" t="s">
        <v>26</v>
      </c>
      <c r="L119" s="1" t="s">
        <v>25</v>
      </c>
      <c r="M119" s="1" t="s">
        <v>25</v>
      </c>
      <c r="N119" s="1" t="s">
        <v>26</v>
      </c>
      <c r="O119" s="1" t="s">
        <v>25</v>
      </c>
      <c r="P119" s="1" t="s">
        <v>26</v>
      </c>
      <c r="Q119" s="1" t="s">
        <v>26</v>
      </c>
      <c r="R119" s="1" t="s">
        <v>25</v>
      </c>
      <c r="S119" s="2">
        <v>0</v>
      </c>
    </row>
    <row r="120" spans="1:19" x14ac:dyDescent="0.3">
      <c r="A120" t="s">
        <v>267</v>
      </c>
      <c r="B120" s="5" t="e" cm="1">
        <f t="array" ref="B120">MAX(#REF!,MIN(#REF!,#REF!+SUMPRODUCT(--(FoodData[[#This Row],[Healthy]:[Refined]]="Yes"),#REF!)+FoodData[[#This Row],[Adjust]]))</f>
        <v>#REF!</v>
      </c>
      <c r="C120" s="1" t="e">
        <f>LOOKUP(FoodData[[#This Row],[Score]],#REF!,#REF!)</f>
        <v>#REF!</v>
      </c>
      <c r="D120" t="s">
        <v>159</v>
      </c>
      <c r="E120" t="s">
        <v>63</v>
      </c>
      <c r="F120" t="s">
        <v>22</v>
      </c>
      <c r="G120" t="s">
        <v>23</v>
      </c>
      <c r="H120" t="s">
        <v>268</v>
      </c>
      <c r="I120" s="1" t="s">
        <v>25</v>
      </c>
      <c r="J120" s="1" t="s">
        <v>25</v>
      </c>
      <c r="K120" s="1" t="s">
        <v>26</v>
      </c>
      <c r="L120" s="1" t="s">
        <v>25</v>
      </c>
      <c r="M120" s="1" t="s">
        <v>25</v>
      </c>
      <c r="N120" s="1" t="s">
        <v>26</v>
      </c>
      <c r="O120" s="1" t="s">
        <v>25</v>
      </c>
      <c r="P120" s="1" t="s">
        <v>26</v>
      </c>
      <c r="Q120" s="1" t="s">
        <v>25</v>
      </c>
      <c r="R120" s="1" t="s">
        <v>25</v>
      </c>
      <c r="S120" s="2">
        <v>0</v>
      </c>
    </row>
    <row r="121" spans="1:19" x14ac:dyDescent="0.3">
      <c r="A121" t="s">
        <v>269</v>
      </c>
      <c r="B121" s="5" t="e" cm="1">
        <f t="array" ref="B121">MAX(#REF!,MIN(#REF!,#REF!+SUMPRODUCT(--(FoodData[[#This Row],[Healthy]:[Refined]]="Yes"),#REF!)+FoodData[[#This Row],[Adjust]]))</f>
        <v>#REF!</v>
      </c>
      <c r="C121" s="1" t="e">
        <f>LOOKUP(FoodData[[#This Row],[Score]],#REF!,#REF!)</f>
        <v>#REF!</v>
      </c>
      <c r="D121" t="s">
        <v>159</v>
      </c>
      <c r="E121" t="s">
        <v>63</v>
      </c>
      <c r="F121" t="s">
        <v>22</v>
      </c>
      <c r="G121" t="s">
        <v>23</v>
      </c>
      <c r="H121" t="s">
        <v>270</v>
      </c>
      <c r="I121" s="1" t="s">
        <v>25</v>
      </c>
      <c r="J121" s="1" t="s">
        <v>25</v>
      </c>
      <c r="K121" s="1" t="s">
        <v>26</v>
      </c>
      <c r="L121" s="1" t="s">
        <v>26</v>
      </c>
      <c r="M121" s="1" t="s">
        <v>25</v>
      </c>
      <c r="N121" s="1" t="s">
        <v>26</v>
      </c>
      <c r="O121" s="1" t="s">
        <v>25</v>
      </c>
      <c r="P121" s="1" t="s">
        <v>25</v>
      </c>
      <c r="Q121" s="1" t="s">
        <v>25</v>
      </c>
      <c r="R121" s="1" t="s">
        <v>26</v>
      </c>
      <c r="S121" s="2">
        <v>0</v>
      </c>
    </row>
    <row r="122" spans="1:19" x14ac:dyDescent="0.3">
      <c r="A122" t="s">
        <v>271</v>
      </c>
      <c r="B122" s="5" t="e" cm="1">
        <f t="array" ref="B122">MAX(#REF!,MIN(#REF!,#REF!+SUMPRODUCT(--(FoodData[[#This Row],[Healthy]:[Refined]]="Yes"),#REF!)+FoodData[[#This Row],[Adjust]]))</f>
        <v>#REF!</v>
      </c>
      <c r="C122" s="1" t="e">
        <f>LOOKUP(FoodData[[#This Row],[Score]],#REF!,#REF!)</f>
        <v>#REF!</v>
      </c>
      <c r="D122" t="s">
        <v>159</v>
      </c>
      <c r="E122" t="s">
        <v>63</v>
      </c>
      <c r="F122" t="s">
        <v>22</v>
      </c>
      <c r="G122" t="s">
        <v>23</v>
      </c>
      <c r="H122" t="s">
        <v>272</v>
      </c>
      <c r="I122" s="1" t="s">
        <v>25</v>
      </c>
      <c r="J122" s="1" t="s">
        <v>25</v>
      </c>
      <c r="K122" s="1" t="s">
        <v>26</v>
      </c>
      <c r="L122" s="1" t="s">
        <v>25</v>
      </c>
      <c r="M122" s="1" t="s">
        <v>25</v>
      </c>
      <c r="N122" s="1" t="s">
        <v>26</v>
      </c>
      <c r="O122" s="1" t="s">
        <v>25</v>
      </c>
      <c r="P122" s="1" t="s">
        <v>26</v>
      </c>
      <c r="Q122" s="1" t="s">
        <v>25</v>
      </c>
      <c r="R122" s="1" t="s">
        <v>25</v>
      </c>
      <c r="S122" s="2">
        <v>0</v>
      </c>
    </row>
    <row r="123" spans="1:19" x14ac:dyDescent="0.3">
      <c r="A123" t="s">
        <v>273</v>
      </c>
      <c r="B123" s="5" t="e" cm="1">
        <f t="array" ref="B123">MAX(#REF!,MIN(#REF!,#REF!+SUMPRODUCT(--(FoodData[[#This Row],[Healthy]:[Refined]]="Yes"),#REF!)+FoodData[[#This Row],[Adjust]]))</f>
        <v>#REF!</v>
      </c>
      <c r="C123" s="1" t="e">
        <f>LOOKUP(FoodData[[#This Row],[Score]],#REF!,#REF!)</f>
        <v>#REF!</v>
      </c>
      <c r="D123" t="s">
        <v>159</v>
      </c>
      <c r="E123" t="s">
        <v>63</v>
      </c>
      <c r="F123" t="s">
        <v>22</v>
      </c>
      <c r="G123" t="s">
        <v>23</v>
      </c>
      <c r="H123" t="s">
        <v>274</v>
      </c>
      <c r="I123" s="1" t="s">
        <v>25</v>
      </c>
      <c r="J123" s="1" t="s">
        <v>25</v>
      </c>
      <c r="K123" s="1" t="s">
        <v>26</v>
      </c>
      <c r="L123" s="1" t="s">
        <v>25</v>
      </c>
      <c r="M123" s="1" t="s">
        <v>25</v>
      </c>
      <c r="N123" s="1" t="s">
        <v>26</v>
      </c>
      <c r="O123" s="1" t="s">
        <v>25</v>
      </c>
      <c r="P123" s="1" t="s">
        <v>26</v>
      </c>
      <c r="Q123" s="1" t="s">
        <v>26</v>
      </c>
      <c r="R123" s="1" t="s">
        <v>25</v>
      </c>
      <c r="S123" s="2">
        <v>0</v>
      </c>
    </row>
    <row r="124" spans="1:19" x14ac:dyDescent="0.3">
      <c r="A124" t="s">
        <v>275</v>
      </c>
      <c r="B124" s="5" t="e" cm="1">
        <f t="array" ref="B124">MAX(#REF!,MIN(#REF!,#REF!+SUMPRODUCT(--(FoodData[[#This Row],[Healthy]:[Refined]]="Yes"),#REF!)+FoodData[[#This Row],[Adjust]]))</f>
        <v>#REF!</v>
      </c>
      <c r="C124" s="1" t="e">
        <f>LOOKUP(FoodData[[#This Row],[Score]],#REF!,#REF!)</f>
        <v>#REF!</v>
      </c>
      <c r="D124" t="s">
        <v>159</v>
      </c>
      <c r="E124" t="s">
        <v>63</v>
      </c>
      <c r="F124" t="s">
        <v>22</v>
      </c>
      <c r="G124" t="s">
        <v>23</v>
      </c>
      <c r="H124" t="s">
        <v>276</v>
      </c>
      <c r="I124" s="1" t="s">
        <v>25</v>
      </c>
      <c r="J124" s="1" t="s">
        <v>25</v>
      </c>
      <c r="K124" s="1" t="s">
        <v>25</v>
      </c>
      <c r="L124" s="1" t="s">
        <v>26</v>
      </c>
      <c r="M124" s="1" t="s">
        <v>25</v>
      </c>
      <c r="N124" s="1" t="s">
        <v>26</v>
      </c>
      <c r="O124" s="1" t="s">
        <v>25</v>
      </c>
      <c r="P124" s="1" t="s">
        <v>26</v>
      </c>
      <c r="Q124" s="1" t="s">
        <v>25</v>
      </c>
      <c r="R124" s="1" t="s">
        <v>25</v>
      </c>
      <c r="S124" s="2">
        <v>0</v>
      </c>
    </row>
    <row r="125" spans="1:19" x14ac:dyDescent="0.3">
      <c r="A125" t="s">
        <v>277</v>
      </c>
      <c r="B125" s="5" t="e" cm="1">
        <f t="array" ref="B125">MAX(#REF!,MIN(#REF!,#REF!+SUMPRODUCT(--(FoodData[[#This Row],[Healthy]:[Refined]]="Yes"),#REF!)+FoodData[[#This Row],[Adjust]]))</f>
        <v>#REF!</v>
      </c>
      <c r="C125" s="1" t="e">
        <f>LOOKUP(FoodData[[#This Row],[Score]],#REF!,#REF!)</f>
        <v>#REF!</v>
      </c>
      <c r="D125" t="s">
        <v>159</v>
      </c>
      <c r="E125" t="s">
        <v>63</v>
      </c>
      <c r="F125" t="s">
        <v>22</v>
      </c>
      <c r="G125" t="s">
        <v>23</v>
      </c>
      <c r="H125" t="s">
        <v>278</v>
      </c>
      <c r="I125" s="1" t="s">
        <v>25</v>
      </c>
      <c r="J125" s="1" t="s">
        <v>25</v>
      </c>
      <c r="K125" s="1" t="s">
        <v>26</v>
      </c>
      <c r="L125" s="1" t="s">
        <v>25</v>
      </c>
      <c r="M125" s="1" t="s">
        <v>25</v>
      </c>
      <c r="N125" s="1" t="s">
        <v>26</v>
      </c>
      <c r="O125" s="1" t="s">
        <v>25</v>
      </c>
      <c r="P125" s="1" t="s">
        <v>26</v>
      </c>
      <c r="Q125" s="1" t="s">
        <v>25</v>
      </c>
      <c r="R125" s="1" t="s">
        <v>25</v>
      </c>
      <c r="S125" s="2">
        <v>0</v>
      </c>
    </row>
    <row r="126" spans="1:19" x14ac:dyDescent="0.3">
      <c r="A126" t="s">
        <v>279</v>
      </c>
      <c r="B126" s="5" t="e" cm="1">
        <f t="array" ref="B126">MAX(#REF!,MIN(#REF!,#REF!+SUMPRODUCT(--(FoodData[[#This Row],[Healthy]:[Refined]]="Yes"),#REF!)+FoodData[[#This Row],[Adjust]]))</f>
        <v>#REF!</v>
      </c>
      <c r="C126" s="1" t="e">
        <f>LOOKUP(FoodData[[#This Row],[Score]],#REF!,#REF!)</f>
        <v>#REF!</v>
      </c>
      <c r="D126" t="s">
        <v>159</v>
      </c>
      <c r="E126" t="s">
        <v>63</v>
      </c>
      <c r="F126" t="s">
        <v>22</v>
      </c>
      <c r="G126" t="s">
        <v>23</v>
      </c>
      <c r="H126" t="s">
        <v>280</v>
      </c>
      <c r="I126" s="1" t="s">
        <v>25</v>
      </c>
      <c r="J126" s="1" t="s">
        <v>25</v>
      </c>
      <c r="K126" s="1" t="s">
        <v>26</v>
      </c>
      <c r="L126" s="1" t="s">
        <v>25</v>
      </c>
      <c r="M126" s="1" t="s">
        <v>25</v>
      </c>
      <c r="N126" s="1" t="s">
        <v>26</v>
      </c>
      <c r="O126" s="1" t="s">
        <v>25</v>
      </c>
      <c r="P126" s="1" t="s">
        <v>26</v>
      </c>
      <c r="Q126" s="1" t="s">
        <v>25</v>
      </c>
      <c r="R126" s="1" t="s">
        <v>25</v>
      </c>
      <c r="S126" s="2">
        <v>0</v>
      </c>
    </row>
    <row r="127" spans="1:19" x14ac:dyDescent="0.3">
      <c r="A127" t="s">
        <v>281</v>
      </c>
      <c r="B127" s="5" t="e" cm="1">
        <f t="array" ref="B127">MAX(#REF!,MIN(#REF!,#REF!+SUMPRODUCT(--(FoodData[[#This Row],[Healthy]:[Refined]]="Yes"),#REF!)+FoodData[[#This Row],[Adjust]]))</f>
        <v>#REF!</v>
      </c>
      <c r="C127" s="1" t="e">
        <f>LOOKUP(FoodData[[#This Row],[Score]],#REF!,#REF!)</f>
        <v>#REF!</v>
      </c>
      <c r="D127" t="s">
        <v>159</v>
      </c>
      <c r="E127" t="s">
        <v>63</v>
      </c>
      <c r="F127" t="s">
        <v>22</v>
      </c>
      <c r="G127" t="s">
        <v>23</v>
      </c>
      <c r="H127" t="s">
        <v>282</v>
      </c>
      <c r="I127" s="1" t="s">
        <v>25</v>
      </c>
      <c r="J127" s="1" t="s">
        <v>25</v>
      </c>
      <c r="K127" s="1" t="s">
        <v>26</v>
      </c>
      <c r="L127" s="1" t="s">
        <v>25</v>
      </c>
      <c r="M127" s="1" t="s">
        <v>25</v>
      </c>
      <c r="N127" s="1" t="s">
        <v>26</v>
      </c>
      <c r="O127" s="1" t="s">
        <v>25</v>
      </c>
      <c r="P127" s="1" t="s">
        <v>26</v>
      </c>
      <c r="Q127" s="1" t="s">
        <v>25</v>
      </c>
      <c r="R127" s="1" t="s">
        <v>25</v>
      </c>
      <c r="S127" s="2">
        <v>0</v>
      </c>
    </row>
    <row r="128" spans="1:19" x14ac:dyDescent="0.3">
      <c r="A128" t="s">
        <v>283</v>
      </c>
      <c r="B128" s="5" t="e" cm="1">
        <f t="array" ref="B128">MAX(#REF!,MIN(#REF!,#REF!+SUMPRODUCT(--(FoodData[[#This Row],[Healthy]:[Refined]]="Yes"),#REF!)+FoodData[[#This Row],[Adjust]]))</f>
        <v>#REF!</v>
      </c>
      <c r="C128" s="1" t="e">
        <f>LOOKUP(FoodData[[#This Row],[Score]],#REF!,#REF!)</f>
        <v>#REF!</v>
      </c>
      <c r="D128" t="s">
        <v>159</v>
      </c>
      <c r="E128" t="s">
        <v>63</v>
      </c>
      <c r="F128" t="s">
        <v>22</v>
      </c>
      <c r="G128" t="s">
        <v>23</v>
      </c>
      <c r="H128" t="s">
        <v>284</v>
      </c>
      <c r="I128" s="1" t="s">
        <v>25</v>
      </c>
      <c r="J128" s="1" t="s">
        <v>25</v>
      </c>
      <c r="K128" s="1" t="s">
        <v>26</v>
      </c>
      <c r="L128" s="1" t="s">
        <v>26</v>
      </c>
      <c r="M128" s="1" t="s">
        <v>25</v>
      </c>
      <c r="N128" s="1" t="s">
        <v>25</v>
      </c>
      <c r="O128" s="1" t="s">
        <v>25</v>
      </c>
      <c r="P128" s="1" t="s">
        <v>26</v>
      </c>
      <c r="Q128" s="1" t="s">
        <v>26</v>
      </c>
      <c r="R128" s="1" t="s">
        <v>25</v>
      </c>
      <c r="S128" s="2">
        <v>0</v>
      </c>
    </row>
    <row r="129" spans="1:19" x14ac:dyDescent="0.3">
      <c r="A129" t="s">
        <v>285</v>
      </c>
      <c r="B129" s="5" t="e" cm="1">
        <f t="array" ref="B129">MAX(#REF!,MIN(#REF!,#REF!+SUMPRODUCT(--(FoodData[[#This Row],[Healthy]:[Refined]]="Yes"),#REF!)+FoodData[[#This Row],[Adjust]]))</f>
        <v>#REF!</v>
      </c>
      <c r="C129" s="1" t="e">
        <f>LOOKUP(FoodData[[#This Row],[Score]],#REF!,#REF!)</f>
        <v>#REF!</v>
      </c>
      <c r="D129" t="s">
        <v>159</v>
      </c>
      <c r="E129" t="s">
        <v>63</v>
      </c>
      <c r="F129" t="s">
        <v>22</v>
      </c>
      <c r="G129" t="s">
        <v>23</v>
      </c>
      <c r="H129" t="s">
        <v>286</v>
      </c>
      <c r="I129" s="1" t="s">
        <v>25</v>
      </c>
      <c r="J129" s="1" t="s">
        <v>25</v>
      </c>
      <c r="K129" s="1" t="s">
        <v>26</v>
      </c>
      <c r="L129" s="1" t="s">
        <v>26</v>
      </c>
      <c r="M129" s="1" t="s">
        <v>25</v>
      </c>
      <c r="N129" s="1" t="s">
        <v>25</v>
      </c>
      <c r="O129" s="1" t="s">
        <v>25</v>
      </c>
      <c r="P129" s="1" t="s">
        <v>26</v>
      </c>
      <c r="Q129" s="1" t="s">
        <v>25</v>
      </c>
      <c r="R129" s="1" t="s">
        <v>25</v>
      </c>
      <c r="S129" s="2">
        <v>0</v>
      </c>
    </row>
    <row r="130" spans="1:19" x14ac:dyDescent="0.3">
      <c r="A130" t="s">
        <v>287</v>
      </c>
      <c r="B130" s="5" t="e" cm="1">
        <f t="array" ref="B130">MAX(#REF!,MIN(#REF!,#REF!+SUMPRODUCT(--(FoodData[[#This Row],[Healthy]:[Refined]]="Yes"),#REF!)+FoodData[[#This Row],[Adjust]]))</f>
        <v>#REF!</v>
      </c>
      <c r="C130" s="1" t="e">
        <f>LOOKUP(FoodData[[#This Row],[Score]],#REF!,#REF!)</f>
        <v>#REF!</v>
      </c>
      <c r="D130" t="s">
        <v>159</v>
      </c>
      <c r="E130" t="s">
        <v>63</v>
      </c>
      <c r="F130" t="s">
        <v>22</v>
      </c>
      <c r="G130" t="s">
        <v>162</v>
      </c>
      <c r="H130" t="s">
        <v>288</v>
      </c>
      <c r="I130" s="1" t="s">
        <v>25</v>
      </c>
      <c r="J130" s="1" t="s">
        <v>25</v>
      </c>
      <c r="K130" s="1" t="s">
        <v>26</v>
      </c>
      <c r="L130" s="1" t="s">
        <v>26</v>
      </c>
      <c r="M130" s="1" t="s">
        <v>25</v>
      </c>
      <c r="N130" s="1" t="s">
        <v>25</v>
      </c>
      <c r="O130" s="1" t="s">
        <v>25</v>
      </c>
      <c r="P130" s="1" t="s">
        <v>26</v>
      </c>
      <c r="Q130" s="1" t="s">
        <v>26</v>
      </c>
      <c r="R130" s="1" t="s">
        <v>25</v>
      </c>
      <c r="S130" s="2">
        <v>0</v>
      </c>
    </row>
    <row r="131" spans="1:19" x14ac:dyDescent="0.3">
      <c r="A131" t="s">
        <v>289</v>
      </c>
      <c r="B131" s="5" t="e" cm="1">
        <f t="array" ref="B131">MAX(#REF!,MIN(#REF!,#REF!+SUMPRODUCT(--(FoodData[[#This Row],[Healthy]:[Refined]]="Yes"),#REF!)+FoodData[[#This Row],[Adjust]]))</f>
        <v>#REF!</v>
      </c>
      <c r="C131" s="1" t="e">
        <f>LOOKUP(FoodData[[#This Row],[Score]],#REF!,#REF!)</f>
        <v>#REF!</v>
      </c>
      <c r="D131" t="s">
        <v>159</v>
      </c>
      <c r="E131" t="s">
        <v>28</v>
      </c>
      <c r="F131" t="s">
        <v>22</v>
      </c>
      <c r="G131" t="s">
        <v>23</v>
      </c>
      <c r="H131" t="s">
        <v>290</v>
      </c>
      <c r="I131" s="1" t="s">
        <v>25</v>
      </c>
      <c r="J131" s="1" t="s">
        <v>25</v>
      </c>
      <c r="K131" s="1" t="s">
        <v>25</v>
      </c>
      <c r="L131" s="1" t="s">
        <v>26</v>
      </c>
      <c r="M131" s="1" t="s">
        <v>25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26</v>
      </c>
      <c r="S131" s="2">
        <v>0</v>
      </c>
    </row>
    <row r="132" spans="1:19" x14ac:dyDescent="0.3">
      <c r="A132" t="s">
        <v>291</v>
      </c>
      <c r="B132" s="5" t="e" cm="1">
        <f t="array" ref="B132">MAX(#REF!,MIN(#REF!,#REF!+SUMPRODUCT(--(FoodData[[#This Row],[Healthy]:[Refined]]="Yes"),#REF!)+FoodData[[#This Row],[Adjust]]))</f>
        <v>#REF!</v>
      </c>
      <c r="C132" s="1" t="e">
        <f>LOOKUP(FoodData[[#This Row],[Score]],#REF!,#REF!)</f>
        <v>#REF!</v>
      </c>
      <c r="D132" t="s">
        <v>159</v>
      </c>
      <c r="E132" t="s">
        <v>63</v>
      </c>
      <c r="F132" t="s">
        <v>22</v>
      </c>
      <c r="G132" t="s">
        <v>23</v>
      </c>
      <c r="H132" t="s">
        <v>292</v>
      </c>
      <c r="I132" s="1" t="s">
        <v>25</v>
      </c>
      <c r="J132" s="1" t="s">
        <v>25</v>
      </c>
      <c r="K132" s="1" t="s">
        <v>25</v>
      </c>
      <c r="L132" s="1" t="s">
        <v>26</v>
      </c>
      <c r="M132" s="1" t="s">
        <v>25</v>
      </c>
      <c r="N132" s="1" t="s">
        <v>26</v>
      </c>
      <c r="O132" s="1" t="s">
        <v>25</v>
      </c>
      <c r="P132" s="1" t="s">
        <v>25</v>
      </c>
      <c r="Q132" s="1" t="s">
        <v>25</v>
      </c>
      <c r="R132" s="1" t="s">
        <v>26</v>
      </c>
      <c r="S132" s="2">
        <v>0</v>
      </c>
    </row>
    <row r="133" spans="1:19" x14ac:dyDescent="0.3">
      <c r="A133" t="s">
        <v>293</v>
      </c>
      <c r="B133" s="5" t="e" cm="1">
        <f t="array" ref="B133">MAX(#REF!,MIN(#REF!,#REF!+SUMPRODUCT(--(FoodData[[#This Row],[Healthy]:[Refined]]="Yes"),#REF!)+FoodData[[#This Row],[Adjust]]))</f>
        <v>#REF!</v>
      </c>
      <c r="C133" s="1" t="e">
        <f>LOOKUP(FoodData[[#This Row],[Score]],#REF!,#REF!)</f>
        <v>#REF!</v>
      </c>
      <c r="D133" t="s">
        <v>159</v>
      </c>
      <c r="E133" t="s">
        <v>63</v>
      </c>
      <c r="F133" t="s">
        <v>22</v>
      </c>
      <c r="G133" t="s">
        <v>23</v>
      </c>
      <c r="H133" t="s">
        <v>294</v>
      </c>
      <c r="I133" s="1" t="s">
        <v>25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26</v>
      </c>
      <c r="Q133" s="1" t="s">
        <v>26</v>
      </c>
      <c r="R133" s="1" t="s">
        <v>26</v>
      </c>
      <c r="S133" s="2">
        <v>0</v>
      </c>
    </row>
    <row r="134" spans="1:19" x14ac:dyDescent="0.3">
      <c r="A134" t="s">
        <v>295</v>
      </c>
      <c r="B134" s="5" t="e" cm="1">
        <f t="array" ref="B134">MAX(#REF!,MIN(#REF!,#REF!+SUMPRODUCT(--(FoodData[[#This Row],[Healthy]:[Refined]]="Yes"),#REF!)+FoodData[[#This Row],[Adjust]]))</f>
        <v>#REF!</v>
      </c>
      <c r="C134" s="1" t="e">
        <f>LOOKUP(FoodData[[#This Row],[Score]],#REF!,#REF!)</f>
        <v>#REF!</v>
      </c>
      <c r="D134" t="s">
        <v>159</v>
      </c>
      <c r="E134" t="s">
        <v>28</v>
      </c>
      <c r="F134" t="s">
        <v>22</v>
      </c>
      <c r="G134" t="s">
        <v>23</v>
      </c>
      <c r="H134" t="s">
        <v>296</v>
      </c>
      <c r="I134" s="1" t="s">
        <v>25</v>
      </c>
      <c r="J134" s="1" t="s">
        <v>25</v>
      </c>
      <c r="K134" s="1" t="s">
        <v>26</v>
      </c>
      <c r="L134" s="1" t="s">
        <v>26</v>
      </c>
      <c r="M134" s="1" t="s">
        <v>25</v>
      </c>
      <c r="N134" s="1" t="s">
        <v>25</v>
      </c>
      <c r="O134" s="1" t="s">
        <v>25</v>
      </c>
      <c r="P134" s="1" t="s">
        <v>26</v>
      </c>
      <c r="Q134" s="1" t="s">
        <v>26</v>
      </c>
      <c r="R134" s="1" t="s">
        <v>25</v>
      </c>
      <c r="S134" s="2">
        <v>0</v>
      </c>
    </row>
    <row r="135" spans="1:19" x14ac:dyDescent="0.3">
      <c r="A135" t="s">
        <v>297</v>
      </c>
      <c r="B135" s="5" t="e" cm="1">
        <f t="array" ref="B135">MAX(#REF!,MIN(#REF!,#REF!+SUMPRODUCT(--(FoodData[[#This Row],[Healthy]:[Refined]]="Yes"),#REF!)+FoodData[[#This Row],[Adjust]]))</f>
        <v>#REF!</v>
      </c>
      <c r="C135" s="1" t="e">
        <f>LOOKUP(FoodData[[#This Row],[Score]],#REF!,#REF!)</f>
        <v>#REF!</v>
      </c>
      <c r="D135" t="s">
        <v>159</v>
      </c>
      <c r="E135" t="s">
        <v>63</v>
      </c>
      <c r="F135" t="s">
        <v>22</v>
      </c>
      <c r="G135" t="s">
        <v>23</v>
      </c>
      <c r="H135" t="s">
        <v>298</v>
      </c>
      <c r="I135" s="1" t="s">
        <v>25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26</v>
      </c>
      <c r="O135" s="1" t="s">
        <v>25</v>
      </c>
      <c r="P135" s="1" t="s">
        <v>26</v>
      </c>
      <c r="Q135" s="1" t="s">
        <v>25</v>
      </c>
      <c r="R135" s="1" t="s">
        <v>26</v>
      </c>
      <c r="S135" s="2">
        <v>0</v>
      </c>
    </row>
    <row r="136" spans="1:19" x14ac:dyDescent="0.3">
      <c r="A136" t="s">
        <v>299</v>
      </c>
      <c r="B136" s="5" t="e" cm="1">
        <f t="array" ref="B136">MAX(#REF!,MIN(#REF!,#REF!+SUMPRODUCT(--(FoodData[[#This Row],[Healthy]:[Refined]]="Yes"),#REF!)+FoodData[[#This Row],[Adjust]]))</f>
        <v>#REF!</v>
      </c>
      <c r="C136" s="1" t="e">
        <f>LOOKUP(FoodData[[#This Row],[Score]],#REF!,#REF!)</f>
        <v>#REF!</v>
      </c>
      <c r="D136" t="s">
        <v>159</v>
      </c>
      <c r="E136" t="s">
        <v>63</v>
      </c>
      <c r="F136" t="s">
        <v>22</v>
      </c>
      <c r="G136" t="s">
        <v>23</v>
      </c>
      <c r="H136" t="s">
        <v>300</v>
      </c>
      <c r="I136" s="1" t="s">
        <v>25</v>
      </c>
      <c r="J136" s="1" t="s">
        <v>25</v>
      </c>
      <c r="K136" s="1" t="s">
        <v>25</v>
      </c>
      <c r="L136" s="1" t="s">
        <v>26</v>
      </c>
      <c r="M136" s="1" t="s">
        <v>25</v>
      </c>
      <c r="N136" s="1" t="s">
        <v>26</v>
      </c>
      <c r="O136" s="1" t="s">
        <v>25</v>
      </c>
      <c r="P136" s="1" t="s">
        <v>26</v>
      </c>
      <c r="Q136" s="1" t="s">
        <v>26</v>
      </c>
      <c r="R136" s="1" t="s">
        <v>25</v>
      </c>
      <c r="S136" s="2">
        <v>0</v>
      </c>
    </row>
    <row r="137" spans="1:19" x14ac:dyDescent="0.3">
      <c r="A137" t="s">
        <v>301</v>
      </c>
      <c r="B137" s="5" t="e" cm="1">
        <f t="array" ref="B137">MAX(#REF!,MIN(#REF!,#REF!+SUMPRODUCT(--(FoodData[[#This Row],[Healthy]:[Refined]]="Yes"),#REF!)+FoodData[[#This Row],[Adjust]]))</f>
        <v>#REF!</v>
      </c>
      <c r="C137" s="1" t="e">
        <f>LOOKUP(FoodData[[#This Row],[Score]],#REF!,#REF!)</f>
        <v>#REF!</v>
      </c>
      <c r="D137" t="s">
        <v>159</v>
      </c>
      <c r="E137" t="s">
        <v>63</v>
      </c>
      <c r="F137" t="s">
        <v>22</v>
      </c>
      <c r="G137" t="s">
        <v>23</v>
      </c>
      <c r="H137" t="s">
        <v>302</v>
      </c>
      <c r="I137" s="1" t="s">
        <v>25</v>
      </c>
      <c r="J137" s="1" t="s">
        <v>25</v>
      </c>
      <c r="K137" s="1" t="s">
        <v>26</v>
      </c>
      <c r="L137" s="1" t="s">
        <v>26</v>
      </c>
      <c r="M137" s="1" t="s">
        <v>25</v>
      </c>
      <c r="N137" s="1" t="s">
        <v>26</v>
      </c>
      <c r="O137" s="1" t="s">
        <v>25</v>
      </c>
      <c r="P137" s="1" t="s">
        <v>25</v>
      </c>
      <c r="Q137" s="1" t="s">
        <v>25</v>
      </c>
      <c r="R137" s="1" t="s">
        <v>25</v>
      </c>
      <c r="S137" s="2">
        <v>0</v>
      </c>
    </row>
    <row r="138" spans="1:19" x14ac:dyDescent="0.3">
      <c r="A138" t="s">
        <v>303</v>
      </c>
      <c r="B138" s="5" t="e" cm="1">
        <f t="array" ref="B138">MAX(#REF!,MIN(#REF!,#REF!+SUMPRODUCT(--(FoodData[[#This Row],[Healthy]:[Refined]]="Yes"),#REF!)+FoodData[[#This Row],[Adjust]]))</f>
        <v>#REF!</v>
      </c>
      <c r="C138" s="1" t="e">
        <f>LOOKUP(FoodData[[#This Row],[Score]],#REF!,#REF!)</f>
        <v>#REF!</v>
      </c>
      <c r="D138" t="s">
        <v>159</v>
      </c>
      <c r="E138" t="s">
        <v>63</v>
      </c>
      <c r="F138" t="s">
        <v>22</v>
      </c>
      <c r="G138" t="s">
        <v>23</v>
      </c>
      <c r="H138" t="s">
        <v>304</v>
      </c>
      <c r="I138" s="1" t="s">
        <v>25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25</v>
      </c>
      <c r="O138" s="1" t="s">
        <v>25</v>
      </c>
      <c r="P138" s="1" t="s">
        <v>26</v>
      </c>
      <c r="Q138" s="1" t="s">
        <v>25</v>
      </c>
      <c r="R138" s="1" t="s">
        <v>26</v>
      </c>
      <c r="S138" s="2">
        <v>0</v>
      </c>
    </row>
    <row r="139" spans="1:19" x14ac:dyDescent="0.3">
      <c r="A139" t="s">
        <v>305</v>
      </c>
      <c r="B139" s="5" t="e" cm="1">
        <f t="array" ref="B139">MAX(#REF!,MIN(#REF!,#REF!+SUMPRODUCT(--(FoodData[[#This Row],[Healthy]:[Refined]]="Yes"),#REF!)+FoodData[[#This Row],[Adjust]]))</f>
        <v>#REF!</v>
      </c>
      <c r="C139" s="1" t="e">
        <f>LOOKUP(FoodData[[#This Row],[Score]],#REF!,#REF!)</f>
        <v>#REF!</v>
      </c>
      <c r="D139" t="s">
        <v>159</v>
      </c>
      <c r="E139" t="s">
        <v>63</v>
      </c>
      <c r="F139" t="s">
        <v>22</v>
      </c>
      <c r="G139" t="s">
        <v>23</v>
      </c>
      <c r="H139" t="s">
        <v>306</v>
      </c>
      <c r="I139" s="1" t="s">
        <v>25</v>
      </c>
      <c r="J139" s="1" t="s">
        <v>25</v>
      </c>
      <c r="K139" s="1" t="s">
        <v>26</v>
      </c>
      <c r="L139" s="1" t="s">
        <v>26</v>
      </c>
      <c r="M139" s="1" t="s">
        <v>26</v>
      </c>
      <c r="N139" s="1" t="s">
        <v>25</v>
      </c>
      <c r="O139" s="1" t="s">
        <v>25</v>
      </c>
      <c r="P139" s="1" t="s">
        <v>26</v>
      </c>
      <c r="Q139" s="1" t="s">
        <v>25</v>
      </c>
      <c r="R139" s="1" t="s">
        <v>26</v>
      </c>
      <c r="S139" s="2">
        <v>0</v>
      </c>
    </row>
    <row r="140" spans="1:19" x14ac:dyDescent="0.3">
      <c r="A140" t="s">
        <v>307</v>
      </c>
      <c r="B140" s="5" t="e" cm="1">
        <f t="array" ref="B140">MAX(#REF!,MIN(#REF!,#REF!+SUMPRODUCT(--(FoodData[[#This Row],[Healthy]:[Refined]]="Yes"),#REF!)+FoodData[[#This Row],[Adjust]]))</f>
        <v>#REF!</v>
      </c>
      <c r="C140" s="1" t="e">
        <f>LOOKUP(FoodData[[#This Row],[Score]],#REF!,#REF!)</f>
        <v>#REF!</v>
      </c>
      <c r="D140" t="s">
        <v>159</v>
      </c>
      <c r="E140" t="s">
        <v>63</v>
      </c>
      <c r="F140" t="s">
        <v>22</v>
      </c>
      <c r="G140" t="s">
        <v>23</v>
      </c>
      <c r="H140" t="s">
        <v>308</v>
      </c>
      <c r="I140" s="1" t="s">
        <v>26</v>
      </c>
      <c r="J140" s="1" t="s">
        <v>25</v>
      </c>
      <c r="K140" s="1" t="s">
        <v>25</v>
      </c>
      <c r="L140" s="1" t="s">
        <v>26</v>
      </c>
      <c r="M140" s="1" t="s">
        <v>25</v>
      </c>
      <c r="N140" s="1" t="s">
        <v>25</v>
      </c>
      <c r="O140" s="1" t="s">
        <v>25</v>
      </c>
      <c r="P140" s="1" t="s">
        <v>25</v>
      </c>
      <c r="Q140" s="1" t="s">
        <v>25</v>
      </c>
      <c r="R140" s="1" t="s">
        <v>25</v>
      </c>
      <c r="S140" s="2">
        <v>0</v>
      </c>
    </row>
    <row r="141" spans="1:19" x14ac:dyDescent="0.3">
      <c r="A141" t="s">
        <v>309</v>
      </c>
      <c r="B141" s="5" t="e" cm="1">
        <f t="array" ref="B141">MAX(#REF!,MIN(#REF!,#REF!+SUMPRODUCT(--(FoodData[[#This Row],[Healthy]:[Refined]]="Yes"),#REF!)+FoodData[[#This Row],[Adjust]]))</f>
        <v>#REF!</v>
      </c>
      <c r="C141" s="1" t="e">
        <f>LOOKUP(FoodData[[#This Row],[Score]],#REF!,#REF!)</f>
        <v>#REF!</v>
      </c>
      <c r="D141" t="s">
        <v>159</v>
      </c>
      <c r="E141" t="s">
        <v>63</v>
      </c>
      <c r="F141" t="s">
        <v>22</v>
      </c>
      <c r="G141" t="s">
        <v>23</v>
      </c>
      <c r="H141" t="s">
        <v>310</v>
      </c>
      <c r="I141" s="1" t="s">
        <v>26</v>
      </c>
      <c r="J141" s="1" t="s">
        <v>26</v>
      </c>
      <c r="K141" s="1" t="s">
        <v>25</v>
      </c>
      <c r="L141" s="1" t="s">
        <v>26</v>
      </c>
      <c r="M141" s="1" t="s">
        <v>25</v>
      </c>
      <c r="N141" s="1" t="s">
        <v>25</v>
      </c>
      <c r="O141" s="1" t="s">
        <v>25</v>
      </c>
      <c r="P141" s="1" t="s">
        <v>25</v>
      </c>
      <c r="Q141" s="1" t="s">
        <v>25</v>
      </c>
      <c r="R141" s="1" t="s">
        <v>25</v>
      </c>
      <c r="S141" s="2">
        <v>0</v>
      </c>
    </row>
    <row r="142" spans="1:19" x14ac:dyDescent="0.3">
      <c r="A142" t="s">
        <v>311</v>
      </c>
      <c r="B142" s="5" t="e" cm="1">
        <f t="array" ref="B142">MAX(#REF!,MIN(#REF!,#REF!+SUMPRODUCT(--(FoodData[[#This Row],[Healthy]:[Refined]]="Yes"),#REF!)+FoodData[[#This Row],[Adjust]]))</f>
        <v>#REF!</v>
      </c>
      <c r="C142" s="1" t="e">
        <f>LOOKUP(FoodData[[#This Row],[Score]],#REF!,#REF!)</f>
        <v>#REF!</v>
      </c>
      <c r="D142" t="s">
        <v>159</v>
      </c>
      <c r="E142" t="s">
        <v>63</v>
      </c>
      <c r="F142" t="s">
        <v>22</v>
      </c>
      <c r="G142" t="s">
        <v>23</v>
      </c>
      <c r="H142" t="s">
        <v>312</v>
      </c>
      <c r="I142" s="1" t="s">
        <v>25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26</v>
      </c>
      <c r="O142" s="1" t="s">
        <v>25</v>
      </c>
      <c r="P142" s="1" t="s">
        <v>26</v>
      </c>
      <c r="Q142" s="1" t="s">
        <v>25</v>
      </c>
      <c r="R142" s="1" t="s">
        <v>25</v>
      </c>
      <c r="S142" s="2">
        <v>0</v>
      </c>
    </row>
    <row r="143" spans="1:19" x14ac:dyDescent="0.3">
      <c r="A143" t="s">
        <v>313</v>
      </c>
      <c r="B143" s="5" t="e" cm="1">
        <f t="array" ref="B143">MAX(#REF!,MIN(#REF!,#REF!+SUMPRODUCT(--(FoodData[[#This Row],[Healthy]:[Refined]]="Yes"),#REF!)+FoodData[[#This Row],[Adjust]]))</f>
        <v>#REF!</v>
      </c>
      <c r="C143" s="1" t="e">
        <f>LOOKUP(FoodData[[#This Row],[Score]],#REF!,#REF!)</f>
        <v>#REF!</v>
      </c>
      <c r="D143" t="s">
        <v>159</v>
      </c>
      <c r="E143" t="s">
        <v>63</v>
      </c>
      <c r="F143" t="s">
        <v>22</v>
      </c>
      <c r="G143" t="s">
        <v>23</v>
      </c>
      <c r="H143" t="s">
        <v>314</v>
      </c>
      <c r="I143" s="1" t="s">
        <v>25</v>
      </c>
      <c r="J143" s="1" t="s">
        <v>25</v>
      </c>
      <c r="K143" s="1" t="s">
        <v>25</v>
      </c>
      <c r="L143" s="1" t="s">
        <v>26</v>
      </c>
      <c r="M143" s="1" t="s">
        <v>25</v>
      </c>
      <c r="N143" s="1" t="s">
        <v>25</v>
      </c>
      <c r="O143" s="1" t="s">
        <v>25</v>
      </c>
      <c r="P143" s="1" t="s">
        <v>26</v>
      </c>
      <c r="Q143" s="1" t="s">
        <v>26</v>
      </c>
      <c r="R143" s="1" t="s">
        <v>26</v>
      </c>
      <c r="S143" s="2">
        <v>0</v>
      </c>
    </row>
    <row r="144" spans="1:19" x14ac:dyDescent="0.3">
      <c r="A144" t="s">
        <v>315</v>
      </c>
      <c r="B144" s="5" t="e" cm="1">
        <f t="array" ref="B144">MAX(#REF!,MIN(#REF!,#REF!+SUMPRODUCT(--(FoodData[[#This Row],[Healthy]:[Refined]]="Yes"),#REF!)+FoodData[[#This Row],[Adjust]]))</f>
        <v>#REF!</v>
      </c>
      <c r="C144" s="1" t="e">
        <f>LOOKUP(FoodData[[#This Row],[Score]],#REF!,#REF!)</f>
        <v>#REF!</v>
      </c>
      <c r="D144" t="s">
        <v>159</v>
      </c>
      <c r="E144" t="s">
        <v>63</v>
      </c>
      <c r="F144" t="s">
        <v>22</v>
      </c>
      <c r="G144" t="s">
        <v>23</v>
      </c>
      <c r="H144" t="s">
        <v>316</v>
      </c>
      <c r="I144" s="1" t="s">
        <v>25</v>
      </c>
      <c r="J144" s="1" t="s">
        <v>25</v>
      </c>
      <c r="K144" s="1" t="s">
        <v>26</v>
      </c>
      <c r="L144" s="1" t="s">
        <v>26</v>
      </c>
      <c r="M144" s="1" t="s">
        <v>25</v>
      </c>
      <c r="N144" s="1" t="s">
        <v>25</v>
      </c>
      <c r="O144" s="1" t="s">
        <v>25</v>
      </c>
      <c r="P144" s="1" t="s">
        <v>26</v>
      </c>
      <c r="Q144" s="1" t="s">
        <v>26</v>
      </c>
      <c r="R144" s="1" t="s">
        <v>26</v>
      </c>
      <c r="S144" s="2">
        <v>0</v>
      </c>
    </row>
    <row r="145" spans="1:19" x14ac:dyDescent="0.3">
      <c r="A145" t="s">
        <v>317</v>
      </c>
      <c r="B145" s="5" t="e" cm="1">
        <f t="array" ref="B145">MAX(#REF!,MIN(#REF!,#REF!+SUMPRODUCT(--(FoodData[[#This Row],[Healthy]:[Refined]]="Yes"),#REF!)+FoodData[[#This Row],[Adjust]]))</f>
        <v>#REF!</v>
      </c>
      <c r="C145" s="1" t="e">
        <f>LOOKUP(FoodData[[#This Row],[Score]],#REF!,#REF!)</f>
        <v>#REF!</v>
      </c>
      <c r="D145" t="s">
        <v>159</v>
      </c>
      <c r="E145" t="s">
        <v>63</v>
      </c>
      <c r="F145" t="s">
        <v>22</v>
      </c>
      <c r="G145" t="s">
        <v>23</v>
      </c>
      <c r="H145" t="s">
        <v>318</v>
      </c>
      <c r="I145" s="1" t="s">
        <v>25</v>
      </c>
      <c r="J145" s="1" t="s">
        <v>25</v>
      </c>
      <c r="K145" s="1" t="s">
        <v>25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26</v>
      </c>
      <c r="Q145" s="1" t="s">
        <v>26</v>
      </c>
      <c r="R145" s="1" t="s">
        <v>26</v>
      </c>
      <c r="S145" s="2">
        <v>0</v>
      </c>
    </row>
    <row r="146" spans="1:19" x14ac:dyDescent="0.3">
      <c r="A146" t="s">
        <v>319</v>
      </c>
      <c r="B146" s="5" t="e" cm="1">
        <f t="array" ref="B146">MAX(#REF!,MIN(#REF!,#REF!+SUMPRODUCT(--(FoodData[[#This Row],[Healthy]:[Refined]]="Yes"),#REF!)+FoodData[[#This Row],[Adjust]]))</f>
        <v>#REF!</v>
      </c>
      <c r="C146" s="1" t="e">
        <f>LOOKUP(FoodData[[#This Row],[Score]],#REF!,#REF!)</f>
        <v>#REF!</v>
      </c>
      <c r="D146" t="s">
        <v>159</v>
      </c>
      <c r="E146" t="s">
        <v>63</v>
      </c>
      <c r="F146" t="s">
        <v>22</v>
      </c>
      <c r="G146" t="s">
        <v>23</v>
      </c>
      <c r="H146" t="s">
        <v>320</v>
      </c>
      <c r="I146" s="1" t="s">
        <v>25</v>
      </c>
      <c r="J146" s="1" t="s">
        <v>25</v>
      </c>
      <c r="K146" s="1" t="s">
        <v>25</v>
      </c>
      <c r="L146" s="1" t="s">
        <v>25</v>
      </c>
      <c r="M146" s="1" t="s">
        <v>25</v>
      </c>
      <c r="N146" s="1" t="s">
        <v>26</v>
      </c>
      <c r="O146" s="1" t="s">
        <v>25</v>
      </c>
      <c r="P146" s="1" t="s">
        <v>25</v>
      </c>
      <c r="Q146" s="1" t="s">
        <v>26</v>
      </c>
      <c r="R146" s="1" t="s">
        <v>26</v>
      </c>
      <c r="S146" s="2">
        <v>0</v>
      </c>
    </row>
    <row r="147" spans="1:19" x14ac:dyDescent="0.3">
      <c r="A147" t="s">
        <v>321</v>
      </c>
      <c r="B147" s="5" t="e" cm="1">
        <f t="array" ref="B147">MAX(#REF!,MIN(#REF!,#REF!+SUMPRODUCT(--(FoodData[[#This Row],[Healthy]:[Refined]]="Yes"),#REF!)+FoodData[[#This Row],[Adjust]]))</f>
        <v>#REF!</v>
      </c>
      <c r="C147" s="1" t="e">
        <f>LOOKUP(FoodData[[#This Row],[Score]],#REF!,#REF!)</f>
        <v>#REF!</v>
      </c>
      <c r="D147" t="s">
        <v>159</v>
      </c>
      <c r="E147" t="s">
        <v>63</v>
      </c>
      <c r="F147" t="s">
        <v>22</v>
      </c>
      <c r="G147" t="s">
        <v>23</v>
      </c>
      <c r="H147" t="s">
        <v>322</v>
      </c>
      <c r="I147" s="1" t="s">
        <v>25</v>
      </c>
      <c r="J147" s="1" t="s">
        <v>25</v>
      </c>
      <c r="K147" s="1" t="s">
        <v>25</v>
      </c>
      <c r="L147" s="1" t="s">
        <v>25</v>
      </c>
      <c r="M147" s="1" t="s">
        <v>26</v>
      </c>
      <c r="N147" s="1" t="s">
        <v>25</v>
      </c>
      <c r="O147" s="1" t="s">
        <v>25</v>
      </c>
      <c r="P147" s="1" t="s">
        <v>26</v>
      </c>
      <c r="Q147" s="1" t="s">
        <v>25</v>
      </c>
      <c r="R147" s="1" t="s">
        <v>26</v>
      </c>
      <c r="S147" s="2">
        <v>0</v>
      </c>
    </row>
    <row r="148" spans="1:19" x14ac:dyDescent="0.3">
      <c r="A148" t="s">
        <v>323</v>
      </c>
      <c r="B148" s="5" t="e" cm="1">
        <f t="array" ref="B148">MAX(#REF!,MIN(#REF!,#REF!+SUMPRODUCT(--(FoodData[[#This Row],[Healthy]:[Refined]]="Yes"),#REF!)+FoodData[[#This Row],[Adjust]]))</f>
        <v>#REF!</v>
      </c>
      <c r="C148" s="1" t="e">
        <f>LOOKUP(FoodData[[#This Row],[Score]],#REF!,#REF!)</f>
        <v>#REF!</v>
      </c>
      <c r="D148" t="s">
        <v>159</v>
      </c>
      <c r="E148" t="s">
        <v>63</v>
      </c>
      <c r="F148" t="s">
        <v>22</v>
      </c>
      <c r="G148" t="s">
        <v>23</v>
      </c>
      <c r="H148" t="s">
        <v>324</v>
      </c>
      <c r="I148" s="1" t="s">
        <v>25</v>
      </c>
      <c r="J148" s="1" t="s">
        <v>25</v>
      </c>
      <c r="K148" s="1" t="s">
        <v>25</v>
      </c>
      <c r="L148" s="1" t="s">
        <v>25</v>
      </c>
      <c r="M148" s="1" t="s">
        <v>25</v>
      </c>
      <c r="N148" s="1" t="s">
        <v>25</v>
      </c>
      <c r="O148" s="1" t="s">
        <v>25</v>
      </c>
      <c r="P148" s="1" t="s">
        <v>26</v>
      </c>
      <c r="Q148" s="1" t="s">
        <v>26</v>
      </c>
      <c r="R148" s="1" t="s">
        <v>25</v>
      </c>
      <c r="S148" s="2">
        <v>0</v>
      </c>
    </row>
    <row r="149" spans="1:19" x14ac:dyDescent="0.3">
      <c r="A149" t="s">
        <v>325</v>
      </c>
      <c r="B149" s="5" t="e" cm="1">
        <f t="array" ref="B149">MAX(#REF!,MIN(#REF!,#REF!+SUMPRODUCT(--(FoodData[[#This Row],[Healthy]:[Refined]]="Yes"),#REF!)+FoodData[[#This Row],[Adjust]]))</f>
        <v>#REF!</v>
      </c>
      <c r="C149" s="1" t="e">
        <f>LOOKUP(FoodData[[#This Row],[Score]],#REF!,#REF!)</f>
        <v>#REF!</v>
      </c>
      <c r="D149" t="s">
        <v>159</v>
      </c>
      <c r="E149" t="s">
        <v>63</v>
      </c>
      <c r="F149" t="s">
        <v>22</v>
      </c>
      <c r="G149" t="s">
        <v>23</v>
      </c>
      <c r="H149" t="s">
        <v>326</v>
      </c>
      <c r="I149" s="1" t="s">
        <v>26</v>
      </c>
      <c r="J149" s="1" t="s">
        <v>26</v>
      </c>
      <c r="K149" s="1" t="s">
        <v>26</v>
      </c>
      <c r="L149" s="1" t="s">
        <v>26</v>
      </c>
      <c r="M149" s="1" t="s">
        <v>25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25</v>
      </c>
      <c r="S149" s="2">
        <v>0</v>
      </c>
    </row>
    <row r="150" spans="1:19" x14ac:dyDescent="0.3">
      <c r="A150" t="s">
        <v>327</v>
      </c>
      <c r="B150" s="5" t="e" cm="1">
        <f t="array" ref="B150">MAX(#REF!,MIN(#REF!,#REF!+SUMPRODUCT(--(FoodData[[#This Row],[Healthy]:[Refined]]="Yes"),#REF!)+FoodData[[#This Row],[Adjust]]))</f>
        <v>#REF!</v>
      </c>
      <c r="C150" s="1" t="e">
        <f>LOOKUP(FoodData[[#This Row],[Score]],#REF!,#REF!)</f>
        <v>#REF!</v>
      </c>
      <c r="D150" t="s">
        <v>159</v>
      </c>
      <c r="E150" t="s">
        <v>63</v>
      </c>
      <c r="F150" t="s">
        <v>22</v>
      </c>
      <c r="G150" t="s">
        <v>23</v>
      </c>
      <c r="H150" t="s">
        <v>328</v>
      </c>
      <c r="I150" s="1" t="s">
        <v>25</v>
      </c>
      <c r="J150" s="1" t="s">
        <v>25</v>
      </c>
      <c r="K150" s="1" t="s">
        <v>25</v>
      </c>
      <c r="L150" s="1" t="s">
        <v>25</v>
      </c>
      <c r="M150" s="1" t="s">
        <v>25</v>
      </c>
      <c r="N150" s="1" t="s">
        <v>25</v>
      </c>
      <c r="O150" s="1" t="s">
        <v>25</v>
      </c>
      <c r="P150" s="1" t="s">
        <v>26</v>
      </c>
      <c r="Q150" s="1" t="s">
        <v>25</v>
      </c>
      <c r="R150" s="1" t="s">
        <v>26</v>
      </c>
      <c r="S150" s="2">
        <v>0</v>
      </c>
    </row>
    <row r="151" spans="1:19" x14ac:dyDescent="0.3">
      <c r="A151" t="s">
        <v>329</v>
      </c>
      <c r="B151" s="5" t="e" cm="1">
        <f t="array" ref="B151">MAX(#REF!,MIN(#REF!,#REF!+SUMPRODUCT(--(FoodData[[#This Row],[Healthy]:[Refined]]="Yes"),#REF!)+FoodData[[#This Row],[Adjust]]))</f>
        <v>#REF!</v>
      </c>
      <c r="C151" s="1" t="e">
        <f>LOOKUP(FoodData[[#This Row],[Score]],#REF!,#REF!)</f>
        <v>#REF!</v>
      </c>
      <c r="D151" t="s">
        <v>159</v>
      </c>
      <c r="E151" t="s">
        <v>63</v>
      </c>
      <c r="F151" t="s">
        <v>22</v>
      </c>
      <c r="G151" t="s">
        <v>23</v>
      </c>
      <c r="H151" t="s">
        <v>330</v>
      </c>
      <c r="I151" s="1" t="s">
        <v>25</v>
      </c>
      <c r="J151" s="1" t="s">
        <v>25</v>
      </c>
      <c r="K151" s="1" t="s">
        <v>26</v>
      </c>
      <c r="L151" s="1" t="s">
        <v>26</v>
      </c>
      <c r="M151" s="1" t="s">
        <v>25</v>
      </c>
      <c r="N151" s="1" t="s">
        <v>26</v>
      </c>
      <c r="O151" s="1" t="s">
        <v>25</v>
      </c>
      <c r="P151" s="1" t="s">
        <v>26</v>
      </c>
      <c r="Q151" s="1" t="s">
        <v>25</v>
      </c>
      <c r="R151" s="1" t="s">
        <v>25</v>
      </c>
      <c r="S151" s="2">
        <v>0</v>
      </c>
    </row>
    <row r="152" spans="1:19" x14ac:dyDescent="0.3">
      <c r="A152" t="s">
        <v>331</v>
      </c>
      <c r="B152" s="5" t="e" cm="1">
        <f t="array" ref="B152">MAX(#REF!,MIN(#REF!,#REF!+SUMPRODUCT(--(FoodData[[#This Row],[Healthy]:[Refined]]="Yes"),#REF!)+FoodData[[#This Row],[Adjust]]))</f>
        <v>#REF!</v>
      </c>
      <c r="C152" s="1" t="e">
        <f>LOOKUP(FoodData[[#This Row],[Score]],#REF!,#REF!)</f>
        <v>#REF!</v>
      </c>
      <c r="D152" t="s">
        <v>159</v>
      </c>
      <c r="E152" t="s">
        <v>63</v>
      </c>
      <c r="F152" t="s">
        <v>22</v>
      </c>
      <c r="G152" t="s">
        <v>23</v>
      </c>
      <c r="H152" t="s">
        <v>332</v>
      </c>
      <c r="I152" s="1" t="s">
        <v>25</v>
      </c>
      <c r="J152" s="1" t="s">
        <v>25</v>
      </c>
      <c r="K152" s="1" t="s">
        <v>26</v>
      </c>
      <c r="L152" s="1" t="s">
        <v>25</v>
      </c>
      <c r="M152" s="1" t="s">
        <v>25</v>
      </c>
      <c r="N152" s="1" t="s">
        <v>26</v>
      </c>
      <c r="O152" s="1" t="s">
        <v>25</v>
      </c>
      <c r="P152" s="1" t="s">
        <v>26</v>
      </c>
      <c r="Q152" s="1" t="s">
        <v>25</v>
      </c>
      <c r="R152" s="1" t="s">
        <v>25</v>
      </c>
      <c r="S152" s="2">
        <v>0</v>
      </c>
    </row>
    <row r="153" spans="1:19" x14ac:dyDescent="0.3">
      <c r="A153" t="s">
        <v>333</v>
      </c>
      <c r="B153" s="5" t="e" cm="1">
        <f t="array" ref="B153">MAX(#REF!,MIN(#REF!,#REF!+SUMPRODUCT(--(FoodData[[#This Row],[Healthy]:[Refined]]="Yes"),#REF!)+FoodData[[#This Row],[Adjust]]))</f>
        <v>#REF!</v>
      </c>
      <c r="C153" s="1" t="e">
        <f>LOOKUP(FoodData[[#This Row],[Score]],#REF!,#REF!)</f>
        <v>#REF!</v>
      </c>
      <c r="D153" t="s">
        <v>159</v>
      </c>
      <c r="E153" t="s">
        <v>63</v>
      </c>
      <c r="F153" t="s">
        <v>22</v>
      </c>
      <c r="G153" t="s">
        <v>23</v>
      </c>
      <c r="H153" t="s">
        <v>334</v>
      </c>
      <c r="I153" s="1" t="s">
        <v>25</v>
      </c>
      <c r="J153" s="1" t="s">
        <v>25</v>
      </c>
      <c r="K153" s="1" t="s">
        <v>26</v>
      </c>
      <c r="L153" s="1" t="s">
        <v>26</v>
      </c>
      <c r="M153" s="1" t="s">
        <v>25</v>
      </c>
      <c r="N153" s="1" t="s">
        <v>26</v>
      </c>
      <c r="O153" s="1" t="s">
        <v>25</v>
      </c>
      <c r="P153" s="1" t="s">
        <v>25</v>
      </c>
      <c r="Q153" s="1" t="s">
        <v>25</v>
      </c>
      <c r="R153" s="1" t="s">
        <v>26</v>
      </c>
      <c r="S153" s="2">
        <v>0</v>
      </c>
    </row>
    <row r="154" spans="1:19" x14ac:dyDescent="0.3">
      <c r="A154" t="s">
        <v>335</v>
      </c>
      <c r="B154" s="5" t="e" cm="1">
        <f t="array" ref="B154">MAX(#REF!,MIN(#REF!,#REF!+SUMPRODUCT(--(FoodData[[#This Row],[Healthy]:[Refined]]="Yes"),#REF!)+FoodData[[#This Row],[Adjust]]))</f>
        <v>#REF!</v>
      </c>
      <c r="C154" s="1" t="e">
        <f>LOOKUP(FoodData[[#This Row],[Score]],#REF!,#REF!)</f>
        <v>#REF!</v>
      </c>
      <c r="D154" t="s">
        <v>159</v>
      </c>
      <c r="E154" t="s">
        <v>63</v>
      </c>
      <c r="F154" t="s">
        <v>22</v>
      </c>
      <c r="G154" t="s">
        <v>23</v>
      </c>
      <c r="H154" t="s">
        <v>336</v>
      </c>
      <c r="I154" s="1" t="s">
        <v>25</v>
      </c>
      <c r="J154" s="1" t="s">
        <v>25</v>
      </c>
      <c r="K154" s="1" t="s">
        <v>26</v>
      </c>
      <c r="L154" s="1" t="s">
        <v>25</v>
      </c>
      <c r="M154" s="1" t="s">
        <v>25</v>
      </c>
      <c r="N154" s="1" t="s">
        <v>26</v>
      </c>
      <c r="O154" s="1" t="s">
        <v>25</v>
      </c>
      <c r="P154" s="1" t="s">
        <v>26</v>
      </c>
      <c r="Q154" s="1" t="s">
        <v>26</v>
      </c>
      <c r="R154" s="1" t="s">
        <v>25</v>
      </c>
      <c r="S154" s="2">
        <v>0</v>
      </c>
    </row>
    <row r="155" spans="1:19" x14ac:dyDescent="0.3">
      <c r="A155" t="s">
        <v>337</v>
      </c>
      <c r="B155" s="5" t="e" cm="1">
        <f t="array" ref="B155">MAX(#REF!,MIN(#REF!,#REF!+SUMPRODUCT(--(FoodData[[#This Row],[Healthy]:[Refined]]="Yes"),#REF!)+FoodData[[#This Row],[Adjust]]))</f>
        <v>#REF!</v>
      </c>
      <c r="C155" s="1" t="e">
        <f>LOOKUP(FoodData[[#This Row],[Score]],#REF!,#REF!)</f>
        <v>#REF!</v>
      </c>
      <c r="D155" t="s">
        <v>159</v>
      </c>
      <c r="E155" t="s">
        <v>63</v>
      </c>
      <c r="F155" t="s">
        <v>22</v>
      </c>
      <c r="G155" t="s">
        <v>23</v>
      </c>
      <c r="H155" t="s">
        <v>338</v>
      </c>
      <c r="I155" s="1" t="s">
        <v>25</v>
      </c>
      <c r="J155" s="1" t="s">
        <v>25</v>
      </c>
      <c r="K155" s="1" t="s">
        <v>26</v>
      </c>
      <c r="L155" s="1" t="s">
        <v>26</v>
      </c>
      <c r="M155" s="1" t="s">
        <v>25</v>
      </c>
      <c r="N155" s="1" t="s">
        <v>26</v>
      </c>
      <c r="O155" s="1" t="s">
        <v>25</v>
      </c>
      <c r="P155" s="1" t="s">
        <v>26</v>
      </c>
      <c r="Q155" s="1" t="s">
        <v>25</v>
      </c>
      <c r="R155" s="1" t="s">
        <v>25</v>
      </c>
      <c r="S155" s="2">
        <v>0</v>
      </c>
    </row>
    <row r="156" spans="1:19" x14ac:dyDescent="0.3">
      <c r="A156" t="s">
        <v>339</v>
      </c>
      <c r="B156" s="5" t="e" cm="1">
        <f t="array" ref="B156">MAX(#REF!,MIN(#REF!,#REF!+SUMPRODUCT(--(FoodData[[#This Row],[Healthy]:[Refined]]="Yes"),#REF!)+FoodData[[#This Row],[Adjust]]))</f>
        <v>#REF!</v>
      </c>
      <c r="C156" s="1" t="e">
        <f>LOOKUP(FoodData[[#This Row],[Score]],#REF!,#REF!)</f>
        <v>#REF!</v>
      </c>
      <c r="D156" t="s">
        <v>159</v>
      </c>
      <c r="E156" t="s">
        <v>63</v>
      </c>
      <c r="F156" t="s">
        <v>22</v>
      </c>
      <c r="G156" t="s">
        <v>23</v>
      </c>
      <c r="H156" t="s">
        <v>340</v>
      </c>
      <c r="I156" s="1" t="s">
        <v>26</v>
      </c>
      <c r="J156" s="1" t="s">
        <v>25</v>
      </c>
      <c r="K156" s="1" t="s">
        <v>26</v>
      </c>
      <c r="L156" s="1" t="s">
        <v>26</v>
      </c>
      <c r="M156" s="1" t="s">
        <v>25</v>
      </c>
      <c r="N156" s="1" t="s">
        <v>25</v>
      </c>
      <c r="O156" s="1" t="s">
        <v>25</v>
      </c>
      <c r="P156" s="1" t="s">
        <v>25</v>
      </c>
      <c r="Q156" s="1" t="s">
        <v>25</v>
      </c>
      <c r="R156" s="1" t="s">
        <v>25</v>
      </c>
      <c r="S156" s="2">
        <v>0</v>
      </c>
    </row>
    <row r="157" spans="1:19" x14ac:dyDescent="0.3">
      <c r="A157" t="s">
        <v>341</v>
      </c>
      <c r="B157" s="5" t="e" cm="1">
        <f t="array" ref="B157">MAX(#REF!,MIN(#REF!,#REF!+SUMPRODUCT(--(FoodData[[#This Row],[Healthy]:[Refined]]="Yes"),#REF!)+FoodData[[#This Row],[Adjust]]))</f>
        <v>#REF!</v>
      </c>
      <c r="C157" s="1" t="e">
        <f>LOOKUP(FoodData[[#This Row],[Score]],#REF!,#REF!)</f>
        <v>#REF!</v>
      </c>
      <c r="D157" t="s">
        <v>342</v>
      </c>
      <c r="E157" t="s">
        <v>28</v>
      </c>
      <c r="F157" t="s">
        <v>22</v>
      </c>
      <c r="G157" t="s">
        <v>23</v>
      </c>
      <c r="H157" t="s">
        <v>343</v>
      </c>
      <c r="I157" s="1" t="s">
        <v>26</v>
      </c>
      <c r="J157" s="1" t="s">
        <v>26</v>
      </c>
      <c r="K157" s="1" t="s">
        <v>25</v>
      </c>
      <c r="L157" s="1" t="s">
        <v>26</v>
      </c>
      <c r="M157" s="1" t="s">
        <v>25</v>
      </c>
      <c r="N157" s="1" t="s">
        <v>25</v>
      </c>
      <c r="O157" s="1" t="s">
        <v>25</v>
      </c>
      <c r="P157" s="1" t="s">
        <v>25</v>
      </c>
      <c r="Q157" s="1" t="s">
        <v>25</v>
      </c>
      <c r="R157" s="1" t="s">
        <v>25</v>
      </c>
      <c r="S157" s="2">
        <v>0</v>
      </c>
    </row>
    <row r="158" spans="1:19" x14ac:dyDescent="0.3">
      <c r="A158" t="s">
        <v>344</v>
      </c>
      <c r="B158" s="5" t="e" cm="1">
        <f t="array" ref="B158">MAX(#REF!,MIN(#REF!,#REF!+SUMPRODUCT(--(FoodData[[#This Row],[Healthy]:[Refined]]="Yes"),#REF!)+FoodData[[#This Row],[Adjust]]))</f>
        <v>#REF!</v>
      </c>
      <c r="C158" s="1" t="e">
        <f>LOOKUP(FoodData[[#This Row],[Score]],#REF!,#REF!)</f>
        <v>#REF!</v>
      </c>
      <c r="D158" t="s">
        <v>342</v>
      </c>
      <c r="E158" t="s">
        <v>28</v>
      </c>
      <c r="F158" t="s">
        <v>22</v>
      </c>
      <c r="G158" t="s">
        <v>23</v>
      </c>
      <c r="H158" t="s">
        <v>345</v>
      </c>
      <c r="I158" s="1" t="s">
        <v>25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26</v>
      </c>
      <c r="O158" s="1" t="s">
        <v>25</v>
      </c>
      <c r="P158" s="1" t="s">
        <v>25</v>
      </c>
      <c r="Q158" s="1" t="s">
        <v>25</v>
      </c>
      <c r="R158" s="1" t="s">
        <v>25</v>
      </c>
      <c r="S158" s="2">
        <v>0</v>
      </c>
    </row>
    <row r="159" spans="1:19" x14ac:dyDescent="0.3">
      <c r="A159" t="s">
        <v>346</v>
      </c>
      <c r="B159" s="5" t="e" cm="1">
        <f t="array" ref="B159">MAX(#REF!,MIN(#REF!,#REF!+SUMPRODUCT(--(FoodData[[#This Row],[Healthy]:[Refined]]="Yes"),#REF!)+FoodData[[#This Row],[Adjust]]))</f>
        <v>#REF!</v>
      </c>
      <c r="C159" s="1" t="e">
        <f>LOOKUP(FoodData[[#This Row],[Score]],#REF!,#REF!)</f>
        <v>#REF!</v>
      </c>
      <c r="D159" t="s">
        <v>342</v>
      </c>
      <c r="E159" t="s">
        <v>28</v>
      </c>
      <c r="F159" t="s">
        <v>22</v>
      </c>
      <c r="G159" t="s">
        <v>23</v>
      </c>
      <c r="H159" t="s">
        <v>347</v>
      </c>
      <c r="I159" s="1" t="s">
        <v>26</v>
      </c>
      <c r="J159" s="1" t="s">
        <v>25</v>
      </c>
      <c r="K159" s="1" t="s">
        <v>25</v>
      </c>
      <c r="L159" s="1" t="s">
        <v>26</v>
      </c>
      <c r="M159" s="1" t="s">
        <v>25</v>
      </c>
      <c r="N159" s="1" t="s">
        <v>25</v>
      </c>
      <c r="O159" s="1" t="s">
        <v>25</v>
      </c>
      <c r="P159" s="1" t="s">
        <v>25</v>
      </c>
      <c r="Q159" s="1" t="s">
        <v>25</v>
      </c>
      <c r="R159" s="1" t="s">
        <v>25</v>
      </c>
      <c r="S159" s="2">
        <v>0</v>
      </c>
    </row>
    <row r="160" spans="1:19" x14ac:dyDescent="0.3">
      <c r="A160" t="s">
        <v>348</v>
      </c>
      <c r="B160" s="5" t="e" cm="1">
        <f t="array" ref="B160">MAX(#REF!,MIN(#REF!,#REF!+SUMPRODUCT(--(FoodData[[#This Row],[Healthy]:[Refined]]="Yes"),#REF!)+FoodData[[#This Row],[Adjust]]))</f>
        <v>#REF!</v>
      </c>
      <c r="C160" s="1" t="e">
        <f>LOOKUP(FoodData[[#This Row],[Score]],#REF!,#REF!)</f>
        <v>#REF!</v>
      </c>
      <c r="D160" t="s">
        <v>342</v>
      </c>
      <c r="E160" t="s">
        <v>28</v>
      </c>
      <c r="F160" t="s">
        <v>22</v>
      </c>
      <c r="G160" t="s">
        <v>349</v>
      </c>
      <c r="H160" t="s">
        <v>350</v>
      </c>
      <c r="I160" s="1" t="s">
        <v>26</v>
      </c>
      <c r="J160" s="1" t="s">
        <v>25</v>
      </c>
      <c r="K160" s="1" t="s">
        <v>25</v>
      </c>
      <c r="L160" s="1" t="s">
        <v>26</v>
      </c>
      <c r="M160" s="1" t="s">
        <v>25</v>
      </c>
      <c r="N160" s="1" t="s">
        <v>26</v>
      </c>
      <c r="O160" s="1" t="s">
        <v>25</v>
      </c>
      <c r="P160" s="1" t="s">
        <v>25</v>
      </c>
      <c r="Q160" s="1" t="s">
        <v>25</v>
      </c>
      <c r="R160" s="1" t="s">
        <v>25</v>
      </c>
      <c r="S160" s="2">
        <v>0</v>
      </c>
    </row>
    <row r="161" spans="1:19" x14ac:dyDescent="0.3">
      <c r="A161" t="s">
        <v>351</v>
      </c>
      <c r="B161" s="5" t="e" cm="1">
        <f t="array" ref="B161">MAX(#REF!,MIN(#REF!,#REF!+SUMPRODUCT(--(FoodData[[#This Row],[Healthy]:[Refined]]="Yes"),#REF!)+FoodData[[#This Row],[Adjust]]))</f>
        <v>#REF!</v>
      </c>
      <c r="C161" s="1" t="e">
        <f>LOOKUP(FoodData[[#This Row],[Score]],#REF!,#REF!)</f>
        <v>#REF!</v>
      </c>
      <c r="D161" t="s">
        <v>342</v>
      </c>
      <c r="E161" t="s">
        <v>28</v>
      </c>
      <c r="F161" t="s">
        <v>22</v>
      </c>
      <c r="G161" t="s">
        <v>23</v>
      </c>
      <c r="H161" t="s">
        <v>352</v>
      </c>
      <c r="I161" s="1" t="s">
        <v>25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26</v>
      </c>
      <c r="O161" s="1" t="s">
        <v>25</v>
      </c>
      <c r="P161" s="1" t="s">
        <v>25</v>
      </c>
      <c r="Q161" s="1" t="s">
        <v>25</v>
      </c>
      <c r="R161" s="1" t="s">
        <v>25</v>
      </c>
      <c r="S161" s="2">
        <v>0</v>
      </c>
    </row>
    <row r="162" spans="1:19" x14ac:dyDescent="0.3">
      <c r="A162" t="s">
        <v>353</v>
      </c>
      <c r="B162" s="5" t="e" cm="1">
        <f t="array" ref="B162">MAX(#REF!,MIN(#REF!,#REF!+SUMPRODUCT(--(FoodData[[#This Row],[Healthy]:[Refined]]="Yes"),#REF!)+FoodData[[#This Row],[Adjust]]))</f>
        <v>#REF!</v>
      </c>
      <c r="C162" s="1" t="e">
        <f>LOOKUP(FoodData[[#This Row],[Score]],#REF!,#REF!)</f>
        <v>#REF!</v>
      </c>
      <c r="D162" t="s">
        <v>342</v>
      </c>
      <c r="E162" t="s">
        <v>28</v>
      </c>
      <c r="F162" t="s">
        <v>22</v>
      </c>
      <c r="G162" t="s">
        <v>23</v>
      </c>
      <c r="H162" t="s">
        <v>354</v>
      </c>
      <c r="I162" s="1" t="s">
        <v>25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  <c r="S162" s="2">
        <v>0</v>
      </c>
    </row>
    <row r="163" spans="1:19" x14ac:dyDescent="0.3">
      <c r="A163" t="s">
        <v>355</v>
      </c>
      <c r="B163" s="5" t="e" cm="1">
        <f t="array" ref="B163">MAX(#REF!,MIN(#REF!,#REF!+SUMPRODUCT(--(FoodData[[#This Row],[Healthy]:[Refined]]="Yes"),#REF!)+FoodData[[#This Row],[Adjust]]))</f>
        <v>#REF!</v>
      </c>
      <c r="C163" s="1" t="e">
        <f>LOOKUP(FoodData[[#This Row],[Score]],#REF!,#REF!)</f>
        <v>#REF!</v>
      </c>
      <c r="D163" t="s">
        <v>342</v>
      </c>
      <c r="E163" t="s">
        <v>28</v>
      </c>
      <c r="F163" t="s">
        <v>60</v>
      </c>
      <c r="G163" t="s">
        <v>23</v>
      </c>
      <c r="H163" t="s">
        <v>356</v>
      </c>
      <c r="I163" s="1" t="s">
        <v>26</v>
      </c>
      <c r="J163" s="1" t="s">
        <v>25</v>
      </c>
      <c r="K163" s="1" t="s">
        <v>26</v>
      </c>
      <c r="L163" s="1" t="s">
        <v>25</v>
      </c>
      <c r="M163" s="1" t="s">
        <v>25</v>
      </c>
      <c r="N163" s="1" t="s">
        <v>26</v>
      </c>
      <c r="O163" s="1" t="s">
        <v>25</v>
      </c>
      <c r="P163" s="1" t="s">
        <v>25</v>
      </c>
      <c r="Q163" s="1" t="s">
        <v>25</v>
      </c>
      <c r="R163" s="1" t="s">
        <v>25</v>
      </c>
      <c r="S163" s="2">
        <v>0</v>
      </c>
    </row>
    <row r="164" spans="1:19" x14ac:dyDescent="0.3">
      <c r="A164" t="s">
        <v>357</v>
      </c>
      <c r="B164" s="5" t="e" cm="1">
        <f t="array" ref="B164">MAX(#REF!,MIN(#REF!,#REF!+SUMPRODUCT(--(FoodData[[#This Row],[Healthy]:[Refined]]="Yes"),#REF!)+FoodData[[#This Row],[Adjust]]))</f>
        <v>#REF!</v>
      </c>
      <c r="C164" s="1" t="e">
        <f>LOOKUP(FoodData[[#This Row],[Score]],#REF!,#REF!)</f>
        <v>#REF!</v>
      </c>
      <c r="D164" t="s">
        <v>342</v>
      </c>
      <c r="E164" t="s">
        <v>28</v>
      </c>
      <c r="F164" t="s">
        <v>22</v>
      </c>
      <c r="G164" t="s">
        <v>23</v>
      </c>
      <c r="H164" t="s">
        <v>358</v>
      </c>
      <c r="I164" s="1" t="s">
        <v>26</v>
      </c>
      <c r="J164" s="1" t="s">
        <v>25</v>
      </c>
      <c r="K164" s="1" t="s">
        <v>26</v>
      </c>
      <c r="L164" s="1" t="s">
        <v>26</v>
      </c>
      <c r="M164" s="1" t="s">
        <v>25</v>
      </c>
      <c r="N164" s="1" t="s">
        <v>26</v>
      </c>
      <c r="O164" s="1" t="s">
        <v>25</v>
      </c>
      <c r="P164" s="1" t="s">
        <v>25</v>
      </c>
      <c r="Q164" s="1" t="s">
        <v>25</v>
      </c>
      <c r="R164" s="1" t="s">
        <v>25</v>
      </c>
      <c r="S164" s="2">
        <v>0</v>
      </c>
    </row>
    <row r="165" spans="1:19" x14ac:dyDescent="0.3">
      <c r="A165" t="s">
        <v>359</v>
      </c>
      <c r="B165" s="5" t="e" cm="1">
        <f t="array" ref="B165">MAX(#REF!,MIN(#REF!,#REF!+SUMPRODUCT(--(FoodData[[#This Row],[Healthy]:[Refined]]="Yes"),#REF!)+FoodData[[#This Row],[Adjust]]))</f>
        <v>#REF!</v>
      </c>
      <c r="C165" s="1" t="e">
        <f>LOOKUP(FoodData[[#This Row],[Score]],#REF!,#REF!)</f>
        <v>#REF!</v>
      </c>
      <c r="D165" t="s">
        <v>342</v>
      </c>
      <c r="E165" t="s">
        <v>28</v>
      </c>
      <c r="F165" t="s">
        <v>22</v>
      </c>
      <c r="G165" t="s">
        <v>23</v>
      </c>
      <c r="H165" t="s">
        <v>360</v>
      </c>
      <c r="I165" s="1" t="s">
        <v>25</v>
      </c>
      <c r="J165" s="1" t="s">
        <v>25</v>
      </c>
      <c r="K165" s="1" t="s">
        <v>26</v>
      </c>
      <c r="L165" s="1" t="s">
        <v>25</v>
      </c>
      <c r="M165" s="1" t="s">
        <v>25</v>
      </c>
      <c r="N165" s="1" t="s">
        <v>26</v>
      </c>
      <c r="O165" s="1" t="s">
        <v>26</v>
      </c>
      <c r="P165" s="1" t="s">
        <v>25</v>
      </c>
      <c r="Q165" s="1" t="s">
        <v>25</v>
      </c>
      <c r="R165" s="1" t="s">
        <v>25</v>
      </c>
      <c r="S165" s="2">
        <v>0</v>
      </c>
    </row>
    <row r="166" spans="1:19" x14ac:dyDescent="0.3">
      <c r="A166" t="s">
        <v>361</v>
      </c>
      <c r="B166" s="5" t="e" cm="1">
        <f t="array" ref="B166">MAX(#REF!,MIN(#REF!,#REF!+SUMPRODUCT(--(FoodData[[#This Row],[Healthy]:[Refined]]="Yes"),#REF!)+FoodData[[#This Row],[Adjust]]))</f>
        <v>#REF!</v>
      </c>
      <c r="C166" s="1" t="e">
        <f>LOOKUP(FoodData[[#This Row],[Score]],#REF!,#REF!)</f>
        <v>#REF!</v>
      </c>
      <c r="D166" t="s">
        <v>342</v>
      </c>
      <c r="E166" t="s">
        <v>28</v>
      </c>
      <c r="F166" t="s">
        <v>22</v>
      </c>
      <c r="G166" t="s">
        <v>23</v>
      </c>
      <c r="H166" t="s">
        <v>362</v>
      </c>
      <c r="I166" s="1" t="s">
        <v>26</v>
      </c>
      <c r="J166" s="1" t="s">
        <v>26</v>
      </c>
      <c r="K166" s="1" t="s">
        <v>26</v>
      </c>
      <c r="L166" s="1" t="s">
        <v>26</v>
      </c>
      <c r="M166" s="1" t="s">
        <v>25</v>
      </c>
      <c r="N166" s="1" t="s">
        <v>25</v>
      </c>
      <c r="O166" s="1" t="s">
        <v>25</v>
      </c>
      <c r="P166" s="1" t="s">
        <v>25</v>
      </c>
      <c r="Q166" s="1" t="s">
        <v>25</v>
      </c>
      <c r="R166" s="1" t="s">
        <v>25</v>
      </c>
      <c r="S166" s="2">
        <v>0</v>
      </c>
    </row>
    <row r="167" spans="1:19" x14ac:dyDescent="0.3">
      <c r="A167" t="s">
        <v>363</v>
      </c>
      <c r="B167" s="5" t="e" cm="1">
        <f t="array" ref="B167">MAX(#REF!,MIN(#REF!,#REF!+SUMPRODUCT(--(FoodData[[#This Row],[Healthy]:[Refined]]="Yes"),#REF!)+FoodData[[#This Row],[Adjust]]))</f>
        <v>#REF!</v>
      </c>
      <c r="C167" s="1" t="e">
        <f>LOOKUP(FoodData[[#This Row],[Score]],#REF!,#REF!)</f>
        <v>#REF!</v>
      </c>
      <c r="D167" t="s">
        <v>342</v>
      </c>
      <c r="E167" t="s">
        <v>28</v>
      </c>
      <c r="F167" t="s">
        <v>22</v>
      </c>
      <c r="G167" t="s">
        <v>23</v>
      </c>
      <c r="H167" t="s">
        <v>364</v>
      </c>
      <c r="I167" s="1" t="s">
        <v>26</v>
      </c>
      <c r="J167" s="1" t="s">
        <v>25</v>
      </c>
      <c r="K167" s="1" t="s">
        <v>26</v>
      </c>
      <c r="L167" s="1" t="s">
        <v>26</v>
      </c>
      <c r="M167" s="1" t="s">
        <v>25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  <c r="S167" s="2">
        <v>0</v>
      </c>
    </row>
    <row r="168" spans="1:19" x14ac:dyDescent="0.3">
      <c r="A168" t="s">
        <v>365</v>
      </c>
      <c r="B168" s="5" t="e" cm="1">
        <f t="array" ref="B168">MAX(#REF!,MIN(#REF!,#REF!+SUMPRODUCT(--(FoodData[[#This Row],[Healthy]:[Refined]]="Yes"),#REF!)+FoodData[[#This Row],[Adjust]]))</f>
        <v>#REF!</v>
      </c>
      <c r="C168" s="1" t="e">
        <f>LOOKUP(FoodData[[#This Row],[Score]],#REF!,#REF!)</f>
        <v>#REF!</v>
      </c>
      <c r="D168" t="s">
        <v>342</v>
      </c>
      <c r="E168" t="s">
        <v>28</v>
      </c>
      <c r="F168" t="s">
        <v>22</v>
      </c>
      <c r="G168" t="s">
        <v>29</v>
      </c>
      <c r="H168" t="s">
        <v>366</v>
      </c>
      <c r="I168" s="1" t="s">
        <v>26</v>
      </c>
      <c r="J168" s="1" t="s">
        <v>25</v>
      </c>
      <c r="K168" s="1" t="s">
        <v>25</v>
      </c>
      <c r="L168" s="1" t="s">
        <v>26</v>
      </c>
      <c r="M168" s="1" t="s">
        <v>25</v>
      </c>
      <c r="N168" s="1" t="s">
        <v>26</v>
      </c>
      <c r="O168" s="1" t="s">
        <v>25</v>
      </c>
      <c r="P168" s="1" t="s">
        <v>25</v>
      </c>
      <c r="Q168" s="1" t="s">
        <v>25</v>
      </c>
      <c r="R168" s="1" t="s">
        <v>25</v>
      </c>
      <c r="S168" s="2">
        <v>0</v>
      </c>
    </row>
    <row r="169" spans="1:19" x14ac:dyDescent="0.3">
      <c r="A169" t="s">
        <v>367</v>
      </c>
      <c r="B169" s="5" t="e" cm="1">
        <f t="array" ref="B169">MAX(#REF!,MIN(#REF!,#REF!+SUMPRODUCT(--(FoodData[[#This Row],[Healthy]:[Refined]]="Yes"),#REF!)+FoodData[[#This Row],[Adjust]]))</f>
        <v>#REF!</v>
      </c>
      <c r="C169" s="1" t="e">
        <f>LOOKUP(FoodData[[#This Row],[Score]],#REF!,#REF!)</f>
        <v>#REF!</v>
      </c>
      <c r="D169" t="s">
        <v>342</v>
      </c>
      <c r="E169" t="s">
        <v>28</v>
      </c>
      <c r="F169" t="s">
        <v>22</v>
      </c>
      <c r="G169" t="s">
        <v>23</v>
      </c>
      <c r="H169" t="s">
        <v>368</v>
      </c>
      <c r="I169" s="1" t="s">
        <v>26</v>
      </c>
      <c r="J169" s="1" t="s">
        <v>26</v>
      </c>
      <c r="K169" s="1" t="s">
        <v>26</v>
      </c>
      <c r="L169" s="1" t="s">
        <v>26</v>
      </c>
      <c r="M169" s="1" t="s">
        <v>25</v>
      </c>
      <c r="N169" s="1" t="s">
        <v>25</v>
      </c>
      <c r="O169" s="1" t="s">
        <v>25</v>
      </c>
      <c r="P169" s="1" t="s">
        <v>25</v>
      </c>
      <c r="Q169" s="1" t="s">
        <v>25</v>
      </c>
      <c r="R169" s="1" t="s">
        <v>25</v>
      </c>
      <c r="S169" s="2">
        <v>0</v>
      </c>
    </row>
    <row r="170" spans="1:19" x14ac:dyDescent="0.3">
      <c r="A170" t="s">
        <v>369</v>
      </c>
      <c r="B170" s="5" t="e" cm="1">
        <f t="array" ref="B170">MAX(#REF!,MIN(#REF!,#REF!+SUMPRODUCT(--(FoodData[[#This Row],[Healthy]:[Refined]]="Yes"),#REF!)+FoodData[[#This Row],[Adjust]]))</f>
        <v>#REF!</v>
      </c>
      <c r="C170" s="1" t="e">
        <f>LOOKUP(FoodData[[#This Row],[Score]],#REF!,#REF!)</f>
        <v>#REF!</v>
      </c>
      <c r="D170" t="s">
        <v>342</v>
      </c>
      <c r="E170" t="s">
        <v>28</v>
      </c>
      <c r="F170" t="s">
        <v>22</v>
      </c>
      <c r="G170" t="s">
        <v>29</v>
      </c>
      <c r="H170" t="s">
        <v>370</v>
      </c>
      <c r="I170" s="1" t="s">
        <v>26</v>
      </c>
      <c r="J170" s="1" t="s">
        <v>25</v>
      </c>
      <c r="K170" s="1" t="s">
        <v>25</v>
      </c>
      <c r="L170" s="1" t="s">
        <v>26</v>
      </c>
      <c r="M170" s="1" t="s">
        <v>25</v>
      </c>
      <c r="N170" s="1" t="s">
        <v>26</v>
      </c>
      <c r="O170" s="1" t="s">
        <v>25</v>
      </c>
      <c r="P170" s="1" t="s">
        <v>25</v>
      </c>
      <c r="Q170" s="1" t="s">
        <v>25</v>
      </c>
      <c r="R170" s="1" t="s">
        <v>25</v>
      </c>
      <c r="S170" s="2">
        <v>0</v>
      </c>
    </row>
    <row r="171" spans="1:19" x14ac:dyDescent="0.3">
      <c r="A171" t="s">
        <v>371</v>
      </c>
      <c r="B171" s="5" t="e" cm="1">
        <f t="array" ref="B171">MAX(#REF!,MIN(#REF!,#REF!+SUMPRODUCT(--(FoodData[[#This Row],[Healthy]:[Refined]]="Yes"),#REF!)+FoodData[[#This Row],[Adjust]]))</f>
        <v>#REF!</v>
      </c>
      <c r="C171" s="1" t="e">
        <f>LOOKUP(FoodData[[#This Row],[Score]],#REF!,#REF!)</f>
        <v>#REF!</v>
      </c>
      <c r="D171" t="s">
        <v>342</v>
      </c>
      <c r="E171" t="s">
        <v>28</v>
      </c>
      <c r="F171" t="s">
        <v>22</v>
      </c>
      <c r="G171" t="s">
        <v>23</v>
      </c>
      <c r="H171" t="s">
        <v>372</v>
      </c>
      <c r="I171" s="1" t="s">
        <v>26</v>
      </c>
      <c r="J171" s="1" t="s">
        <v>25</v>
      </c>
      <c r="K171" s="1" t="s">
        <v>25</v>
      </c>
      <c r="L171" s="1" t="s">
        <v>25</v>
      </c>
      <c r="M171" s="1" t="s">
        <v>25</v>
      </c>
      <c r="N171" s="1" t="s">
        <v>26</v>
      </c>
      <c r="O171" s="1" t="s">
        <v>25</v>
      </c>
      <c r="P171" s="1" t="s">
        <v>25</v>
      </c>
      <c r="Q171" s="1" t="s">
        <v>25</v>
      </c>
      <c r="R171" s="1" t="s">
        <v>25</v>
      </c>
      <c r="S171" s="2">
        <v>0</v>
      </c>
    </row>
    <row r="172" spans="1:19" x14ac:dyDescent="0.3">
      <c r="A172" t="s">
        <v>373</v>
      </c>
      <c r="B172" s="5" t="e" cm="1">
        <f t="array" ref="B172">MAX(#REF!,MIN(#REF!,#REF!+SUMPRODUCT(--(FoodData[[#This Row],[Healthy]:[Refined]]="Yes"),#REF!)+FoodData[[#This Row],[Adjust]]))</f>
        <v>#REF!</v>
      </c>
      <c r="C172" s="1" t="e">
        <f>LOOKUP(FoodData[[#This Row],[Score]],#REF!,#REF!)</f>
        <v>#REF!</v>
      </c>
      <c r="D172" t="s">
        <v>342</v>
      </c>
      <c r="E172" t="s">
        <v>28</v>
      </c>
      <c r="F172" t="s">
        <v>22</v>
      </c>
      <c r="G172" t="s">
        <v>23</v>
      </c>
      <c r="H172" t="s">
        <v>374</v>
      </c>
      <c r="I172" s="1" t="s">
        <v>25</v>
      </c>
      <c r="J172" s="1" t="s">
        <v>25</v>
      </c>
      <c r="K172" s="1" t="s">
        <v>25</v>
      </c>
      <c r="L172" s="1" t="s">
        <v>26</v>
      </c>
      <c r="M172" s="1" t="s">
        <v>25</v>
      </c>
      <c r="N172" s="1" t="s">
        <v>26</v>
      </c>
      <c r="O172" s="1" t="s">
        <v>25</v>
      </c>
      <c r="P172" s="1" t="s">
        <v>25</v>
      </c>
      <c r="Q172" s="1" t="s">
        <v>25</v>
      </c>
      <c r="R172" s="1" t="s">
        <v>25</v>
      </c>
      <c r="S172" s="2">
        <v>0</v>
      </c>
    </row>
    <row r="173" spans="1:19" x14ac:dyDescent="0.3">
      <c r="A173" t="s">
        <v>375</v>
      </c>
      <c r="B173" s="5" t="e" cm="1">
        <f t="array" ref="B173">MAX(#REF!,MIN(#REF!,#REF!+SUMPRODUCT(--(FoodData[[#This Row],[Healthy]:[Refined]]="Yes"),#REF!)+FoodData[[#This Row],[Adjust]]))</f>
        <v>#REF!</v>
      </c>
      <c r="C173" s="1" t="e">
        <f>LOOKUP(FoodData[[#This Row],[Score]],#REF!,#REF!)</f>
        <v>#REF!</v>
      </c>
      <c r="D173" t="s">
        <v>342</v>
      </c>
      <c r="E173" t="s">
        <v>28</v>
      </c>
      <c r="F173" t="s">
        <v>22</v>
      </c>
      <c r="G173" t="s">
        <v>23</v>
      </c>
      <c r="H173" t="s">
        <v>376</v>
      </c>
      <c r="I173" s="1" t="s">
        <v>26</v>
      </c>
      <c r="J173" s="1" t="s">
        <v>25</v>
      </c>
      <c r="K173" s="1" t="s">
        <v>26</v>
      </c>
      <c r="L173" s="1" t="s">
        <v>26</v>
      </c>
      <c r="M173" s="1" t="s">
        <v>25</v>
      </c>
      <c r="N173" s="1" t="s">
        <v>25</v>
      </c>
      <c r="O173" s="1" t="s">
        <v>26</v>
      </c>
      <c r="P173" s="1" t="s">
        <v>25</v>
      </c>
      <c r="Q173" s="1" t="s">
        <v>25</v>
      </c>
      <c r="R173" s="1" t="s">
        <v>25</v>
      </c>
      <c r="S173" s="2">
        <v>0</v>
      </c>
    </row>
    <row r="174" spans="1:19" x14ac:dyDescent="0.3">
      <c r="A174" t="s">
        <v>377</v>
      </c>
      <c r="B174" s="5" t="e" cm="1">
        <f t="array" ref="B174">MAX(#REF!,MIN(#REF!,#REF!+SUMPRODUCT(--(FoodData[[#This Row],[Healthy]:[Refined]]="Yes"),#REF!)+FoodData[[#This Row],[Adjust]]))</f>
        <v>#REF!</v>
      </c>
      <c r="C174" s="1" t="e">
        <f>LOOKUP(FoodData[[#This Row],[Score]],#REF!,#REF!)</f>
        <v>#REF!</v>
      </c>
      <c r="D174" t="s">
        <v>342</v>
      </c>
      <c r="E174" t="s">
        <v>28</v>
      </c>
      <c r="F174" t="s">
        <v>22</v>
      </c>
      <c r="G174" t="s">
        <v>29</v>
      </c>
      <c r="H174" t="s">
        <v>378</v>
      </c>
      <c r="I174" s="1" t="s">
        <v>26</v>
      </c>
      <c r="J174" s="1" t="s">
        <v>26</v>
      </c>
      <c r="K174" s="1" t="s">
        <v>26</v>
      </c>
      <c r="L174" s="1" t="s">
        <v>26</v>
      </c>
      <c r="M174" s="1" t="s">
        <v>25</v>
      </c>
      <c r="N174" s="1" t="s">
        <v>25</v>
      </c>
      <c r="O174" s="1" t="s">
        <v>25</v>
      </c>
      <c r="P174" s="1" t="s">
        <v>25</v>
      </c>
      <c r="Q174" s="1" t="s">
        <v>25</v>
      </c>
      <c r="R174" s="1" t="s">
        <v>25</v>
      </c>
      <c r="S174" s="2">
        <v>0</v>
      </c>
    </row>
    <row r="175" spans="1:19" x14ac:dyDescent="0.3">
      <c r="A175" t="s">
        <v>379</v>
      </c>
      <c r="B175" s="5" t="e" cm="1">
        <f t="array" ref="B175">MAX(#REF!,MIN(#REF!,#REF!+SUMPRODUCT(--(FoodData[[#This Row],[Healthy]:[Refined]]="Yes"),#REF!)+FoodData[[#This Row],[Adjust]]))</f>
        <v>#REF!</v>
      </c>
      <c r="C175" s="1" t="e">
        <f>LOOKUP(FoodData[[#This Row],[Score]],#REF!,#REF!)</f>
        <v>#REF!</v>
      </c>
      <c r="D175" t="s">
        <v>342</v>
      </c>
      <c r="E175" t="s">
        <v>28</v>
      </c>
      <c r="F175" t="s">
        <v>22</v>
      </c>
      <c r="G175" t="s">
        <v>29</v>
      </c>
      <c r="H175" t="s">
        <v>380</v>
      </c>
      <c r="I175" s="1" t="s">
        <v>26</v>
      </c>
      <c r="J175" s="1" t="s">
        <v>25</v>
      </c>
      <c r="K175" s="1" t="s">
        <v>25</v>
      </c>
      <c r="L175" s="1" t="s">
        <v>26</v>
      </c>
      <c r="M175" s="1" t="s">
        <v>25</v>
      </c>
      <c r="N175" s="1" t="s">
        <v>26</v>
      </c>
      <c r="O175" s="1" t="s">
        <v>25</v>
      </c>
      <c r="P175" s="1" t="s">
        <v>25</v>
      </c>
      <c r="Q175" s="1" t="s">
        <v>25</v>
      </c>
      <c r="R175" s="1" t="s">
        <v>25</v>
      </c>
      <c r="S175" s="2">
        <v>0</v>
      </c>
    </row>
    <row r="176" spans="1:19" x14ac:dyDescent="0.3">
      <c r="A176" t="s">
        <v>381</v>
      </c>
      <c r="B176" s="5" t="e" cm="1">
        <f t="array" ref="B176">MAX(#REF!,MIN(#REF!,#REF!+SUMPRODUCT(--(FoodData[[#This Row],[Healthy]:[Refined]]="Yes"),#REF!)+FoodData[[#This Row],[Adjust]]))</f>
        <v>#REF!</v>
      </c>
      <c r="C176" s="1" t="e">
        <f>LOOKUP(FoodData[[#This Row],[Score]],#REF!,#REF!)</f>
        <v>#REF!</v>
      </c>
      <c r="D176" t="s">
        <v>342</v>
      </c>
      <c r="E176" t="s">
        <v>28</v>
      </c>
      <c r="F176" t="s">
        <v>22</v>
      </c>
      <c r="G176" t="s">
        <v>23</v>
      </c>
      <c r="H176" t="s">
        <v>382</v>
      </c>
      <c r="I176" s="1" t="s">
        <v>26</v>
      </c>
      <c r="J176" s="1" t="s">
        <v>25</v>
      </c>
      <c r="K176" s="1" t="s">
        <v>25</v>
      </c>
      <c r="L176" s="1" t="s">
        <v>26</v>
      </c>
      <c r="M176" s="1" t="s">
        <v>25</v>
      </c>
      <c r="N176" s="1" t="s">
        <v>26</v>
      </c>
      <c r="O176" s="1" t="s">
        <v>25</v>
      </c>
      <c r="P176" s="1" t="s">
        <v>25</v>
      </c>
      <c r="Q176" s="1" t="s">
        <v>25</v>
      </c>
      <c r="R176" s="1" t="s">
        <v>25</v>
      </c>
      <c r="S176" s="2">
        <v>0</v>
      </c>
    </row>
    <row r="177" spans="1:19" x14ac:dyDescent="0.3">
      <c r="A177" t="s">
        <v>383</v>
      </c>
      <c r="B177" s="5" t="e" cm="1">
        <f t="array" ref="B177">MAX(#REF!,MIN(#REF!,#REF!+SUMPRODUCT(--(FoodData[[#This Row],[Healthy]:[Refined]]="Yes"),#REF!)+FoodData[[#This Row],[Adjust]]))</f>
        <v>#REF!</v>
      </c>
      <c r="C177" s="1" t="e">
        <f>LOOKUP(FoodData[[#This Row],[Score]],#REF!,#REF!)</f>
        <v>#REF!</v>
      </c>
      <c r="D177" t="s">
        <v>342</v>
      </c>
      <c r="E177" t="s">
        <v>384</v>
      </c>
      <c r="F177" t="s">
        <v>22</v>
      </c>
      <c r="G177" t="s">
        <v>23</v>
      </c>
      <c r="H177" t="s">
        <v>385</v>
      </c>
      <c r="I177" s="1" t="s">
        <v>26</v>
      </c>
      <c r="J177" s="1" t="s">
        <v>26</v>
      </c>
      <c r="K177" s="1" t="s">
        <v>25</v>
      </c>
      <c r="L177" s="1" t="s">
        <v>26</v>
      </c>
      <c r="M177" s="1" t="s">
        <v>25</v>
      </c>
      <c r="N177" s="1" t="s">
        <v>25</v>
      </c>
      <c r="O177" s="1" t="s">
        <v>25</v>
      </c>
      <c r="P177" s="1" t="s">
        <v>25</v>
      </c>
      <c r="Q177" s="1" t="s">
        <v>25</v>
      </c>
      <c r="R177" s="1" t="s">
        <v>25</v>
      </c>
      <c r="S177" s="2">
        <v>0</v>
      </c>
    </row>
    <row r="178" spans="1:19" x14ac:dyDescent="0.3">
      <c r="A178" t="s">
        <v>386</v>
      </c>
      <c r="B178" s="5" t="e" cm="1">
        <f t="array" ref="B178">MAX(#REF!,MIN(#REF!,#REF!+SUMPRODUCT(--(FoodData[[#This Row],[Healthy]:[Refined]]="Yes"),#REF!)+FoodData[[#This Row],[Adjust]]))</f>
        <v>#REF!</v>
      </c>
      <c r="C178" s="1" t="e">
        <f>LOOKUP(FoodData[[#This Row],[Score]],#REF!,#REF!)</f>
        <v>#REF!</v>
      </c>
      <c r="D178" t="s">
        <v>342</v>
      </c>
      <c r="E178" t="s">
        <v>28</v>
      </c>
      <c r="F178" t="s">
        <v>22</v>
      </c>
      <c r="G178" t="s">
        <v>23</v>
      </c>
      <c r="H178" t="s">
        <v>387</v>
      </c>
      <c r="I178" s="1" t="s">
        <v>26</v>
      </c>
      <c r="J178" s="1" t="s">
        <v>26</v>
      </c>
      <c r="K178" s="1" t="s">
        <v>25</v>
      </c>
      <c r="L178" s="1" t="s">
        <v>26</v>
      </c>
      <c r="M178" s="1" t="s">
        <v>25</v>
      </c>
      <c r="N178" s="1" t="s">
        <v>25</v>
      </c>
      <c r="O178" s="1" t="s">
        <v>25</v>
      </c>
      <c r="P178" s="1" t="s">
        <v>25</v>
      </c>
      <c r="Q178" s="1" t="s">
        <v>25</v>
      </c>
      <c r="R178" s="1" t="s">
        <v>25</v>
      </c>
      <c r="S178" s="2">
        <v>0</v>
      </c>
    </row>
    <row r="179" spans="1:19" x14ac:dyDescent="0.3">
      <c r="A179" t="s">
        <v>388</v>
      </c>
      <c r="B179" s="5" t="e" cm="1">
        <f t="array" ref="B179">MAX(#REF!,MIN(#REF!,#REF!+SUMPRODUCT(--(FoodData[[#This Row],[Healthy]:[Refined]]="Yes"),#REF!)+FoodData[[#This Row],[Adjust]]))</f>
        <v>#REF!</v>
      </c>
      <c r="C179" s="1" t="e">
        <f>LOOKUP(FoodData[[#This Row],[Score]],#REF!,#REF!)</f>
        <v>#REF!</v>
      </c>
      <c r="D179" t="s">
        <v>342</v>
      </c>
      <c r="E179" t="s">
        <v>28</v>
      </c>
      <c r="F179" t="s">
        <v>22</v>
      </c>
      <c r="G179" t="s">
        <v>29</v>
      </c>
      <c r="H179" t="s">
        <v>389</v>
      </c>
      <c r="I179" s="1" t="s">
        <v>26</v>
      </c>
      <c r="J179" s="1" t="s">
        <v>25</v>
      </c>
      <c r="K179" s="1" t="s">
        <v>25</v>
      </c>
      <c r="L179" s="1" t="s">
        <v>26</v>
      </c>
      <c r="M179" s="1" t="s">
        <v>25</v>
      </c>
      <c r="N179" s="1" t="s">
        <v>26</v>
      </c>
      <c r="O179" s="1" t="s">
        <v>25</v>
      </c>
      <c r="P179" s="1" t="s">
        <v>25</v>
      </c>
      <c r="Q179" s="1" t="s">
        <v>25</v>
      </c>
      <c r="R179" s="1" t="s">
        <v>25</v>
      </c>
      <c r="S179" s="2">
        <v>0</v>
      </c>
    </row>
    <row r="180" spans="1:19" x14ac:dyDescent="0.3">
      <c r="A180" t="s">
        <v>390</v>
      </c>
      <c r="B180" s="5" t="e" cm="1">
        <f t="array" ref="B180">MAX(#REF!,MIN(#REF!,#REF!+SUMPRODUCT(--(FoodData[[#This Row],[Healthy]:[Refined]]="Yes"),#REF!)+FoodData[[#This Row],[Adjust]]))</f>
        <v>#REF!</v>
      </c>
      <c r="C180" s="1" t="e">
        <f>LOOKUP(FoodData[[#This Row],[Score]],#REF!,#REF!)</f>
        <v>#REF!</v>
      </c>
      <c r="D180" t="s">
        <v>342</v>
      </c>
      <c r="E180" t="s">
        <v>28</v>
      </c>
      <c r="F180" t="s">
        <v>22</v>
      </c>
      <c r="G180" t="s">
        <v>23</v>
      </c>
      <c r="H180" t="s">
        <v>391</v>
      </c>
      <c r="I180" s="1" t="s">
        <v>25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26</v>
      </c>
      <c r="O180" s="1" t="s">
        <v>25</v>
      </c>
      <c r="P180" s="1" t="s">
        <v>25</v>
      </c>
      <c r="Q180" s="1" t="s">
        <v>25</v>
      </c>
      <c r="R180" s="1" t="s">
        <v>25</v>
      </c>
      <c r="S180" s="2">
        <v>0</v>
      </c>
    </row>
    <row r="181" spans="1:19" x14ac:dyDescent="0.3">
      <c r="A181" t="s">
        <v>392</v>
      </c>
      <c r="B181" s="5" t="e" cm="1">
        <f t="array" ref="B181">MAX(#REF!,MIN(#REF!,#REF!+SUMPRODUCT(--(FoodData[[#This Row],[Healthy]:[Refined]]="Yes"),#REF!)+FoodData[[#This Row],[Adjust]]))</f>
        <v>#REF!</v>
      </c>
      <c r="C181" s="1" t="e">
        <f>LOOKUP(FoodData[[#This Row],[Score]],#REF!,#REF!)</f>
        <v>#REF!</v>
      </c>
      <c r="D181" t="s">
        <v>342</v>
      </c>
      <c r="E181" t="s">
        <v>28</v>
      </c>
      <c r="F181" t="s">
        <v>22</v>
      </c>
      <c r="G181" t="s">
        <v>23</v>
      </c>
      <c r="H181" t="s">
        <v>393</v>
      </c>
      <c r="I181" s="1" t="s">
        <v>25</v>
      </c>
      <c r="J181" s="1" t="s">
        <v>25</v>
      </c>
      <c r="K181" s="1" t="s">
        <v>25</v>
      </c>
      <c r="L181" s="1" t="s">
        <v>26</v>
      </c>
      <c r="M181" s="1" t="s">
        <v>25</v>
      </c>
      <c r="N181" s="1" t="s">
        <v>26</v>
      </c>
      <c r="O181" s="1" t="s">
        <v>25</v>
      </c>
      <c r="P181" s="1" t="s">
        <v>25</v>
      </c>
      <c r="Q181" s="1" t="s">
        <v>25</v>
      </c>
      <c r="R181" s="1" t="s">
        <v>25</v>
      </c>
      <c r="S181" s="2">
        <v>0</v>
      </c>
    </row>
    <row r="182" spans="1:19" x14ac:dyDescent="0.3">
      <c r="A182" t="s">
        <v>394</v>
      </c>
      <c r="B182" s="5" t="e" cm="1">
        <f t="array" ref="B182">MAX(#REF!,MIN(#REF!,#REF!+SUMPRODUCT(--(FoodData[[#This Row],[Healthy]:[Refined]]="Yes"),#REF!)+FoodData[[#This Row],[Adjust]]))</f>
        <v>#REF!</v>
      </c>
      <c r="C182" s="1" t="e">
        <f>LOOKUP(FoodData[[#This Row],[Score]],#REF!,#REF!)</f>
        <v>#REF!</v>
      </c>
      <c r="D182" t="s">
        <v>342</v>
      </c>
      <c r="E182" t="s">
        <v>28</v>
      </c>
      <c r="F182" t="s">
        <v>22</v>
      </c>
      <c r="G182" t="s">
        <v>29</v>
      </c>
      <c r="H182" t="s">
        <v>395</v>
      </c>
      <c r="I182" s="1" t="s">
        <v>26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25</v>
      </c>
      <c r="S182" s="2">
        <v>0</v>
      </c>
    </row>
    <row r="183" spans="1:19" x14ac:dyDescent="0.3">
      <c r="A183" t="s">
        <v>396</v>
      </c>
      <c r="B183" s="5" t="e" cm="1">
        <f t="array" ref="B183">MAX(#REF!,MIN(#REF!,#REF!+SUMPRODUCT(--(FoodData[[#This Row],[Healthy]:[Refined]]="Yes"),#REF!)+FoodData[[#This Row],[Adjust]]))</f>
        <v>#REF!</v>
      </c>
      <c r="C183" s="1" t="e">
        <f>LOOKUP(FoodData[[#This Row],[Score]],#REF!,#REF!)</f>
        <v>#REF!</v>
      </c>
      <c r="D183" t="s">
        <v>342</v>
      </c>
      <c r="E183" t="s">
        <v>28</v>
      </c>
      <c r="F183" t="s">
        <v>22</v>
      </c>
      <c r="G183" t="s">
        <v>23</v>
      </c>
      <c r="H183" t="s">
        <v>397</v>
      </c>
      <c r="I183" s="1" t="s">
        <v>25</v>
      </c>
      <c r="J183" s="1" t="s">
        <v>25</v>
      </c>
      <c r="K183" s="1" t="s">
        <v>25</v>
      </c>
      <c r="L183" s="1" t="s">
        <v>26</v>
      </c>
      <c r="M183" s="1" t="s">
        <v>25</v>
      </c>
      <c r="N183" s="1" t="s">
        <v>26</v>
      </c>
      <c r="O183" s="1" t="s">
        <v>25</v>
      </c>
      <c r="P183" s="1" t="s">
        <v>25</v>
      </c>
      <c r="Q183" s="1" t="s">
        <v>25</v>
      </c>
      <c r="R183" s="1" t="s">
        <v>25</v>
      </c>
      <c r="S183" s="2">
        <v>0</v>
      </c>
    </row>
    <row r="184" spans="1:19" x14ac:dyDescent="0.3">
      <c r="A184" t="s">
        <v>398</v>
      </c>
      <c r="B184" s="5" t="e" cm="1">
        <f t="array" ref="B184">MAX(#REF!,MIN(#REF!,#REF!+SUMPRODUCT(--(FoodData[[#This Row],[Healthy]:[Refined]]="Yes"),#REF!)+FoodData[[#This Row],[Adjust]]))</f>
        <v>#REF!</v>
      </c>
      <c r="C184" s="1" t="e">
        <f>LOOKUP(FoodData[[#This Row],[Score]],#REF!,#REF!)</f>
        <v>#REF!</v>
      </c>
      <c r="D184" t="s">
        <v>342</v>
      </c>
      <c r="E184" t="s">
        <v>28</v>
      </c>
      <c r="F184" t="s">
        <v>22</v>
      </c>
      <c r="G184" t="s">
        <v>23</v>
      </c>
      <c r="H184" t="s">
        <v>399</v>
      </c>
      <c r="I184" s="1" t="s">
        <v>25</v>
      </c>
      <c r="J184" s="1" t="s">
        <v>26</v>
      </c>
      <c r="K184" s="1" t="s">
        <v>26</v>
      </c>
      <c r="L184" s="1" t="s">
        <v>26</v>
      </c>
      <c r="M184" s="1" t="s">
        <v>25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25</v>
      </c>
      <c r="S184" s="2">
        <v>0</v>
      </c>
    </row>
    <row r="185" spans="1:19" x14ac:dyDescent="0.3">
      <c r="A185" t="s">
        <v>400</v>
      </c>
      <c r="B185" s="5" t="e" cm="1">
        <f t="array" ref="B185">MAX(#REF!,MIN(#REF!,#REF!+SUMPRODUCT(--(FoodData[[#This Row],[Healthy]:[Refined]]="Yes"),#REF!)+FoodData[[#This Row],[Adjust]]))</f>
        <v>#REF!</v>
      </c>
      <c r="C185" s="1" t="e">
        <f>LOOKUP(FoodData[[#This Row],[Score]],#REF!,#REF!)</f>
        <v>#REF!</v>
      </c>
      <c r="D185" t="s">
        <v>342</v>
      </c>
      <c r="E185" t="s">
        <v>28</v>
      </c>
      <c r="F185" t="s">
        <v>22</v>
      </c>
      <c r="G185" t="s">
        <v>23</v>
      </c>
      <c r="H185" t="s">
        <v>401</v>
      </c>
      <c r="I185" s="1" t="s">
        <v>25</v>
      </c>
      <c r="J185" s="1" t="s">
        <v>25</v>
      </c>
      <c r="K185" s="1" t="s">
        <v>25</v>
      </c>
      <c r="L185" s="1" t="s">
        <v>26</v>
      </c>
      <c r="M185" s="1" t="s">
        <v>25</v>
      </c>
      <c r="N185" s="1" t="s">
        <v>26</v>
      </c>
      <c r="O185" s="1" t="s">
        <v>25</v>
      </c>
      <c r="P185" s="1" t="s">
        <v>25</v>
      </c>
      <c r="Q185" s="1" t="s">
        <v>25</v>
      </c>
      <c r="R185" s="1" t="s">
        <v>25</v>
      </c>
      <c r="S185" s="2">
        <v>0</v>
      </c>
    </row>
    <row r="186" spans="1:19" x14ac:dyDescent="0.3">
      <c r="A186" t="s">
        <v>402</v>
      </c>
      <c r="B186" s="5" t="e" cm="1">
        <f t="array" ref="B186">MAX(#REF!,MIN(#REF!,#REF!+SUMPRODUCT(--(FoodData[[#This Row],[Healthy]:[Refined]]="Yes"),#REF!)+FoodData[[#This Row],[Adjust]]))</f>
        <v>#REF!</v>
      </c>
      <c r="C186" s="1" t="e">
        <f>LOOKUP(FoodData[[#This Row],[Score]],#REF!,#REF!)</f>
        <v>#REF!</v>
      </c>
      <c r="D186" t="s">
        <v>342</v>
      </c>
      <c r="E186" t="s">
        <v>28</v>
      </c>
      <c r="F186" t="s">
        <v>22</v>
      </c>
      <c r="G186" t="s">
        <v>23</v>
      </c>
      <c r="H186" t="s">
        <v>403</v>
      </c>
      <c r="I186" s="1" t="s">
        <v>26</v>
      </c>
      <c r="J186" s="1" t="s">
        <v>25</v>
      </c>
      <c r="K186" s="1" t="s">
        <v>25</v>
      </c>
      <c r="L186" s="1" t="s">
        <v>26</v>
      </c>
      <c r="M186" s="1" t="s">
        <v>25</v>
      </c>
      <c r="N186" s="1" t="s">
        <v>25</v>
      </c>
      <c r="O186" s="1" t="s">
        <v>25</v>
      </c>
      <c r="P186" s="1" t="s">
        <v>25</v>
      </c>
      <c r="Q186" s="1" t="s">
        <v>25</v>
      </c>
      <c r="R186" s="1" t="s">
        <v>25</v>
      </c>
      <c r="S186" s="2">
        <v>0</v>
      </c>
    </row>
    <row r="187" spans="1:19" x14ac:dyDescent="0.3">
      <c r="A187" t="s">
        <v>404</v>
      </c>
      <c r="B187" s="5" t="e" cm="1">
        <f t="array" ref="B187">MAX(#REF!,MIN(#REF!,#REF!+SUMPRODUCT(--(FoodData[[#This Row],[Healthy]:[Refined]]="Yes"),#REF!)+FoodData[[#This Row],[Adjust]]))</f>
        <v>#REF!</v>
      </c>
      <c r="C187" s="1" t="e">
        <f>LOOKUP(FoodData[[#This Row],[Score]],#REF!,#REF!)</f>
        <v>#REF!</v>
      </c>
      <c r="D187" t="s">
        <v>342</v>
      </c>
      <c r="E187" t="s">
        <v>28</v>
      </c>
      <c r="F187" t="s">
        <v>60</v>
      </c>
      <c r="G187" t="s">
        <v>29</v>
      </c>
      <c r="H187" t="s">
        <v>405</v>
      </c>
      <c r="I187" s="1" t="s">
        <v>26</v>
      </c>
      <c r="J187" s="1" t="s">
        <v>25</v>
      </c>
      <c r="K187" s="1" t="s">
        <v>26</v>
      </c>
      <c r="L187" s="1" t="s">
        <v>25</v>
      </c>
      <c r="M187" s="1" t="s">
        <v>25</v>
      </c>
      <c r="N187" s="1" t="s">
        <v>26</v>
      </c>
      <c r="O187" s="1" t="s">
        <v>25</v>
      </c>
      <c r="P187" s="1" t="s">
        <v>25</v>
      </c>
      <c r="Q187" s="1" t="s">
        <v>25</v>
      </c>
      <c r="R187" s="1" t="s">
        <v>25</v>
      </c>
      <c r="S187" s="2">
        <v>0</v>
      </c>
    </row>
    <row r="188" spans="1:19" x14ac:dyDescent="0.3">
      <c r="A188" t="s">
        <v>406</v>
      </c>
      <c r="B188" s="5" t="e" cm="1">
        <f t="array" ref="B188">MAX(#REF!,MIN(#REF!,#REF!+SUMPRODUCT(--(FoodData[[#This Row],[Healthy]:[Refined]]="Yes"),#REF!)+FoodData[[#This Row],[Adjust]]))</f>
        <v>#REF!</v>
      </c>
      <c r="C188" s="1" t="e">
        <f>LOOKUP(FoodData[[#This Row],[Score]],#REF!,#REF!)</f>
        <v>#REF!</v>
      </c>
      <c r="D188" t="s">
        <v>342</v>
      </c>
      <c r="E188" t="s">
        <v>28</v>
      </c>
      <c r="F188" t="s">
        <v>22</v>
      </c>
      <c r="G188" t="s">
        <v>29</v>
      </c>
      <c r="H188" t="s">
        <v>407</v>
      </c>
      <c r="I188" s="1" t="s">
        <v>26</v>
      </c>
      <c r="J188" s="1" t="s">
        <v>25</v>
      </c>
      <c r="K188" s="1" t="s">
        <v>25</v>
      </c>
      <c r="L188" s="1" t="s">
        <v>26</v>
      </c>
      <c r="M188" s="1" t="s">
        <v>25</v>
      </c>
      <c r="N188" s="1" t="s">
        <v>26</v>
      </c>
      <c r="O188" s="1" t="s">
        <v>25</v>
      </c>
      <c r="P188" s="1" t="s">
        <v>25</v>
      </c>
      <c r="Q188" s="1" t="s">
        <v>25</v>
      </c>
      <c r="R188" s="1" t="s">
        <v>25</v>
      </c>
      <c r="S188" s="2">
        <v>0</v>
      </c>
    </row>
    <row r="189" spans="1:19" x14ac:dyDescent="0.3">
      <c r="A189" t="s">
        <v>408</v>
      </c>
      <c r="B189" s="5" t="e" cm="1">
        <f t="array" ref="B189">MAX(#REF!,MIN(#REF!,#REF!+SUMPRODUCT(--(FoodData[[#This Row],[Healthy]:[Refined]]="Yes"),#REF!)+FoodData[[#This Row],[Adjust]]))</f>
        <v>#REF!</v>
      </c>
      <c r="C189" s="1" t="e">
        <f>LOOKUP(FoodData[[#This Row],[Score]],#REF!,#REF!)</f>
        <v>#REF!</v>
      </c>
      <c r="D189" t="s">
        <v>342</v>
      </c>
      <c r="E189" t="s">
        <v>28</v>
      </c>
      <c r="F189" t="s">
        <v>22</v>
      </c>
      <c r="G189" t="s">
        <v>23</v>
      </c>
      <c r="H189" t="s">
        <v>409</v>
      </c>
      <c r="I189" s="1" t="s">
        <v>26</v>
      </c>
      <c r="J189" s="1" t="s">
        <v>25</v>
      </c>
      <c r="K189" s="1" t="s">
        <v>25</v>
      </c>
      <c r="L189" s="1" t="s">
        <v>26</v>
      </c>
      <c r="M189" s="1" t="s">
        <v>25</v>
      </c>
      <c r="N189" s="1" t="s">
        <v>26</v>
      </c>
      <c r="O189" s="1" t="s">
        <v>25</v>
      </c>
      <c r="P189" s="1" t="s">
        <v>25</v>
      </c>
      <c r="Q189" s="1" t="s">
        <v>25</v>
      </c>
      <c r="R189" s="1" t="s">
        <v>25</v>
      </c>
      <c r="S189" s="2">
        <v>0</v>
      </c>
    </row>
    <row r="190" spans="1:19" x14ac:dyDescent="0.3">
      <c r="A190" t="s">
        <v>410</v>
      </c>
      <c r="B190" s="5" t="e" cm="1">
        <f t="array" ref="B190">MAX(#REF!,MIN(#REF!,#REF!+SUMPRODUCT(--(FoodData[[#This Row],[Healthy]:[Refined]]="Yes"),#REF!)+FoodData[[#This Row],[Adjust]]))</f>
        <v>#REF!</v>
      </c>
      <c r="C190" s="1" t="e">
        <f>LOOKUP(FoodData[[#This Row],[Score]],#REF!,#REF!)</f>
        <v>#REF!</v>
      </c>
      <c r="D190" t="s">
        <v>342</v>
      </c>
      <c r="E190" t="s">
        <v>384</v>
      </c>
      <c r="F190" t="s">
        <v>22</v>
      </c>
      <c r="G190" t="s">
        <v>23</v>
      </c>
      <c r="H190" t="s">
        <v>411</v>
      </c>
      <c r="I190" s="1" t="s">
        <v>26</v>
      </c>
      <c r="J190" s="1" t="s">
        <v>26</v>
      </c>
      <c r="K190" s="1" t="s">
        <v>25</v>
      </c>
      <c r="L190" s="1" t="s">
        <v>26</v>
      </c>
      <c r="M190" s="1" t="s">
        <v>25</v>
      </c>
      <c r="N190" s="1" t="s">
        <v>25</v>
      </c>
      <c r="O190" s="1" t="s">
        <v>25</v>
      </c>
      <c r="P190" s="1" t="s">
        <v>25</v>
      </c>
      <c r="Q190" s="1" t="s">
        <v>25</v>
      </c>
      <c r="R190" s="1" t="s">
        <v>25</v>
      </c>
      <c r="S190" s="2">
        <v>0</v>
      </c>
    </row>
    <row r="191" spans="1:19" x14ac:dyDescent="0.3">
      <c r="A191" t="s">
        <v>412</v>
      </c>
      <c r="B191" s="5" t="e" cm="1">
        <f t="array" ref="B191">MAX(#REF!,MIN(#REF!,#REF!+SUMPRODUCT(--(FoodData[[#This Row],[Healthy]:[Refined]]="Yes"),#REF!)+FoodData[[#This Row],[Adjust]]))</f>
        <v>#REF!</v>
      </c>
      <c r="C191" s="1" t="e">
        <f>LOOKUP(FoodData[[#This Row],[Score]],#REF!,#REF!)</f>
        <v>#REF!</v>
      </c>
      <c r="D191" t="s">
        <v>342</v>
      </c>
      <c r="E191" t="s">
        <v>28</v>
      </c>
      <c r="F191" t="s">
        <v>22</v>
      </c>
      <c r="G191" t="s">
        <v>23</v>
      </c>
      <c r="H191" t="s">
        <v>413</v>
      </c>
      <c r="I191" s="1" t="s">
        <v>26</v>
      </c>
      <c r="J191" s="1" t="s">
        <v>25</v>
      </c>
      <c r="K191" s="1" t="s">
        <v>26</v>
      </c>
      <c r="L191" s="1" t="s">
        <v>26</v>
      </c>
      <c r="M191" s="1" t="s">
        <v>25</v>
      </c>
      <c r="N191" s="1" t="s">
        <v>26</v>
      </c>
      <c r="O191" s="1" t="s">
        <v>25</v>
      </c>
      <c r="P191" s="1" t="s">
        <v>25</v>
      </c>
      <c r="Q191" s="1" t="s">
        <v>25</v>
      </c>
      <c r="R191" s="1" t="s">
        <v>25</v>
      </c>
      <c r="S191" s="2">
        <v>0</v>
      </c>
    </row>
    <row r="192" spans="1:19" x14ac:dyDescent="0.3">
      <c r="A192" t="s">
        <v>414</v>
      </c>
      <c r="B192" s="5" t="e" cm="1">
        <f t="array" ref="B192">MAX(#REF!,MIN(#REF!,#REF!+SUMPRODUCT(--(FoodData[[#This Row],[Healthy]:[Refined]]="Yes"),#REF!)+FoodData[[#This Row],[Adjust]]))</f>
        <v>#REF!</v>
      </c>
      <c r="C192" s="1" t="e">
        <f>LOOKUP(FoodData[[#This Row],[Score]],#REF!,#REF!)</f>
        <v>#REF!</v>
      </c>
      <c r="D192" t="s">
        <v>342</v>
      </c>
      <c r="E192" t="s">
        <v>28</v>
      </c>
      <c r="F192" t="s">
        <v>22</v>
      </c>
      <c r="G192" t="s">
        <v>23</v>
      </c>
      <c r="H192" t="s">
        <v>415</v>
      </c>
      <c r="I192" s="1" t="s">
        <v>26</v>
      </c>
      <c r="J192" s="1" t="s">
        <v>26</v>
      </c>
      <c r="K192" s="1" t="s">
        <v>26</v>
      </c>
      <c r="L192" s="1" t="s">
        <v>26</v>
      </c>
      <c r="M192" s="1" t="s">
        <v>25</v>
      </c>
      <c r="N192" s="1" t="s">
        <v>25</v>
      </c>
      <c r="O192" s="1" t="s">
        <v>25</v>
      </c>
      <c r="P192" s="1" t="s">
        <v>25</v>
      </c>
      <c r="Q192" s="1" t="s">
        <v>25</v>
      </c>
      <c r="R192" s="1" t="s">
        <v>25</v>
      </c>
      <c r="S192" s="2">
        <v>0</v>
      </c>
    </row>
    <row r="193" spans="1:19" x14ac:dyDescent="0.3">
      <c r="A193" t="s">
        <v>416</v>
      </c>
      <c r="B193" s="5" t="e" cm="1">
        <f t="array" ref="B193">MAX(#REF!,MIN(#REF!,#REF!+SUMPRODUCT(--(FoodData[[#This Row],[Healthy]:[Refined]]="Yes"),#REF!)+FoodData[[#This Row],[Adjust]]))</f>
        <v>#REF!</v>
      </c>
      <c r="C193" s="1" t="e">
        <f>LOOKUP(FoodData[[#This Row],[Score]],#REF!,#REF!)</f>
        <v>#REF!</v>
      </c>
      <c r="D193" t="s">
        <v>342</v>
      </c>
      <c r="E193" t="s">
        <v>28</v>
      </c>
      <c r="F193" t="s">
        <v>22</v>
      </c>
      <c r="G193" t="s">
        <v>29</v>
      </c>
      <c r="H193" t="s">
        <v>417</v>
      </c>
      <c r="I193" s="1" t="s">
        <v>26</v>
      </c>
      <c r="J193" s="1" t="s">
        <v>26</v>
      </c>
      <c r="K193" s="1" t="s">
        <v>26</v>
      </c>
      <c r="L193" s="1" t="s">
        <v>26</v>
      </c>
      <c r="M193" s="1" t="s">
        <v>25</v>
      </c>
      <c r="N193" s="1" t="s">
        <v>25</v>
      </c>
      <c r="O193" s="1" t="s">
        <v>25</v>
      </c>
      <c r="P193" s="1" t="s">
        <v>25</v>
      </c>
      <c r="Q193" s="1" t="s">
        <v>25</v>
      </c>
      <c r="R193" s="1" t="s">
        <v>25</v>
      </c>
      <c r="S193" s="2">
        <v>0</v>
      </c>
    </row>
    <row r="194" spans="1:19" x14ac:dyDescent="0.3">
      <c r="A194" t="s">
        <v>418</v>
      </c>
      <c r="B194" s="5" t="e" cm="1">
        <f t="array" ref="B194">MAX(#REF!,MIN(#REF!,#REF!+SUMPRODUCT(--(FoodData[[#This Row],[Healthy]:[Refined]]="Yes"),#REF!)+FoodData[[#This Row],[Adjust]]))</f>
        <v>#REF!</v>
      </c>
      <c r="C194" s="1" t="e">
        <f>LOOKUP(FoodData[[#This Row],[Score]],#REF!,#REF!)</f>
        <v>#REF!</v>
      </c>
      <c r="D194" t="s">
        <v>342</v>
      </c>
      <c r="E194" t="s">
        <v>28</v>
      </c>
      <c r="F194" t="s">
        <v>22</v>
      </c>
      <c r="G194" t="s">
        <v>29</v>
      </c>
      <c r="H194" t="s">
        <v>419</v>
      </c>
      <c r="I194" s="1" t="s">
        <v>26</v>
      </c>
      <c r="J194" s="1" t="s">
        <v>25</v>
      </c>
      <c r="K194" s="1" t="s">
        <v>25</v>
      </c>
      <c r="L194" s="1" t="s">
        <v>26</v>
      </c>
      <c r="M194" s="1" t="s">
        <v>25</v>
      </c>
      <c r="N194" s="1" t="s">
        <v>26</v>
      </c>
      <c r="O194" s="1" t="s">
        <v>25</v>
      </c>
      <c r="P194" s="1" t="s">
        <v>25</v>
      </c>
      <c r="Q194" s="1" t="s">
        <v>25</v>
      </c>
      <c r="R194" s="1" t="s">
        <v>25</v>
      </c>
      <c r="S194" s="2">
        <v>0</v>
      </c>
    </row>
    <row r="195" spans="1:19" x14ac:dyDescent="0.3">
      <c r="A195" t="s">
        <v>420</v>
      </c>
      <c r="B195" s="5" t="e" cm="1">
        <f t="array" ref="B195">MAX(#REF!,MIN(#REF!,#REF!+SUMPRODUCT(--(FoodData[[#This Row],[Healthy]:[Refined]]="Yes"),#REF!)+FoodData[[#This Row],[Adjust]]))</f>
        <v>#REF!</v>
      </c>
      <c r="C195" s="1" t="e">
        <f>LOOKUP(FoodData[[#This Row],[Score]],#REF!,#REF!)</f>
        <v>#REF!</v>
      </c>
      <c r="D195" t="s">
        <v>342</v>
      </c>
      <c r="E195" t="s">
        <v>28</v>
      </c>
      <c r="F195" t="s">
        <v>22</v>
      </c>
      <c r="G195" t="s">
        <v>23</v>
      </c>
      <c r="H195" t="s">
        <v>421</v>
      </c>
      <c r="I195" s="1" t="s">
        <v>26</v>
      </c>
      <c r="J195" s="1" t="s">
        <v>25</v>
      </c>
      <c r="K195" s="1" t="s">
        <v>25</v>
      </c>
      <c r="L195" s="1" t="s">
        <v>26</v>
      </c>
      <c r="M195" s="1" t="s">
        <v>25</v>
      </c>
      <c r="N195" s="1" t="s">
        <v>26</v>
      </c>
      <c r="O195" s="1" t="s">
        <v>25</v>
      </c>
      <c r="P195" s="1" t="s">
        <v>25</v>
      </c>
      <c r="Q195" s="1" t="s">
        <v>25</v>
      </c>
      <c r="R195" s="1" t="s">
        <v>25</v>
      </c>
      <c r="S195" s="2">
        <v>0</v>
      </c>
    </row>
    <row r="196" spans="1:19" x14ac:dyDescent="0.3">
      <c r="A196" t="s">
        <v>422</v>
      </c>
      <c r="B196" s="5" t="e" cm="1">
        <f t="array" ref="B196">MAX(#REF!,MIN(#REF!,#REF!+SUMPRODUCT(--(FoodData[[#This Row],[Healthy]:[Refined]]="Yes"),#REF!)+FoodData[[#This Row],[Adjust]]))</f>
        <v>#REF!</v>
      </c>
      <c r="C196" s="1" t="e">
        <f>LOOKUP(FoodData[[#This Row],[Score]],#REF!,#REF!)</f>
        <v>#REF!</v>
      </c>
      <c r="D196" t="s">
        <v>342</v>
      </c>
      <c r="E196" t="s">
        <v>384</v>
      </c>
      <c r="F196" t="s">
        <v>22</v>
      </c>
      <c r="G196" t="s">
        <v>23</v>
      </c>
      <c r="H196" t="s">
        <v>423</v>
      </c>
      <c r="I196" s="1" t="s">
        <v>26</v>
      </c>
      <c r="J196" s="1" t="s">
        <v>26</v>
      </c>
      <c r="K196" s="1" t="s">
        <v>25</v>
      </c>
      <c r="L196" s="1" t="s">
        <v>26</v>
      </c>
      <c r="M196" s="1" t="s">
        <v>25</v>
      </c>
      <c r="N196" s="1" t="s">
        <v>25</v>
      </c>
      <c r="O196" s="1" t="s">
        <v>25</v>
      </c>
      <c r="P196" s="1" t="s">
        <v>25</v>
      </c>
      <c r="Q196" s="1" t="s">
        <v>25</v>
      </c>
      <c r="R196" s="1" t="s">
        <v>25</v>
      </c>
      <c r="S196" s="2">
        <v>0</v>
      </c>
    </row>
    <row r="197" spans="1:19" x14ac:dyDescent="0.3">
      <c r="A197" t="s">
        <v>424</v>
      </c>
      <c r="B197" s="5" t="e" cm="1">
        <f t="array" ref="B197">MAX(#REF!,MIN(#REF!,#REF!+SUMPRODUCT(--(FoodData[[#This Row],[Healthy]:[Refined]]="Yes"),#REF!)+FoodData[[#This Row],[Adjust]]))</f>
        <v>#REF!</v>
      </c>
      <c r="C197" s="1" t="e">
        <f>LOOKUP(FoodData[[#This Row],[Score]],#REF!,#REF!)</f>
        <v>#REF!</v>
      </c>
      <c r="D197" t="s">
        <v>342</v>
      </c>
      <c r="E197" t="s">
        <v>28</v>
      </c>
      <c r="F197" t="s">
        <v>22</v>
      </c>
      <c r="G197" t="s">
        <v>29</v>
      </c>
      <c r="H197" t="s">
        <v>425</v>
      </c>
      <c r="I197" s="1" t="s">
        <v>26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26</v>
      </c>
      <c r="O197" s="1" t="s">
        <v>25</v>
      </c>
      <c r="P197" s="1" t="s">
        <v>25</v>
      </c>
      <c r="Q197" s="1" t="s">
        <v>25</v>
      </c>
      <c r="R197" s="1" t="s">
        <v>25</v>
      </c>
      <c r="S197" s="2">
        <v>0</v>
      </c>
    </row>
    <row r="198" spans="1:19" x14ac:dyDescent="0.3">
      <c r="A198" t="s">
        <v>426</v>
      </c>
      <c r="B198" s="5" t="e" cm="1">
        <f t="array" ref="B198">MAX(#REF!,MIN(#REF!,#REF!+SUMPRODUCT(--(FoodData[[#This Row],[Healthy]:[Refined]]="Yes"),#REF!)+FoodData[[#This Row],[Adjust]]))</f>
        <v>#REF!</v>
      </c>
      <c r="C198" s="1" t="e">
        <f>LOOKUP(FoodData[[#This Row],[Score]],#REF!,#REF!)</f>
        <v>#REF!</v>
      </c>
      <c r="D198" t="s">
        <v>342</v>
      </c>
      <c r="E198" t="s">
        <v>28</v>
      </c>
      <c r="F198" t="s">
        <v>22</v>
      </c>
      <c r="G198" t="s">
        <v>23</v>
      </c>
      <c r="H198" t="s">
        <v>427</v>
      </c>
      <c r="I198" s="1" t="s">
        <v>26</v>
      </c>
      <c r="J198" s="1" t="s">
        <v>25</v>
      </c>
      <c r="K198" s="1" t="s">
        <v>25</v>
      </c>
      <c r="L198" s="1" t="s">
        <v>26</v>
      </c>
      <c r="M198" s="1" t="s">
        <v>25</v>
      </c>
      <c r="N198" s="1" t="s">
        <v>26</v>
      </c>
      <c r="O198" s="1" t="s">
        <v>25</v>
      </c>
      <c r="P198" s="1" t="s">
        <v>25</v>
      </c>
      <c r="Q198" s="1" t="s">
        <v>25</v>
      </c>
      <c r="R198" s="1" t="s">
        <v>25</v>
      </c>
      <c r="S198" s="2">
        <v>0</v>
      </c>
    </row>
    <row r="199" spans="1:19" x14ac:dyDescent="0.3">
      <c r="A199" t="s">
        <v>428</v>
      </c>
      <c r="B199" s="5" t="e" cm="1">
        <f t="array" ref="B199">MAX(#REF!,MIN(#REF!,#REF!+SUMPRODUCT(--(FoodData[[#This Row],[Healthy]:[Refined]]="Yes"),#REF!)+FoodData[[#This Row],[Adjust]]))</f>
        <v>#REF!</v>
      </c>
      <c r="C199" s="1" t="e">
        <f>LOOKUP(FoodData[[#This Row],[Score]],#REF!,#REF!)</f>
        <v>#REF!</v>
      </c>
      <c r="D199" t="s">
        <v>342</v>
      </c>
      <c r="E199" t="s">
        <v>28</v>
      </c>
      <c r="F199" t="s">
        <v>22</v>
      </c>
      <c r="G199" t="s">
        <v>23</v>
      </c>
      <c r="H199" t="s">
        <v>429</v>
      </c>
      <c r="I199" s="1" t="s">
        <v>26</v>
      </c>
      <c r="J199" s="1" t="s">
        <v>26</v>
      </c>
      <c r="K199" s="1" t="s">
        <v>26</v>
      </c>
      <c r="L199" s="1" t="s">
        <v>26</v>
      </c>
      <c r="M199" s="1" t="s">
        <v>25</v>
      </c>
      <c r="N199" s="1" t="s">
        <v>25</v>
      </c>
      <c r="O199" s="1" t="s">
        <v>25</v>
      </c>
      <c r="P199" s="1" t="s">
        <v>25</v>
      </c>
      <c r="Q199" s="1" t="s">
        <v>25</v>
      </c>
      <c r="R199" s="1" t="s">
        <v>25</v>
      </c>
      <c r="S199" s="2">
        <v>0</v>
      </c>
    </row>
    <row r="200" spans="1:19" x14ac:dyDescent="0.3">
      <c r="A200" t="s">
        <v>430</v>
      </c>
      <c r="B200" s="5" t="e" cm="1">
        <f t="array" ref="B200">MAX(#REF!,MIN(#REF!,#REF!+SUMPRODUCT(--(FoodData[[#This Row],[Healthy]:[Refined]]="Yes"),#REF!)+FoodData[[#This Row],[Adjust]]))</f>
        <v>#REF!</v>
      </c>
      <c r="C200" s="1" t="e">
        <f>LOOKUP(FoodData[[#This Row],[Score]],#REF!,#REF!)</f>
        <v>#REF!</v>
      </c>
      <c r="D200" t="s">
        <v>342</v>
      </c>
      <c r="E200" t="s">
        <v>384</v>
      </c>
      <c r="F200" t="s">
        <v>22</v>
      </c>
      <c r="G200" t="s">
        <v>23</v>
      </c>
      <c r="H200" t="s">
        <v>431</v>
      </c>
      <c r="I200" s="1" t="s">
        <v>26</v>
      </c>
      <c r="J200" s="1" t="s">
        <v>26</v>
      </c>
      <c r="K200" s="1" t="s">
        <v>25</v>
      </c>
      <c r="L200" s="1" t="s">
        <v>26</v>
      </c>
      <c r="M200" s="1" t="s">
        <v>25</v>
      </c>
      <c r="N200" s="1" t="s">
        <v>25</v>
      </c>
      <c r="O200" s="1" t="s">
        <v>25</v>
      </c>
      <c r="P200" s="1" t="s">
        <v>25</v>
      </c>
      <c r="Q200" s="1" t="s">
        <v>25</v>
      </c>
      <c r="R200" s="1" t="s">
        <v>25</v>
      </c>
      <c r="S200" s="2">
        <v>0</v>
      </c>
    </row>
    <row r="201" spans="1:19" x14ac:dyDescent="0.3">
      <c r="A201" t="s">
        <v>432</v>
      </c>
      <c r="B201" s="5" t="e" cm="1">
        <f t="array" ref="B201">MAX(#REF!,MIN(#REF!,#REF!+SUMPRODUCT(--(FoodData[[#This Row],[Healthy]:[Refined]]="Yes"),#REF!)+FoodData[[#This Row],[Adjust]]))</f>
        <v>#REF!</v>
      </c>
      <c r="C201" s="1" t="e">
        <f>LOOKUP(FoodData[[#This Row],[Score]],#REF!,#REF!)</f>
        <v>#REF!</v>
      </c>
      <c r="D201" t="s">
        <v>342</v>
      </c>
      <c r="E201" t="s">
        <v>28</v>
      </c>
      <c r="F201" t="s">
        <v>22</v>
      </c>
      <c r="G201" t="s">
        <v>29</v>
      </c>
      <c r="H201" t="s">
        <v>433</v>
      </c>
      <c r="I201" s="1" t="s">
        <v>26</v>
      </c>
      <c r="J201" s="1" t="s">
        <v>25</v>
      </c>
      <c r="K201" s="1" t="s">
        <v>25</v>
      </c>
      <c r="L201" s="1" t="s">
        <v>26</v>
      </c>
      <c r="M201" s="1" t="s">
        <v>25</v>
      </c>
      <c r="N201" s="1" t="s">
        <v>26</v>
      </c>
      <c r="O201" s="1" t="s">
        <v>25</v>
      </c>
      <c r="P201" s="1" t="s">
        <v>25</v>
      </c>
      <c r="Q201" s="1" t="s">
        <v>25</v>
      </c>
      <c r="R201" s="1" t="s">
        <v>25</v>
      </c>
      <c r="S201" s="2">
        <v>0</v>
      </c>
    </row>
    <row r="202" spans="1:19" x14ac:dyDescent="0.3">
      <c r="A202" t="s">
        <v>434</v>
      </c>
      <c r="B202" s="5" t="e" cm="1">
        <f t="array" ref="B202">MAX(#REF!,MIN(#REF!,#REF!+SUMPRODUCT(--(FoodData[[#This Row],[Healthy]:[Refined]]="Yes"),#REF!)+FoodData[[#This Row],[Adjust]]))</f>
        <v>#REF!</v>
      </c>
      <c r="C202" s="1" t="e">
        <f>LOOKUP(FoodData[[#This Row],[Score]],#REF!,#REF!)</f>
        <v>#REF!</v>
      </c>
      <c r="D202" t="s">
        <v>342</v>
      </c>
      <c r="E202" t="s">
        <v>28</v>
      </c>
      <c r="F202" t="s">
        <v>22</v>
      </c>
      <c r="G202" t="s">
        <v>29</v>
      </c>
      <c r="H202" t="s">
        <v>435</v>
      </c>
      <c r="I202" s="1" t="s">
        <v>26</v>
      </c>
      <c r="J202" s="1" t="s">
        <v>26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25</v>
      </c>
      <c r="Q202" s="1" t="s">
        <v>25</v>
      </c>
      <c r="R202" s="1" t="s">
        <v>25</v>
      </c>
      <c r="S202" s="2">
        <v>0</v>
      </c>
    </row>
    <row r="203" spans="1:19" x14ac:dyDescent="0.3">
      <c r="A203" t="s">
        <v>436</v>
      </c>
      <c r="B203" s="5" t="e" cm="1">
        <f t="array" ref="B203">MAX(#REF!,MIN(#REF!,#REF!+SUMPRODUCT(--(FoodData[[#This Row],[Healthy]:[Refined]]="Yes"),#REF!)+FoodData[[#This Row],[Adjust]]))</f>
        <v>#REF!</v>
      </c>
      <c r="C203" s="1" t="e">
        <f>LOOKUP(FoodData[[#This Row],[Score]],#REF!,#REF!)</f>
        <v>#REF!</v>
      </c>
      <c r="D203" t="s">
        <v>342</v>
      </c>
      <c r="E203" t="s">
        <v>28</v>
      </c>
      <c r="F203" t="s">
        <v>22</v>
      </c>
      <c r="G203" t="s">
        <v>23</v>
      </c>
      <c r="H203" t="s">
        <v>437</v>
      </c>
      <c r="I203" s="1" t="s">
        <v>26</v>
      </c>
      <c r="J203" s="1" t="s">
        <v>25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25</v>
      </c>
      <c r="P203" s="1" t="s">
        <v>25</v>
      </c>
      <c r="Q203" s="1" t="s">
        <v>25</v>
      </c>
      <c r="R203" s="1" t="s">
        <v>25</v>
      </c>
      <c r="S203" s="2">
        <v>0</v>
      </c>
    </row>
    <row r="204" spans="1:19" x14ac:dyDescent="0.3">
      <c r="A204" t="s">
        <v>438</v>
      </c>
      <c r="B204" s="5" t="e" cm="1">
        <f t="array" ref="B204">MAX(#REF!,MIN(#REF!,#REF!+SUMPRODUCT(--(FoodData[[#This Row],[Healthy]:[Refined]]="Yes"),#REF!)+FoodData[[#This Row],[Adjust]]))</f>
        <v>#REF!</v>
      </c>
      <c r="C204" s="1" t="e">
        <f>LOOKUP(FoodData[[#This Row],[Score]],#REF!,#REF!)</f>
        <v>#REF!</v>
      </c>
      <c r="D204" t="s">
        <v>342</v>
      </c>
      <c r="E204" t="s">
        <v>28</v>
      </c>
      <c r="F204" t="s">
        <v>22</v>
      </c>
      <c r="G204" t="s">
        <v>23</v>
      </c>
      <c r="H204" t="s">
        <v>439</v>
      </c>
      <c r="I204" s="1" t="s">
        <v>26</v>
      </c>
      <c r="J204" s="1" t="s">
        <v>25</v>
      </c>
      <c r="K204" s="1" t="s">
        <v>25</v>
      </c>
      <c r="L204" s="1" t="s">
        <v>26</v>
      </c>
      <c r="M204" s="1" t="s">
        <v>25</v>
      </c>
      <c r="N204" s="1" t="s">
        <v>26</v>
      </c>
      <c r="O204" s="1" t="s">
        <v>25</v>
      </c>
      <c r="P204" s="1" t="s">
        <v>25</v>
      </c>
      <c r="Q204" s="1" t="s">
        <v>25</v>
      </c>
      <c r="R204" s="1" t="s">
        <v>25</v>
      </c>
      <c r="S204" s="2">
        <v>0</v>
      </c>
    </row>
    <row r="205" spans="1:19" x14ac:dyDescent="0.3">
      <c r="A205" t="s">
        <v>440</v>
      </c>
      <c r="B205" s="5" t="e" cm="1">
        <f t="array" ref="B205">MAX(#REF!,MIN(#REF!,#REF!+SUMPRODUCT(--(FoodData[[#This Row],[Healthy]:[Refined]]="Yes"),#REF!)+FoodData[[#This Row],[Adjust]]))</f>
        <v>#REF!</v>
      </c>
      <c r="C205" s="1" t="e">
        <f>LOOKUP(FoodData[[#This Row],[Score]],#REF!,#REF!)</f>
        <v>#REF!</v>
      </c>
      <c r="D205" t="s">
        <v>342</v>
      </c>
      <c r="E205" t="s">
        <v>384</v>
      </c>
      <c r="F205" t="s">
        <v>22</v>
      </c>
      <c r="G205" t="s">
        <v>23</v>
      </c>
      <c r="H205" t="s">
        <v>441</v>
      </c>
      <c r="I205" s="1" t="s">
        <v>26</v>
      </c>
      <c r="J205" s="1" t="s">
        <v>26</v>
      </c>
      <c r="K205" s="1" t="s">
        <v>25</v>
      </c>
      <c r="L205" s="1" t="s">
        <v>26</v>
      </c>
      <c r="M205" s="1" t="s">
        <v>25</v>
      </c>
      <c r="N205" s="1" t="s">
        <v>25</v>
      </c>
      <c r="O205" s="1" t="s">
        <v>25</v>
      </c>
      <c r="P205" s="1" t="s">
        <v>25</v>
      </c>
      <c r="Q205" s="1" t="s">
        <v>25</v>
      </c>
      <c r="R205" s="1" t="s">
        <v>25</v>
      </c>
      <c r="S205" s="2">
        <v>0</v>
      </c>
    </row>
    <row r="206" spans="1:19" x14ac:dyDescent="0.3">
      <c r="A206" t="s">
        <v>442</v>
      </c>
      <c r="B206" s="5" t="e" cm="1">
        <f t="array" ref="B206">MAX(#REF!,MIN(#REF!,#REF!+SUMPRODUCT(--(FoodData[[#This Row],[Healthy]:[Refined]]="Yes"),#REF!)+FoodData[[#This Row],[Adjust]]))</f>
        <v>#REF!</v>
      </c>
      <c r="C206" s="1" t="e">
        <f>LOOKUP(FoodData[[#This Row],[Score]],#REF!,#REF!)</f>
        <v>#REF!</v>
      </c>
      <c r="D206" t="s">
        <v>342</v>
      </c>
      <c r="E206" t="s">
        <v>28</v>
      </c>
      <c r="F206" t="s">
        <v>22</v>
      </c>
      <c r="G206" t="s">
        <v>29</v>
      </c>
      <c r="H206" t="s">
        <v>443</v>
      </c>
      <c r="I206" s="1" t="s">
        <v>26</v>
      </c>
      <c r="J206" s="1" t="s">
        <v>25</v>
      </c>
      <c r="K206" s="1" t="s">
        <v>25</v>
      </c>
      <c r="L206" s="1" t="s">
        <v>26</v>
      </c>
      <c r="M206" s="1" t="s">
        <v>25</v>
      </c>
      <c r="N206" s="1" t="s">
        <v>26</v>
      </c>
      <c r="O206" s="1" t="s">
        <v>25</v>
      </c>
      <c r="P206" s="1" t="s">
        <v>25</v>
      </c>
      <c r="Q206" s="1" t="s">
        <v>25</v>
      </c>
      <c r="R206" s="1" t="s">
        <v>25</v>
      </c>
      <c r="S206" s="2">
        <v>0</v>
      </c>
    </row>
    <row r="207" spans="1:19" x14ac:dyDescent="0.3">
      <c r="A207" t="s">
        <v>444</v>
      </c>
      <c r="B207" s="5" t="e" cm="1">
        <f t="array" ref="B207">MAX(#REF!,MIN(#REF!,#REF!+SUMPRODUCT(--(FoodData[[#This Row],[Healthy]:[Refined]]="Yes"),#REF!)+FoodData[[#This Row],[Adjust]]))</f>
        <v>#REF!</v>
      </c>
      <c r="C207" s="1" t="e">
        <f>LOOKUP(FoodData[[#This Row],[Score]],#REF!,#REF!)</f>
        <v>#REF!</v>
      </c>
      <c r="D207" t="s">
        <v>342</v>
      </c>
      <c r="E207" t="s">
        <v>28</v>
      </c>
      <c r="F207" t="s">
        <v>22</v>
      </c>
      <c r="G207" t="s">
        <v>29</v>
      </c>
      <c r="H207" t="s">
        <v>445</v>
      </c>
      <c r="I207" s="1" t="s">
        <v>26</v>
      </c>
      <c r="J207" s="1" t="s">
        <v>25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25</v>
      </c>
      <c r="P207" s="1" t="s">
        <v>25</v>
      </c>
      <c r="Q207" s="1" t="s">
        <v>25</v>
      </c>
      <c r="R207" s="1" t="s">
        <v>25</v>
      </c>
      <c r="S207" s="2">
        <v>0</v>
      </c>
    </row>
    <row r="208" spans="1:19" x14ac:dyDescent="0.3">
      <c r="A208" t="s">
        <v>446</v>
      </c>
      <c r="B208" s="5" t="e" cm="1">
        <f t="array" ref="B208">MAX(#REF!,MIN(#REF!,#REF!+SUMPRODUCT(--(FoodData[[#This Row],[Healthy]:[Refined]]="Yes"),#REF!)+FoodData[[#This Row],[Adjust]]))</f>
        <v>#REF!</v>
      </c>
      <c r="C208" s="1" t="e">
        <f>LOOKUP(FoodData[[#This Row],[Score]],#REF!,#REF!)</f>
        <v>#REF!</v>
      </c>
      <c r="D208" t="s">
        <v>342</v>
      </c>
      <c r="E208" t="s">
        <v>28</v>
      </c>
      <c r="F208" t="s">
        <v>22</v>
      </c>
      <c r="G208" t="s">
        <v>23</v>
      </c>
      <c r="H208" t="s">
        <v>447</v>
      </c>
      <c r="I208" s="1" t="s">
        <v>26</v>
      </c>
      <c r="J208" s="1" t="s">
        <v>25</v>
      </c>
      <c r="K208" s="1" t="s">
        <v>25</v>
      </c>
      <c r="L208" s="1" t="s">
        <v>26</v>
      </c>
      <c r="M208" s="1" t="s">
        <v>25</v>
      </c>
      <c r="N208" s="1" t="s">
        <v>26</v>
      </c>
      <c r="O208" s="1" t="s">
        <v>25</v>
      </c>
      <c r="P208" s="1" t="s">
        <v>25</v>
      </c>
      <c r="Q208" s="1" t="s">
        <v>25</v>
      </c>
      <c r="R208" s="1" t="s">
        <v>25</v>
      </c>
      <c r="S208" s="2">
        <v>0</v>
      </c>
    </row>
    <row r="209" spans="1:19" x14ac:dyDescent="0.3">
      <c r="A209" t="s">
        <v>448</v>
      </c>
      <c r="B209" s="5" t="e" cm="1">
        <f t="array" ref="B209">MAX(#REF!,MIN(#REF!,#REF!+SUMPRODUCT(--(FoodData[[#This Row],[Healthy]:[Refined]]="Yes"),#REF!)+FoodData[[#This Row],[Adjust]]))</f>
        <v>#REF!</v>
      </c>
      <c r="C209" s="1" t="e">
        <f>LOOKUP(FoodData[[#This Row],[Score]],#REF!,#REF!)</f>
        <v>#REF!</v>
      </c>
      <c r="D209" t="s">
        <v>342</v>
      </c>
      <c r="E209" t="s">
        <v>384</v>
      </c>
      <c r="F209" t="s">
        <v>22</v>
      </c>
      <c r="G209" t="s">
        <v>23</v>
      </c>
      <c r="H209" t="s">
        <v>449</v>
      </c>
      <c r="I209" s="1" t="s">
        <v>26</v>
      </c>
      <c r="J209" s="1" t="s">
        <v>26</v>
      </c>
      <c r="K209" s="1" t="s">
        <v>25</v>
      </c>
      <c r="L209" s="1" t="s">
        <v>26</v>
      </c>
      <c r="M209" s="1" t="s">
        <v>25</v>
      </c>
      <c r="N209" s="1" t="s">
        <v>25</v>
      </c>
      <c r="O209" s="1" t="s">
        <v>25</v>
      </c>
      <c r="P209" s="1" t="s">
        <v>25</v>
      </c>
      <c r="Q209" s="1" t="s">
        <v>25</v>
      </c>
      <c r="R209" s="1" t="s">
        <v>25</v>
      </c>
      <c r="S209" s="2">
        <v>0</v>
      </c>
    </row>
    <row r="210" spans="1:19" x14ac:dyDescent="0.3">
      <c r="A210" t="s">
        <v>450</v>
      </c>
      <c r="B210" s="5" t="e" cm="1">
        <f t="array" ref="B210">MAX(#REF!,MIN(#REF!,#REF!+SUMPRODUCT(--(FoodData[[#This Row],[Healthy]:[Refined]]="Yes"),#REF!)+FoodData[[#This Row],[Adjust]]))</f>
        <v>#REF!</v>
      </c>
      <c r="C210" s="1" t="e">
        <f>LOOKUP(FoodData[[#This Row],[Score]],#REF!,#REF!)</f>
        <v>#REF!</v>
      </c>
      <c r="D210" t="s">
        <v>342</v>
      </c>
      <c r="E210" t="s">
        <v>28</v>
      </c>
      <c r="F210" t="s">
        <v>22</v>
      </c>
      <c r="G210" t="s">
        <v>29</v>
      </c>
      <c r="H210" t="s">
        <v>451</v>
      </c>
      <c r="I210" s="1" t="s">
        <v>26</v>
      </c>
      <c r="J210" s="1" t="s">
        <v>25</v>
      </c>
      <c r="K210" s="1" t="s">
        <v>25</v>
      </c>
      <c r="L210" s="1" t="s">
        <v>26</v>
      </c>
      <c r="M210" s="1" t="s">
        <v>25</v>
      </c>
      <c r="N210" s="1" t="s">
        <v>26</v>
      </c>
      <c r="O210" s="1" t="s">
        <v>25</v>
      </c>
      <c r="P210" s="1" t="s">
        <v>25</v>
      </c>
      <c r="Q210" s="1" t="s">
        <v>25</v>
      </c>
      <c r="R210" s="1" t="s">
        <v>25</v>
      </c>
      <c r="S210" s="2">
        <v>0</v>
      </c>
    </row>
    <row r="211" spans="1:19" x14ac:dyDescent="0.3">
      <c r="A211" t="s">
        <v>452</v>
      </c>
      <c r="B211" s="5" t="e" cm="1">
        <f t="array" ref="B211">MAX(#REF!,MIN(#REF!,#REF!+SUMPRODUCT(--(FoodData[[#This Row],[Healthy]:[Refined]]="Yes"),#REF!)+FoodData[[#This Row],[Adjust]]))</f>
        <v>#REF!</v>
      </c>
      <c r="C211" s="1" t="e">
        <f>LOOKUP(FoodData[[#This Row],[Score]],#REF!,#REF!)</f>
        <v>#REF!</v>
      </c>
      <c r="D211" t="s">
        <v>342</v>
      </c>
      <c r="E211" t="s">
        <v>28</v>
      </c>
      <c r="F211" t="s">
        <v>22</v>
      </c>
      <c r="G211" t="s">
        <v>23</v>
      </c>
      <c r="H211" t="s">
        <v>453</v>
      </c>
      <c r="I211" s="1" t="s">
        <v>26</v>
      </c>
      <c r="J211" s="1" t="s">
        <v>25</v>
      </c>
      <c r="K211" s="1" t="s">
        <v>25</v>
      </c>
      <c r="L211" s="1" t="s">
        <v>26</v>
      </c>
      <c r="M211" s="1" t="s">
        <v>25</v>
      </c>
      <c r="N211" s="1" t="s">
        <v>26</v>
      </c>
      <c r="O211" s="1" t="s">
        <v>25</v>
      </c>
      <c r="P211" s="1" t="s">
        <v>25</v>
      </c>
      <c r="Q211" s="1" t="s">
        <v>25</v>
      </c>
      <c r="R211" s="1" t="s">
        <v>25</v>
      </c>
      <c r="S211" s="2">
        <v>0</v>
      </c>
    </row>
    <row r="212" spans="1:19" x14ac:dyDescent="0.3">
      <c r="A212" t="s">
        <v>454</v>
      </c>
      <c r="B212" s="5" t="e" cm="1">
        <f t="array" ref="B212">MAX(#REF!,MIN(#REF!,#REF!+SUMPRODUCT(--(FoodData[[#This Row],[Healthy]:[Refined]]="Yes"),#REF!)+FoodData[[#This Row],[Adjust]]))</f>
        <v>#REF!</v>
      </c>
      <c r="C212" s="1" t="e">
        <f>LOOKUP(FoodData[[#This Row],[Score]],#REF!,#REF!)</f>
        <v>#REF!</v>
      </c>
      <c r="D212" t="s">
        <v>342</v>
      </c>
      <c r="E212" t="s">
        <v>384</v>
      </c>
      <c r="F212" t="s">
        <v>22</v>
      </c>
      <c r="G212" t="s">
        <v>23</v>
      </c>
      <c r="H212" t="s">
        <v>455</v>
      </c>
      <c r="I212" s="1" t="s">
        <v>26</v>
      </c>
      <c r="J212" s="1" t="s">
        <v>26</v>
      </c>
      <c r="K212" s="1" t="s">
        <v>25</v>
      </c>
      <c r="L212" s="1" t="s">
        <v>26</v>
      </c>
      <c r="M212" s="1" t="s">
        <v>25</v>
      </c>
      <c r="N212" s="1" t="s">
        <v>25</v>
      </c>
      <c r="O212" s="1" t="s">
        <v>25</v>
      </c>
      <c r="P212" s="1" t="s">
        <v>25</v>
      </c>
      <c r="Q212" s="1" t="s">
        <v>25</v>
      </c>
      <c r="R212" s="1" t="s">
        <v>25</v>
      </c>
      <c r="S212" s="2">
        <v>0</v>
      </c>
    </row>
    <row r="213" spans="1:19" x14ac:dyDescent="0.3">
      <c r="A213" t="s">
        <v>456</v>
      </c>
      <c r="B213" s="5" t="e" cm="1">
        <f t="array" ref="B213">MAX(#REF!,MIN(#REF!,#REF!+SUMPRODUCT(--(FoodData[[#This Row],[Healthy]:[Refined]]="Yes"),#REF!)+FoodData[[#This Row],[Adjust]]))</f>
        <v>#REF!</v>
      </c>
      <c r="C213" s="1" t="e">
        <f>LOOKUP(FoodData[[#This Row],[Score]],#REF!,#REF!)</f>
        <v>#REF!</v>
      </c>
      <c r="D213" t="s">
        <v>342</v>
      </c>
      <c r="E213" t="s">
        <v>28</v>
      </c>
      <c r="F213" t="s">
        <v>22</v>
      </c>
      <c r="G213" t="s">
        <v>23</v>
      </c>
      <c r="H213" t="s">
        <v>457</v>
      </c>
      <c r="I213" s="1" t="s">
        <v>26</v>
      </c>
      <c r="J213" s="1" t="s">
        <v>25</v>
      </c>
      <c r="K213" s="1" t="s">
        <v>26</v>
      </c>
      <c r="L213" s="1" t="s">
        <v>26</v>
      </c>
      <c r="M213" s="1" t="s">
        <v>25</v>
      </c>
      <c r="N213" s="1" t="s">
        <v>25</v>
      </c>
      <c r="O213" s="1" t="s">
        <v>26</v>
      </c>
      <c r="P213" s="1" t="s">
        <v>25</v>
      </c>
      <c r="Q213" s="1" t="s">
        <v>25</v>
      </c>
      <c r="R213" s="1" t="s">
        <v>25</v>
      </c>
      <c r="S213" s="2">
        <v>0</v>
      </c>
    </row>
    <row r="214" spans="1:19" x14ac:dyDescent="0.3">
      <c r="A214" t="s">
        <v>458</v>
      </c>
      <c r="B214" s="5" t="e" cm="1">
        <f t="array" ref="B214">MAX(#REF!,MIN(#REF!,#REF!+SUMPRODUCT(--(FoodData[[#This Row],[Healthy]:[Refined]]="Yes"),#REF!)+FoodData[[#This Row],[Adjust]]))</f>
        <v>#REF!</v>
      </c>
      <c r="C214" s="1" t="e">
        <f>LOOKUP(FoodData[[#This Row],[Score]],#REF!,#REF!)</f>
        <v>#REF!</v>
      </c>
      <c r="D214" t="s">
        <v>342</v>
      </c>
      <c r="E214" t="s">
        <v>28</v>
      </c>
      <c r="F214" t="s">
        <v>22</v>
      </c>
      <c r="G214" t="s">
        <v>23</v>
      </c>
      <c r="H214" t="s">
        <v>459</v>
      </c>
      <c r="I214" s="1" t="s">
        <v>25</v>
      </c>
      <c r="J214" s="1" t="s">
        <v>25</v>
      </c>
      <c r="K214" s="1" t="s">
        <v>26</v>
      </c>
      <c r="L214" s="1" t="s">
        <v>25</v>
      </c>
      <c r="M214" s="1" t="s">
        <v>25</v>
      </c>
      <c r="N214" s="1" t="s">
        <v>26</v>
      </c>
      <c r="O214" s="1" t="s">
        <v>25</v>
      </c>
      <c r="P214" s="1" t="s">
        <v>25</v>
      </c>
      <c r="Q214" s="1" t="s">
        <v>25</v>
      </c>
      <c r="R214" s="1" t="s">
        <v>25</v>
      </c>
      <c r="S214" s="2">
        <v>0</v>
      </c>
    </row>
    <row r="215" spans="1:19" x14ac:dyDescent="0.3">
      <c r="A215" t="s">
        <v>460</v>
      </c>
      <c r="B215" s="5" t="e" cm="1">
        <f t="array" ref="B215">MAX(#REF!,MIN(#REF!,#REF!+SUMPRODUCT(--(FoodData[[#This Row],[Healthy]:[Refined]]="Yes"),#REF!)+FoodData[[#This Row],[Adjust]]))</f>
        <v>#REF!</v>
      </c>
      <c r="C215" s="1" t="e">
        <f>LOOKUP(FoodData[[#This Row],[Score]],#REF!,#REF!)</f>
        <v>#REF!</v>
      </c>
      <c r="D215" t="s">
        <v>342</v>
      </c>
      <c r="E215" t="s">
        <v>28</v>
      </c>
      <c r="F215" t="s">
        <v>60</v>
      </c>
      <c r="G215" t="s">
        <v>29</v>
      </c>
      <c r="H215" t="s">
        <v>461</v>
      </c>
      <c r="I215" s="1" t="s">
        <v>26</v>
      </c>
      <c r="J215" s="1" t="s">
        <v>26</v>
      </c>
      <c r="K215" s="1" t="s">
        <v>26</v>
      </c>
      <c r="L215" s="1" t="s">
        <v>25</v>
      </c>
      <c r="M215" s="1" t="s">
        <v>25</v>
      </c>
      <c r="N215" s="1" t="s">
        <v>25</v>
      </c>
      <c r="O215" s="1" t="s">
        <v>25</v>
      </c>
      <c r="P215" s="1" t="s">
        <v>25</v>
      </c>
      <c r="Q215" s="1" t="s">
        <v>25</v>
      </c>
      <c r="R215" s="1" t="s">
        <v>25</v>
      </c>
      <c r="S215" s="2">
        <v>0</v>
      </c>
    </row>
    <row r="216" spans="1:19" x14ac:dyDescent="0.3">
      <c r="A216" t="s">
        <v>462</v>
      </c>
      <c r="B216" s="5" t="e" cm="1">
        <f t="array" ref="B216">MAX(#REF!,MIN(#REF!,#REF!+SUMPRODUCT(--(FoodData[[#This Row],[Healthy]:[Refined]]="Yes"),#REF!)+FoodData[[#This Row],[Adjust]]))</f>
        <v>#REF!</v>
      </c>
      <c r="C216" s="1" t="e">
        <f>LOOKUP(FoodData[[#This Row],[Score]],#REF!,#REF!)</f>
        <v>#REF!</v>
      </c>
      <c r="D216" t="s">
        <v>342</v>
      </c>
      <c r="E216" t="s">
        <v>28</v>
      </c>
      <c r="F216" t="s">
        <v>60</v>
      </c>
      <c r="G216" t="s">
        <v>23</v>
      </c>
      <c r="H216" t="s">
        <v>463</v>
      </c>
      <c r="I216" s="1" t="s">
        <v>25</v>
      </c>
      <c r="J216" s="1" t="s">
        <v>25</v>
      </c>
      <c r="K216" s="1" t="s">
        <v>26</v>
      </c>
      <c r="L216" s="1" t="s">
        <v>25</v>
      </c>
      <c r="M216" s="1" t="s">
        <v>25</v>
      </c>
      <c r="N216" s="1" t="s">
        <v>25</v>
      </c>
      <c r="O216" s="1" t="s">
        <v>25</v>
      </c>
      <c r="P216" s="1" t="s">
        <v>25</v>
      </c>
      <c r="Q216" s="1" t="s">
        <v>25</v>
      </c>
      <c r="R216" s="1" t="s">
        <v>25</v>
      </c>
      <c r="S216" s="2">
        <v>0</v>
      </c>
    </row>
    <row r="217" spans="1:19" x14ac:dyDescent="0.3">
      <c r="A217" t="s">
        <v>464</v>
      </c>
      <c r="B217" s="5" t="e" cm="1">
        <f t="array" ref="B217">MAX(#REF!,MIN(#REF!,#REF!+SUMPRODUCT(--(FoodData[[#This Row],[Healthy]:[Refined]]="Yes"),#REF!)+FoodData[[#This Row],[Adjust]]))</f>
        <v>#REF!</v>
      </c>
      <c r="C217" s="1" t="e">
        <f>LOOKUP(FoodData[[#This Row],[Score]],#REF!,#REF!)</f>
        <v>#REF!</v>
      </c>
      <c r="D217" t="s">
        <v>342</v>
      </c>
      <c r="E217" t="s">
        <v>28</v>
      </c>
      <c r="F217" t="s">
        <v>22</v>
      </c>
      <c r="G217" t="s">
        <v>23</v>
      </c>
      <c r="H217" t="s">
        <v>465</v>
      </c>
      <c r="I217" s="1" t="s">
        <v>25</v>
      </c>
      <c r="J217" s="1" t="s">
        <v>25</v>
      </c>
      <c r="K217" s="1" t="s">
        <v>26</v>
      </c>
      <c r="L217" s="1" t="s">
        <v>26</v>
      </c>
      <c r="M217" s="1" t="s">
        <v>26</v>
      </c>
      <c r="N217" s="1" t="s">
        <v>25</v>
      </c>
      <c r="O217" s="1" t="s">
        <v>25</v>
      </c>
      <c r="P217" s="1" t="s">
        <v>25</v>
      </c>
      <c r="Q217" s="1" t="s">
        <v>25</v>
      </c>
      <c r="R217" s="1" t="s">
        <v>25</v>
      </c>
      <c r="S217" s="2">
        <v>0</v>
      </c>
    </row>
    <row r="218" spans="1:19" x14ac:dyDescent="0.3">
      <c r="A218" t="s">
        <v>466</v>
      </c>
      <c r="B218" s="5" t="e" cm="1">
        <f t="array" ref="B218">MAX(#REF!,MIN(#REF!,#REF!+SUMPRODUCT(--(FoodData[[#This Row],[Healthy]:[Refined]]="Yes"),#REF!)+FoodData[[#This Row],[Adjust]]))</f>
        <v>#REF!</v>
      </c>
      <c r="C218" s="1" t="e">
        <f>LOOKUP(FoodData[[#This Row],[Score]],#REF!,#REF!)</f>
        <v>#REF!</v>
      </c>
      <c r="D218" t="s">
        <v>342</v>
      </c>
      <c r="E218" t="s">
        <v>28</v>
      </c>
      <c r="F218" t="s">
        <v>22</v>
      </c>
      <c r="G218" t="s">
        <v>23</v>
      </c>
      <c r="H218" t="s">
        <v>467</v>
      </c>
      <c r="I218" s="1" t="s">
        <v>26</v>
      </c>
      <c r="J218" s="1" t="s">
        <v>25</v>
      </c>
      <c r="K218" s="1" t="s">
        <v>26</v>
      </c>
      <c r="L218" s="1" t="s">
        <v>26</v>
      </c>
      <c r="M218" s="1" t="s">
        <v>25</v>
      </c>
      <c r="N218" s="1" t="s">
        <v>26</v>
      </c>
      <c r="O218" s="1" t="s">
        <v>25</v>
      </c>
      <c r="P218" s="1" t="s">
        <v>25</v>
      </c>
      <c r="Q218" s="1" t="s">
        <v>25</v>
      </c>
      <c r="R218" s="1" t="s">
        <v>25</v>
      </c>
      <c r="S218" s="2">
        <v>0</v>
      </c>
    </row>
    <row r="219" spans="1:19" x14ac:dyDescent="0.3">
      <c r="A219" t="s">
        <v>468</v>
      </c>
      <c r="B219" s="5" t="e" cm="1">
        <f t="array" ref="B219">MAX(#REF!,MIN(#REF!,#REF!+SUMPRODUCT(--(FoodData[[#This Row],[Healthy]:[Refined]]="Yes"),#REF!)+FoodData[[#This Row],[Adjust]]))</f>
        <v>#REF!</v>
      </c>
      <c r="C219" s="1" t="e">
        <f>LOOKUP(FoodData[[#This Row],[Score]],#REF!,#REF!)</f>
        <v>#REF!</v>
      </c>
      <c r="D219" t="s">
        <v>342</v>
      </c>
      <c r="E219" t="s">
        <v>28</v>
      </c>
      <c r="F219" t="s">
        <v>22</v>
      </c>
      <c r="G219" t="s">
        <v>23</v>
      </c>
      <c r="H219" t="s">
        <v>469</v>
      </c>
      <c r="I219" s="1" t="s">
        <v>25</v>
      </c>
      <c r="J219" s="1" t="s">
        <v>25</v>
      </c>
      <c r="K219" s="1" t="s">
        <v>26</v>
      </c>
      <c r="L219" s="1" t="s">
        <v>26</v>
      </c>
      <c r="M219" s="1" t="s">
        <v>25</v>
      </c>
      <c r="N219" s="1" t="s">
        <v>25</v>
      </c>
      <c r="O219" s="1" t="s">
        <v>25</v>
      </c>
      <c r="P219" s="1" t="s">
        <v>26</v>
      </c>
      <c r="Q219" s="1" t="s">
        <v>26</v>
      </c>
      <c r="R219" s="1" t="s">
        <v>26</v>
      </c>
      <c r="S219" s="2">
        <v>0</v>
      </c>
    </row>
    <row r="220" spans="1:19" x14ac:dyDescent="0.3">
      <c r="A220" t="s">
        <v>470</v>
      </c>
      <c r="B220" s="5" t="e" cm="1">
        <f t="array" ref="B220">MAX(#REF!,MIN(#REF!,#REF!+SUMPRODUCT(--(FoodData[[#This Row],[Healthy]:[Refined]]="Yes"),#REF!)+FoodData[[#This Row],[Adjust]]))</f>
        <v>#REF!</v>
      </c>
      <c r="C220" s="1" t="e">
        <f>LOOKUP(FoodData[[#This Row],[Score]],#REF!,#REF!)</f>
        <v>#REF!</v>
      </c>
      <c r="D220" t="s">
        <v>342</v>
      </c>
      <c r="E220" t="s">
        <v>28</v>
      </c>
      <c r="F220" t="s">
        <v>22</v>
      </c>
      <c r="G220" t="s">
        <v>23</v>
      </c>
      <c r="H220" t="s">
        <v>471</v>
      </c>
      <c r="I220" s="1" t="s">
        <v>26</v>
      </c>
      <c r="J220" s="1" t="s">
        <v>25</v>
      </c>
      <c r="K220" s="1" t="s">
        <v>26</v>
      </c>
      <c r="L220" s="1" t="s">
        <v>26</v>
      </c>
      <c r="M220" s="1" t="s">
        <v>25</v>
      </c>
      <c r="N220" s="1" t="s">
        <v>26</v>
      </c>
      <c r="O220" s="1" t="s">
        <v>25</v>
      </c>
      <c r="P220" s="1" t="s">
        <v>25</v>
      </c>
      <c r="Q220" s="1" t="s">
        <v>25</v>
      </c>
      <c r="R220" s="1" t="s">
        <v>25</v>
      </c>
      <c r="S220" s="2">
        <v>0</v>
      </c>
    </row>
    <row r="221" spans="1:19" x14ac:dyDescent="0.3">
      <c r="A221" t="s">
        <v>472</v>
      </c>
      <c r="B221" s="5" t="e" cm="1">
        <f t="array" ref="B221">MAX(#REF!,MIN(#REF!,#REF!+SUMPRODUCT(--(FoodData[[#This Row],[Healthy]:[Refined]]="Yes"),#REF!)+FoodData[[#This Row],[Adjust]]))</f>
        <v>#REF!</v>
      </c>
      <c r="C221" s="1" t="e">
        <f>LOOKUP(FoodData[[#This Row],[Score]],#REF!,#REF!)</f>
        <v>#REF!</v>
      </c>
      <c r="D221" t="s">
        <v>342</v>
      </c>
      <c r="E221" t="s">
        <v>28</v>
      </c>
      <c r="F221" t="s">
        <v>22</v>
      </c>
      <c r="G221" t="s">
        <v>29</v>
      </c>
      <c r="H221" t="s">
        <v>473</v>
      </c>
      <c r="I221" s="1" t="s">
        <v>26</v>
      </c>
      <c r="J221" s="1" t="s">
        <v>25</v>
      </c>
      <c r="K221" s="1" t="s">
        <v>25</v>
      </c>
      <c r="L221" s="1" t="s">
        <v>26</v>
      </c>
      <c r="M221" s="1" t="s">
        <v>25</v>
      </c>
      <c r="N221" s="1" t="s">
        <v>26</v>
      </c>
      <c r="O221" s="1" t="s">
        <v>25</v>
      </c>
      <c r="P221" s="1" t="s">
        <v>25</v>
      </c>
      <c r="Q221" s="1" t="s">
        <v>25</v>
      </c>
      <c r="R221" s="1" t="s">
        <v>25</v>
      </c>
      <c r="S221" s="2">
        <v>0</v>
      </c>
    </row>
    <row r="222" spans="1:19" x14ac:dyDescent="0.3">
      <c r="A222" t="s">
        <v>474</v>
      </c>
      <c r="B222" s="5" t="e" cm="1">
        <f t="array" ref="B222">MAX(#REF!,MIN(#REF!,#REF!+SUMPRODUCT(--(FoodData[[#This Row],[Healthy]:[Refined]]="Yes"),#REF!)+FoodData[[#This Row],[Adjust]]))</f>
        <v>#REF!</v>
      </c>
      <c r="C222" s="1" t="e">
        <f>LOOKUP(FoodData[[#This Row],[Score]],#REF!,#REF!)</f>
        <v>#REF!</v>
      </c>
      <c r="D222" t="s">
        <v>342</v>
      </c>
      <c r="E222" t="s">
        <v>28</v>
      </c>
      <c r="F222" t="s">
        <v>22</v>
      </c>
      <c r="G222" t="s">
        <v>29</v>
      </c>
      <c r="H222" t="s">
        <v>475</v>
      </c>
      <c r="I222" s="1" t="s">
        <v>26</v>
      </c>
      <c r="J222" s="1" t="s">
        <v>25</v>
      </c>
      <c r="K222" s="1" t="s">
        <v>25</v>
      </c>
      <c r="L222" s="1" t="s">
        <v>26</v>
      </c>
      <c r="M222" s="1" t="s">
        <v>25</v>
      </c>
      <c r="N222" s="1" t="s">
        <v>26</v>
      </c>
      <c r="O222" s="1" t="s">
        <v>25</v>
      </c>
      <c r="P222" s="1" t="s">
        <v>25</v>
      </c>
      <c r="Q222" s="1" t="s">
        <v>25</v>
      </c>
      <c r="R222" s="1" t="s">
        <v>25</v>
      </c>
      <c r="S222" s="2">
        <v>0</v>
      </c>
    </row>
    <row r="223" spans="1:19" x14ac:dyDescent="0.3">
      <c r="A223" t="s">
        <v>476</v>
      </c>
      <c r="B223" s="5" t="e" cm="1">
        <f t="array" ref="B223">MAX(#REF!,MIN(#REF!,#REF!+SUMPRODUCT(--(FoodData[[#This Row],[Healthy]:[Refined]]="Yes"),#REF!)+FoodData[[#This Row],[Adjust]]))</f>
        <v>#REF!</v>
      </c>
      <c r="C223" s="1" t="e">
        <f>LOOKUP(FoodData[[#This Row],[Score]],#REF!,#REF!)</f>
        <v>#REF!</v>
      </c>
      <c r="D223" t="s">
        <v>342</v>
      </c>
      <c r="E223" t="s">
        <v>28</v>
      </c>
      <c r="F223" t="s">
        <v>22</v>
      </c>
      <c r="G223" t="s">
        <v>29</v>
      </c>
      <c r="H223" t="s">
        <v>477</v>
      </c>
      <c r="I223" s="1" t="s">
        <v>25</v>
      </c>
      <c r="J223" s="1" t="s">
        <v>25</v>
      </c>
      <c r="K223" s="1" t="s">
        <v>26</v>
      </c>
      <c r="L223" s="1" t="s">
        <v>25</v>
      </c>
      <c r="M223" s="1" t="s">
        <v>26</v>
      </c>
      <c r="N223" s="1" t="s">
        <v>25</v>
      </c>
      <c r="O223" s="1" t="s">
        <v>25</v>
      </c>
      <c r="P223" s="1" t="s">
        <v>25</v>
      </c>
      <c r="Q223" s="1" t="s">
        <v>25</v>
      </c>
      <c r="R223" s="1" t="s">
        <v>25</v>
      </c>
      <c r="S223" s="2">
        <v>0</v>
      </c>
    </row>
    <row r="224" spans="1:19" x14ac:dyDescent="0.3">
      <c r="A224" t="s">
        <v>478</v>
      </c>
      <c r="B224" s="5" t="e" cm="1">
        <f t="array" ref="B224">MAX(#REF!,MIN(#REF!,#REF!+SUMPRODUCT(--(FoodData[[#This Row],[Healthy]:[Refined]]="Yes"),#REF!)+FoodData[[#This Row],[Adjust]]))</f>
        <v>#REF!</v>
      </c>
      <c r="C224" s="1" t="e">
        <f>LOOKUP(FoodData[[#This Row],[Score]],#REF!,#REF!)</f>
        <v>#REF!</v>
      </c>
      <c r="D224" t="s">
        <v>342</v>
      </c>
      <c r="E224" t="s">
        <v>28</v>
      </c>
      <c r="F224" t="s">
        <v>22</v>
      </c>
      <c r="G224" t="s">
        <v>23</v>
      </c>
      <c r="H224" t="s">
        <v>479</v>
      </c>
      <c r="I224" s="1" t="s">
        <v>25</v>
      </c>
      <c r="J224" s="1" t="s">
        <v>25</v>
      </c>
      <c r="K224" s="1" t="s">
        <v>26</v>
      </c>
      <c r="L224" s="1" t="s">
        <v>26</v>
      </c>
      <c r="M224" s="1" t="s">
        <v>26</v>
      </c>
      <c r="N224" s="1" t="s">
        <v>25</v>
      </c>
      <c r="O224" s="1" t="s">
        <v>25</v>
      </c>
      <c r="P224" s="1" t="s">
        <v>25</v>
      </c>
      <c r="Q224" s="1" t="s">
        <v>25</v>
      </c>
      <c r="R224" s="1" t="s">
        <v>25</v>
      </c>
      <c r="S224" s="2">
        <v>0</v>
      </c>
    </row>
    <row r="225" spans="1:19" x14ac:dyDescent="0.3">
      <c r="A225" t="s">
        <v>480</v>
      </c>
      <c r="B225" s="5" t="e" cm="1">
        <f t="array" ref="B225">MAX(#REF!,MIN(#REF!,#REF!+SUMPRODUCT(--(FoodData[[#This Row],[Healthy]:[Refined]]="Yes"),#REF!)+FoodData[[#This Row],[Adjust]]))</f>
        <v>#REF!</v>
      </c>
      <c r="C225" s="1" t="e">
        <f>LOOKUP(FoodData[[#This Row],[Score]],#REF!,#REF!)</f>
        <v>#REF!</v>
      </c>
      <c r="D225" t="s">
        <v>342</v>
      </c>
      <c r="E225" t="s">
        <v>28</v>
      </c>
      <c r="F225" t="s">
        <v>22</v>
      </c>
      <c r="G225" t="s">
        <v>23</v>
      </c>
      <c r="H225" t="s">
        <v>481</v>
      </c>
      <c r="I225" s="1" t="s">
        <v>25</v>
      </c>
      <c r="J225" s="1" t="s">
        <v>25</v>
      </c>
      <c r="K225" s="1" t="s">
        <v>26</v>
      </c>
      <c r="L225" s="1" t="s">
        <v>26</v>
      </c>
      <c r="M225" s="1" t="s">
        <v>25</v>
      </c>
      <c r="N225" s="1" t="s">
        <v>25</v>
      </c>
      <c r="O225" s="1" t="s">
        <v>26</v>
      </c>
      <c r="P225" s="1" t="s">
        <v>25</v>
      </c>
      <c r="Q225" s="1" t="s">
        <v>25</v>
      </c>
      <c r="R225" s="1" t="s">
        <v>25</v>
      </c>
      <c r="S225" s="2">
        <v>0</v>
      </c>
    </row>
    <row r="226" spans="1:19" x14ac:dyDescent="0.3">
      <c r="A226" t="s">
        <v>482</v>
      </c>
      <c r="B226" s="5" t="e" cm="1">
        <f t="array" ref="B226">MAX(#REF!,MIN(#REF!,#REF!+SUMPRODUCT(--(FoodData[[#This Row],[Healthy]:[Refined]]="Yes"),#REF!)+FoodData[[#This Row],[Adjust]]))</f>
        <v>#REF!</v>
      </c>
      <c r="C226" s="1" t="e">
        <f>LOOKUP(FoodData[[#This Row],[Score]],#REF!,#REF!)</f>
        <v>#REF!</v>
      </c>
      <c r="D226" t="s">
        <v>342</v>
      </c>
      <c r="E226" t="s">
        <v>28</v>
      </c>
      <c r="F226" t="s">
        <v>22</v>
      </c>
      <c r="G226" t="s">
        <v>23</v>
      </c>
      <c r="H226" t="s">
        <v>483</v>
      </c>
      <c r="I226" s="1" t="s">
        <v>25</v>
      </c>
      <c r="J226" s="1" t="s">
        <v>25</v>
      </c>
      <c r="K226" s="1" t="s">
        <v>26</v>
      </c>
      <c r="L226" s="1" t="s">
        <v>25</v>
      </c>
      <c r="M226" s="1" t="s">
        <v>25</v>
      </c>
      <c r="N226" s="1" t="s">
        <v>25</v>
      </c>
      <c r="O226" s="1" t="s">
        <v>26</v>
      </c>
      <c r="P226" s="1" t="s">
        <v>25</v>
      </c>
      <c r="Q226" s="1" t="s">
        <v>25</v>
      </c>
      <c r="R226" s="1" t="s">
        <v>25</v>
      </c>
      <c r="S226" s="2">
        <v>0</v>
      </c>
    </row>
    <row r="227" spans="1:19" x14ac:dyDescent="0.3">
      <c r="A227" t="s">
        <v>484</v>
      </c>
      <c r="B227" s="5" t="e" cm="1">
        <f t="array" ref="B227">MAX(#REF!,MIN(#REF!,#REF!+SUMPRODUCT(--(FoodData[[#This Row],[Healthy]:[Refined]]="Yes"),#REF!)+FoodData[[#This Row],[Adjust]]))</f>
        <v>#REF!</v>
      </c>
      <c r="C227" s="1" t="e">
        <f>LOOKUP(FoodData[[#This Row],[Score]],#REF!,#REF!)</f>
        <v>#REF!</v>
      </c>
      <c r="D227" t="s">
        <v>342</v>
      </c>
      <c r="E227" t="s">
        <v>28</v>
      </c>
      <c r="F227" t="s">
        <v>22</v>
      </c>
      <c r="G227" t="s">
        <v>23</v>
      </c>
      <c r="H227" t="s">
        <v>485</v>
      </c>
      <c r="I227" s="1" t="s">
        <v>26</v>
      </c>
      <c r="J227" s="1" t="s">
        <v>25</v>
      </c>
      <c r="K227" s="1" t="s">
        <v>26</v>
      </c>
      <c r="L227" s="1" t="s">
        <v>26</v>
      </c>
      <c r="M227" s="1" t="s">
        <v>25</v>
      </c>
      <c r="N227" s="1" t="s">
        <v>26</v>
      </c>
      <c r="O227" s="1" t="s">
        <v>25</v>
      </c>
      <c r="P227" s="1" t="s">
        <v>25</v>
      </c>
      <c r="Q227" s="1" t="s">
        <v>25</v>
      </c>
      <c r="R227" s="1" t="s">
        <v>25</v>
      </c>
      <c r="S227" s="2">
        <v>0</v>
      </c>
    </row>
    <row r="228" spans="1:19" x14ac:dyDescent="0.3">
      <c r="A228" t="s">
        <v>486</v>
      </c>
      <c r="B228" s="5" t="e" cm="1">
        <f t="array" ref="B228">MAX(#REF!,MIN(#REF!,#REF!+SUMPRODUCT(--(FoodData[[#This Row],[Healthy]:[Refined]]="Yes"),#REF!)+FoodData[[#This Row],[Adjust]]))</f>
        <v>#REF!</v>
      </c>
      <c r="C228" s="1" t="e">
        <f>LOOKUP(FoodData[[#This Row],[Score]],#REF!,#REF!)</f>
        <v>#REF!</v>
      </c>
      <c r="D228" t="s">
        <v>342</v>
      </c>
      <c r="E228" t="s">
        <v>28</v>
      </c>
      <c r="F228" t="s">
        <v>22</v>
      </c>
      <c r="G228" t="s">
        <v>23</v>
      </c>
      <c r="H228" t="s">
        <v>487</v>
      </c>
      <c r="I228" s="1" t="s">
        <v>25</v>
      </c>
      <c r="J228" s="1" t="s">
        <v>25</v>
      </c>
      <c r="K228" s="1" t="s">
        <v>26</v>
      </c>
      <c r="L228" s="1" t="s">
        <v>26</v>
      </c>
      <c r="M228" s="1" t="s">
        <v>25</v>
      </c>
      <c r="N228" s="1" t="s">
        <v>26</v>
      </c>
      <c r="O228" s="1" t="s">
        <v>25</v>
      </c>
      <c r="P228" s="1" t="s">
        <v>25</v>
      </c>
      <c r="Q228" s="1" t="s">
        <v>25</v>
      </c>
      <c r="R228" s="1" t="s">
        <v>25</v>
      </c>
      <c r="S228" s="2">
        <v>0</v>
      </c>
    </row>
    <row r="229" spans="1:19" x14ac:dyDescent="0.3">
      <c r="A229" t="s">
        <v>488</v>
      </c>
      <c r="B229" s="5" t="e" cm="1">
        <f t="array" ref="B229">MAX(#REF!,MIN(#REF!,#REF!+SUMPRODUCT(--(FoodData[[#This Row],[Healthy]:[Refined]]="Yes"),#REF!)+FoodData[[#This Row],[Adjust]]))</f>
        <v>#REF!</v>
      </c>
      <c r="C229" s="1" t="e">
        <f>LOOKUP(FoodData[[#This Row],[Score]],#REF!,#REF!)</f>
        <v>#REF!</v>
      </c>
      <c r="D229" t="s">
        <v>342</v>
      </c>
      <c r="E229" t="s">
        <v>28</v>
      </c>
      <c r="F229" t="s">
        <v>22</v>
      </c>
      <c r="G229" t="s">
        <v>489</v>
      </c>
      <c r="H229" t="s">
        <v>490</v>
      </c>
      <c r="I229" s="1" t="s">
        <v>25</v>
      </c>
      <c r="J229" s="1" t="s">
        <v>25</v>
      </c>
      <c r="K229" s="1" t="s">
        <v>26</v>
      </c>
      <c r="L229" s="1" t="s">
        <v>26</v>
      </c>
      <c r="M229" s="1" t="s">
        <v>25</v>
      </c>
      <c r="N229" s="1" t="s">
        <v>25</v>
      </c>
      <c r="O229" s="1" t="s">
        <v>25</v>
      </c>
      <c r="P229" s="1" t="s">
        <v>25</v>
      </c>
      <c r="Q229" s="1" t="s">
        <v>25</v>
      </c>
      <c r="R229" s="1" t="s">
        <v>25</v>
      </c>
      <c r="S229" s="2">
        <v>0</v>
      </c>
    </row>
    <row r="230" spans="1:19" x14ac:dyDescent="0.3">
      <c r="A230" t="s">
        <v>491</v>
      </c>
      <c r="B230" s="5" t="e" cm="1">
        <f t="array" ref="B230">MAX(#REF!,MIN(#REF!,#REF!+SUMPRODUCT(--(FoodData[[#This Row],[Healthy]:[Refined]]="Yes"),#REF!)+FoodData[[#This Row],[Adjust]]))</f>
        <v>#REF!</v>
      </c>
      <c r="C230" s="1" t="e">
        <f>LOOKUP(FoodData[[#This Row],[Score]],#REF!,#REF!)</f>
        <v>#REF!</v>
      </c>
      <c r="D230" t="s">
        <v>342</v>
      </c>
      <c r="E230" t="s">
        <v>28</v>
      </c>
      <c r="F230" t="s">
        <v>22</v>
      </c>
      <c r="G230" t="s">
        <v>23</v>
      </c>
      <c r="H230" t="s">
        <v>492</v>
      </c>
      <c r="I230" s="1" t="s">
        <v>26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25</v>
      </c>
      <c r="O230" s="1" t="s">
        <v>25</v>
      </c>
      <c r="P230" s="1" t="s">
        <v>25</v>
      </c>
      <c r="Q230" s="1" t="s">
        <v>25</v>
      </c>
      <c r="R230" s="1" t="s">
        <v>25</v>
      </c>
      <c r="S230" s="2">
        <v>0</v>
      </c>
    </row>
    <row r="231" spans="1:19" x14ac:dyDescent="0.3">
      <c r="A231" t="s">
        <v>493</v>
      </c>
      <c r="B231" s="5" t="e" cm="1">
        <f t="array" ref="B231">MAX(#REF!,MIN(#REF!,#REF!+SUMPRODUCT(--(FoodData[[#This Row],[Healthy]:[Refined]]="Yes"),#REF!)+FoodData[[#This Row],[Adjust]]))</f>
        <v>#REF!</v>
      </c>
      <c r="C231" s="1" t="e">
        <f>LOOKUP(FoodData[[#This Row],[Score]],#REF!,#REF!)</f>
        <v>#REF!</v>
      </c>
      <c r="D231" t="s">
        <v>342</v>
      </c>
      <c r="E231" t="s">
        <v>28</v>
      </c>
      <c r="F231" t="s">
        <v>22</v>
      </c>
      <c r="G231" t="s">
        <v>23</v>
      </c>
      <c r="H231" t="s">
        <v>494</v>
      </c>
      <c r="I231" s="1" t="s">
        <v>26</v>
      </c>
      <c r="J231" s="1" t="s">
        <v>25</v>
      </c>
      <c r="K231" s="1" t="s">
        <v>26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25</v>
      </c>
      <c r="Q231" s="1" t="s">
        <v>25</v>
      </c>
      <c r="R231" s="1" t="s">
        <v>25</v>
      </c>
      <c r="S231" s="2">
        <v>0</v>
      </c>
    </row>
    <row r="232" spans="1:19" x14ac:dyDescent="0.3">
      <c r="A232" t="s">
        <v>495</v>
      </c>
      <c r="B232" s="5" t="e" cm="1">
        <f t="array" ref="B232">MAX(#REF!,MIN(#REF!,#REF!+SUMPRODUCT(--(FoodData[[#This Row],[Healthy]:[Refined]]="Yes"),#REF!)+FoodData[[#This Row],[Adjust]]))</f>
        <v>#REF!</v>
      </c>
      <c r="C232" s="1" t="e">
        <f>LOOKUP(FoodData[[#This Row],[Score]],#REF!,#REF!)</f>
        <v>#REF!</v>
      </c>
      <c r="D232" t="s">
        <v>342</v>
      </c>
      <c r="E232" t="s">
        <v>28</v>
      </c>
      <c r="F232" t="s">
        <v>22</v>
      </c>
      <c r="G232" t="s">
        <v>29</v>
      </c>
      <c r="H232" t="s">
        <v>496</v>
      </c>
      <c r="I232" s="1" t="s">
        <v>26</v>
      </c>
      <c r="J232" s="1" t="s">
        <v>25</v>
      </c>
      <c r="K232" s="1" t="s">
        <v>26</v>
      </c>
      <c r="L232" s="1" t="s">
        <v>26</v>
      </c>
      <c r="M232" s="1" t="s">
        <v>25</v>
      </c>
      <c r="N232" s="1" t="s">
        <v>26</v>
      </c>
      <c r="O232" s="1" t="s">
        <v>25</v>
      </c>
      <c r="P232" s="1" t="s">
        <v>25</v>
      </c>
      <c r="Q232" s="1" t="s">
        <v>25</v>
      </c>
      <c r="R232" s="1" t="s">
        <v>25</v>
      </c>
      <c r="S232" s="2">
        <v>0</v>
      </c>
    </row>
    <row r="233" spans="1:19" x14ac:dyDescent="0.3">
      <c r="A233" t="s">
        <v>497</v>
      </c>
      <c r="B233" s="5" t="e" cm="1">
        <f t="array" ref="B233">MAX(#REF!,MIN(#REF!,#REF!+SUMPRODUCT(--(FoodData[[#This Row],[Healthy]:[Refined]]="Yes"),#REF!)+FoodData[[#This Row],[Adjust]]))</f>
        <v>#REF!</v>
      </c>
      <c r="C233" s="1" t="e">
        <f>LOOKUP(FoodData[[#This Row],[Score]],#REF!,#REF!)</f>
        <v>#REF!</v>
      </c>
      <c r="D233" t="s">
        <v>342</v>
      </c>
      <c r="E233" t="s">
        <v>28</v>
      </c>
      <c r="F233" t="s">
        <v>22</v>
      </c>
      <c r="G233" t="s">
        <v>23</v>
      </c>
      <c r="H233" t="s">
        <v>498</v>
      </c>
      <c r="I233" s="1" t="s">
        <v>26</v>
      </c>
      <c r="J233" s="1" t="s">
        <v>26</v>
      </c>
      <c r="K233" s="1" t="s">
        <v>26</v>
      </c>
      <c r="L233" s="1" t="s">
        <v>26</v>
      </c>
      <c r="M233" s="1" t="s">
        <v>25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25</v>
      </c>
      <c r="S233" s="2">
        <v>0</v>
      </c>
    </row>
    <row r="234" spans="1:19" x14ac:dyDescent="0.3">
      <c r="A234" t="s">
        <v>499</v>
      </c>
      <c r="B234" s="5" t="e" cm="1">
        <f t="array" ref="B234">MAX(#REF!,MIN(#REF!,#REF!+SUMPRODUCT(--(FoodData[[#This Row],[Healthy]:[Refined]]="Yes"),#REF!)+FoodData[[#This Row],[Adjust]]))</f>
        <v>#REF!</v>
      </c>
      <c r="C234" s="1" t="e">
        <f>LOOKUP(FoodData[[#This Row],[Score]],#REF!,#REF!)</f>
        <v>#REF!</v>
      </c>
      <c r="D234" t="s">
        <v>342</v>
      </c>
      <c r="E234" t="s">
        <v>28</v>
      </c>
      <c r="F234" t="s">
        <v>22</v>
      </c>
      <c r="G234" t="s">
        <v>23</v>
      </c>
      <c r="H234" t="s">
        <v>500</v>
      </c>
      <c r="I234" s="1" t="s">
        <v>25</v>
      </c>
      <c r="J234" s="1" t="s">
        <v>25</v>
      </c>
      <c r="K234" s="1" t="s">
        <v>26</v>
      </c>
      <c r="L234" s="1" t="s">
        <v>26</v>
      </c>
      <c r="M234" s="1" t="s">
        <v>25</v>
      </c>
      <c r="N234" s="1" t="s">
        <v>25</v>
      </c>
      <c r="O234" s="1" t="s">
        <v>26</v>
      </c>
      <c r="P234" s="1" t="s">
        <v>25</v>
      </c>
      <c r="Q234" s="1" t="s">
        <v>25</v>
      </c>
      <c r="R234" s="1" t="s">
        <v>25</v>
      </c>
      <c r="S234" s="2">
        <v>0</v>
      </c>
    </row>
    <row r="235" spans="1:19" x14ac:dyDescent="0.3">
      <c r="A235" t="s">
        <v>501</v>
      </c>
      <c r="B235" s="5" t="e" cm="1">
        <f t="array" ref="B235">MAX(#REF!,MIN(#REF!,#REF!+SUMPRODUCT(--(FoodData[[#This Row],[Healthy]:[Refined]]="Yes"),#REF!)+FoodData[[#This Row],[Adjust]]))</f>
        <v>#REF!</v>
      </c>
      <c r="C235" s="1" t="e">
        <f>LOOKUP(FoodData[[#This Row],[Score]],#REF!,#REF!)</f>
        <v>#REF!</v>
      </c>
      <c r="D235" t="s">
        <v>342</v>
      </c>
      <c r="E235" t="s">
        <v>28</v>
      </c>
      <c r="F235" t="s">
        <v>22</v>
      </c>
      <c r="G235" t="s">
        <v>23</v>
      </c>
      <c r="H235" t="s">
        <v>502</v>
      </c>
      <c r="I235" s="1" t="s">
        <v>25</v>
      </c>
      <c r="J235" s="1" t="s">
        <v>25</v>
      </c>
      <c r="K235" s="1" t="s">
        <v>26</v>
      </c>
      <c r="L235" s="1" t="s">
        <v>25</v>
      </c>
      <c r="M235" s="1" t="s">
        <v>25</v>
      </c>
      <c r="N235" s="1" t="s">
        <v>26</v>
      </c>
      <c r="O235" s="1" t="s">
        <v>25</v>
      </c>
      <c r="P235" s="1" t="s">
        <v>26</v>
      </c>
      <c r="Q235" s="1" t="s">
        <v>25</v>
      </c>
      <c r="R235" s="1" t="s">
        <v>25</v>
      </c>
      <c r="S235" s="2">
        <v>0</v>
      </c>
    </row>
    <row r="236" spans="1:19" x14ac:dyDescent="0.3">
      <c r="A236" t="s">
        <v>503</v>
      </c>
      <c r="B236" s="5" t="e" cm="1">
        <f t="array" ref="B236">MAX(#REF!,MIN(#REF!,#REF!+SUMPRODUCT(--(FoodData[[#This Row],[Healthy]:[Refined]]="Yes"),#REF!)+FoodData[[#This Row],[Adjust]]))</f>
        <v>#REF!</v>
      </c>
      <c r="C236" s="1" t="e">
        <f>LOOKUP(FoodData[[#This Row],[Score]],#REF!,#REF!)</f>
        <v>#REF!</v>
      </c>
      <c r="D236" t="s">
        <v>342</v>
      </c>
      <c r="E236" t="s">
        <v>28</v>
      </c>
      <c r="F236" t="s">
        <v>22</v>
      </c>
      <c r="G236" t="s">
        <v>23</v>
      </c>
      <c r="H236" t="s">
        <v>504</v>
      </c>
      <c r="I236" s="1" t="s">
        <v>26</v>
      </c>
      <c r="J236" s="1" t="s">
        <v>26</v>
      </c>
      <c r="K236" s="1" t="s">
        <v>26</v>
      </c>
      <c r="L236" s="1" t="s">
        <v>26</v>
      </c>
      <c r="M236" s="1" t="s">
        <v>25</v>
      </c>
      <c r="N236" s="1" t="s">
        <v>25</v>
      </c>
      <c r="O236" s="1" t="s">
        <v>25</v>
      </c>
      <c r="P236" s="1" t="s">
        <v>25</v>
      </c>
      <c r="Q236" s="1" t="s">
        <v>25</v>
      </c>
      <c r="R236" s="1" t="s">
        <v>25</v>
      </c>
      <c r="S236" s="2">
        <v>0</v>
      </c>
    </row>
    <row r="237" spans="1:19" x14ac:dyDescent="0.3">
      <c r="A237" t="s">
        <v>505</v>
      </c>
      <c r="B237" s="5" t="e" cm="1">
        <f t="array" ref="B237">MAX(#REF!,MIN(#REF!,#REF!+SUMPRODUCT(--(FoodData[[#This Row],[Healthy]:[Refined]]="Yes"),#REF!)+FoodData[[#This Row],[Adjust]]))</f>
        <v>#REF!</v>
      </c>
      <c r="C237" s="1" t="e">
        <f>LOOKUP(FoodData[[#This Row],[Score]],#REF!,#REF!)</f>
        <v>#REF!</v>
      </c>
      <c r="D237" t="s">
        <v>342</v>
      </c>
      <c r="E237" t="s">
        <v>28</v>
      </c>
      <c r="F237" t="s">
        <v>22</v>
      </c>
      <c r="G237" t="s">
        <v>29</v>
      </c>
      <c r="H237" t="s">
        <v>506</v>
      </c>
      <c r="I237" s="1" t="s">
        <v>26</v>
      </c>
      <c r="J237" s="1" t="s">
        <v>26</v>
      </c>
      <c r="K237" s="1" t="s">
        <v>26</v>
      </c>
      <c r="L237" s="1" t="s">
        <v>26</v>
      </c>
      <c r="M237" s="1" t="s">
        <v>25</v>
      </c>
      <c r="N237" s="1" t="s">
        <v>25</v>
      </c>
      <c r="O237" s="1" t="s">
        <v>25</v>
      </c>
      <c r="P237" s="1" t="s">
        <v>25</v>
      </c>
      <c r="Q237" s="1" t="s">
        <v>25</v>
      </c>
      <c r="R237" s="1" t="s">
        <v>25</v>
      </c>
      <c r="S237" s="2">
        <v>0</v>
      </c>
    </row>
    <row r="238" spans="1:19" x14ac:dyDescent="0.3">
      <c r="A238" t="s">
        <v>507</v>
      </c>
      <c r="B238" s="5" t="e" cm="1">
        <f t="array" ref="B238">MAX(#REF!,MIN(#REF!,#REF!+SUMPRODUCT(--(FoodData[[#This Row],[Healthy]:[Refined]]="Yes"),#REF!)+FoodData[[#This Row],[Adjust]]))</f>
        <v>#REF!</v>
      </c>
      <c r="C238" s="1" t="e">
        <f>LOOKUP(FoodData[[#This Row],[Score]],#REF!,#REF!)</f>
        <v>#REF!</v>
      </c>
      <c r="D238" t="s">
        <v>342</v>
      </c>
      <c r="E238" t="s">
        <v>28</v>
      </c>
      <c r="F238" t="s">
        <v>22</v>
      </c>
      <c r="G238" t="s">
        <v>29</v>
      </c>
      <c r="H238" t="s">
        <v>508</v>
      </c>
      <c r="I238" s="1" t="s">
        <v>26</v>
      </c>
      <c r="J238" s="1" t="s">
        <v>25</v>
      </c>
      <c r="K238" s="1" t="s">
        <v>25</v>
      </c>
      <c r="L238" s="1" t="s">
        <v>26</v>
      </c>
      <c r="M238" s="1" t="s">
        <v>25</v>
      </c>
      <c r="N238" s="1" t="s">
        <v>26</v>
      </c>
      <c r="O238" s="1" t="s">
        <v>25</v>
      </c>
      <c r="P238" s="1" t="s">
        <v>25</v>
      </c>
      <c r="Q238" s="1" t="s">
        <v>25</v>
      </c>
      <c r="R238" s="1" t="s">
        <v>25</v>
      </c>
      <c r="S238" s="2">
        <v>0</v>
      </c>
    </row>
    <row r="239" spans="1:19" x14ac:dyDescent="0.3">
      <c r="A239" t="s">
        <v>509</v>
      </c>
      <c r="B239" s="5" t="e" cm="1">
        <f t="array" ref="B239">MAX(#REF!,MIN(#REF!,#REF!+SUMPRODUCT(--(FoodData[[#This Row],[Healthy]:[Refined]]="Yes"),#REF!)+FoodData[[#This Row],[Adjust]]))</f>
        <v>#REF!</v>
      </c>
      <c r="C239" s="1" t="e">
        <f>LOOKUP(FoodData[[#This Row],[Score]],#REF!,#REF!)</f>
        <v>#REF!</v>
      </c>
      <c r="D239" t="s">
        <v>342</v>
      </c>
      <c r="E239" t="s">
        <v>28</v>
      </c>
      <c r="F239" t="s">
        <v>22</v>
      </c>
      <c r="G239" t="s">
        <v>23</v>
      </c>
      <c r="H239" t="s">
        <v>510</v>
      </c>
      <c r="I239" s="1" t="s">
        <v>26</v>
      </c>
      <c r="J239" s="1" t="s">
        <v>25</v>
      </c>
      <c r="K239" s="1" t="s">
        <v>25</v>
      </c>
      <c r="L239" s="1" t="s">
        <v>26</v>
      </c>
      <c r="M239" s="1" t="s">
        <v>25</v>
      </c>
      <c r="N239" s="1" t="s">
        <v>26</v>
      </c>
      <c r="O239" s="1" t="s">
        <v>25</v>
      </c>
      <c r="P239" s="1" t="s">
        <v>25</v>
      </c>
      <c r="Q239" s="1" t="s">
        <v>25</v>
      </c>
      <c r="R239" s="1" t="s">
        <v>25</v>
      </c>
      <c r="S239" s="2">
        <v>0</v>
      </c>
    </row>
    <row r="240" spans="1:19" x14ac:dyDescent="0.3">
      <c r="A240" t="s">
        <v>511</v>
      </c>
      <c r="B240" s="5" t="e" cm="1">
        <f t="array" ref="B240">MAX(#REF!,MIN(#REF!,#REF!+SUMPRODUCT(--(FoodData[[#This Row],[Healthy]:[Refined]]="Yes"),#REF!)+FoodData[[#This Row],[Adjust]]))</f>
        <v>#REF!</v>
      </c>
      <c r="C240" s="1" t="e">
        <f>LOOKUP(FoodData[[#This Row],[Score]],#REF!,#REF!)</f>
        <v>#REF!</v>
      </c>
      <c r="D240" t="s">
        <v>342</v>
      </c>
      <c r="E240" t="s">
        <v>28</v>
      </c>
      <c r="F240" t="s">
        <v>22</v>
      </c>
      <c r="G240" t="s">
        <v>23</v>
      </c>
      <c r="H240" t="s">
        <v>512</v>
      </c>
      <c r="I240" s="1" t="s">
        <v>26</v>
      </c>
      <c r="J240" s="1" t="s">
        <v>26</v>
      </c>
      <c r="K240" s="1" t="s">
        <v>26</v>
      </c>
      <c r="L240" s="1" t="s">
        <v>26</v>
      </c>
      <c r="M240" s="1" t="s">
        <v>25</v>
      </c>
      <c r="N240" s="1" t="s">
        <v>25</v>
      </c>
      <c r="O240" s="1" t="s">
        <v>25</v>
      </c>
      <c r="P240" s="1" t="s">
        <v>25</v>
      </c>
      <c r="Q240" s="1" t="s">
        <v>25</v>
      </c>
      <c r="R240" s="1" t="s">
        <v>25</v>
      </c>
      <c r="S240" s="2">
        <v>0</v>
      </c>
    </row>
    <row r="241" spans="1:19" x14ac:dyDescent="0.3">
      <c r="A241" t="s">
        <v>513</v>
      </c>
      <c r="B241" s="5" t="e" cm="1">
        <f t="array" ref="B241">MAX(#REF!,MIN(#REF!,#REF!+SUMPRODUCT(--(FoodData[[#This Row],[Healthy]:[Refined]]="Yes"),#REF!)+FoodData[[#This Row],[Adjust]]))</f>
        <v>#REF!</v>
      </c>
      <c r="C241" s="1" t="e">
        <f>LOOKUP(FoodData[[#This Row],[Score]],#REF!,#REF!)</f>
        <v>#REF!</v>
      </c>
      <c r="D241" t="s">
        <v>342</v>
      </c>
      <c r="E241" t="s">
        <v>384</v>
      </c>
      <c r="F241" t="s">
        <v>22</v>
      </c>
      <c r="G241" t="s">
        <v>23</v>
      </c>
      <c r="H241" t="s">
        <v>514</v>
      </c>
      <c r="I241" s="1" t="s">
        <v>26</v>
      </c>
      <c r="J241" s="1" t="s">
        <v>26</v>
      </c>
      <c r="K241" s="1" t="s">
        <v>25</v>
      </c>
      <c r="L241" s="1" t="s">
        <v>26</v>
      </c>
      <c r="M241" s="1" t="s">
        <v>25</v>
      </c>
      <c r="N241" s="1" t="s">
        <v>25</v>
      </c>
      <c r="O241" s="1" t="s">
        <v>25</v>
      </c>
      <c r="P241" s="1" t="s">
        <v>25</v>
      </c>
      <c r="Q241" s="1" t="s">
        <v>25</v>
      </c>
      <c r="R241" s="1" t="s">
        <v>25</v>
      </c>
      <c r="S241" s="2">
        <v>0</v>
      </c>
    </row>
    <row r="242" spans="1:19" x14ac:dyDescent="0.3">
      <c r="A242" t="s">
        <v>515</v>
      </c>
      <c r="B242" s="5" t="e" cm="1">
        <f t="array" ref="B242">MAX(#REF!,MIN(#REF!,#REF!+SUMPRODUCT(--(FoodData[[#This Row],[Healthy]:[Refined]]="Yes"),#REF!)+FoodData[[#This Row],[Adjust]]))</f>
        <v>#REF!</v>
      </c>
      <c r="C242" s="1" t="e">
        <f>LOOKUP(FoodData[[#This Row],[Score]],#REF!,#REF!)</f>
        <v>#REF!</v>
      </c>
      <c r="D242" t="s">
        <v>342</v>
      </c>
      <c r="E242" t="s">
        <v>28</v>
      </c>
      <c r="F242" t="s">
        <v>22</v>
      </c>
      <c r="G242" t="s">
        <v>23</v>
      </c>
      <c r="H242" t="s">
        <v>516</v>
      </c>
      <c r="I242" s="1" t="s">
        <v>26</v>
      </c>
      <c r="J242" s="1" t="s">
        <v>25</v>
      </c>
      <c r="K242" s="1" t="s">
        <v>25</v>
      </c>
      <c r="L242" s="1" t="s">
        <v>26</v>
      </c>
      <c r="M242" s="1" t="s">
        <v>25</v>
      </c>
      <c r="N242" s="1" t="s">
        <v>25</v>
      </c>
      <c r="O242" s="1" t="s">
        <v>25</v>
      </c>
      <c r="P242" s="1" t="s">
        <v>25</v>
      </c>
      <c r="Q242" s="1" t="s">
        <v>25</v>
      </c>
      <c r="R242" s="1" t="s">
        <v>25</v>
      </c>
      <c r="S242" s="2">
        <v>0</v>
      </c>
    </row>
    <row r="243" spans="1:19" x14ac:dyDescent="0.3">
      <c r="A243" t="s">
        <v>517</v>
      </c>
      <c r="B243" s="5" t="e" cm="1">
        <f t="array" ref="B243">MAX(#REF!,MIN(#REF!,#REF!+SUMPRODUCT(--(FoodData[[#This Row],[Healthy]:[Refined]]="Yes"),#REF!)+FoodData[[#This Row],[Adjust]]))</f>
        <v>#REF!</v>
      </c>
      <c r="C243" s="1" t="e">
        <f>LOOKUP(FoodData[[#This Row],[Score]],#REF!,#REF!)</f>
        <v>#REF!</v>
      </c>
      <c r="D243" t="s">
        <v>342</v>
      </c>
      <c r="E243" t="s">
        <v>28</v>
      </c>
      <c r="F243" t="s">
        <v>22</v>
      </c>
      <c r="G243" t="s">
        <v>23</v>
      </c>
      <c r="H243" t="s">
        <v>518</v>
      </c>
      <c r="I243" s="1" t="s">
        <v>25</v>
      </c>
      <c r="J243" s="1" t="s">
        <v>25</v>
      </c>
      <c r="K243" s="1" t="s">
        <v>26</v>
      </c>
      <c r="L243" s="1" t="s">
        <v>25</v>
      </c>
      <c r="M243" s="1" t="s">
        <v>25</v>
      </c>
      <c r="N243" s="1" t="s">
        <v>26</v>
      </c>
      <c r="O243" s="1" t="s">
        <v>25</v>
      </c>
      <c r="P243" s="1" t="s">
        <v>25</v>
      </c>
      <c r="Q243" s="1" t="s">
        <v>25</v>
      </c>
      <c r="R243" s="1" t="s">
        <v>25</v>
      </c>
      <c r="S243" s="2">
        <v>0</v>
      </c>
    </row>
    <row r="244" spans="1:19" x14ac:dyDescent="0.3">
      <c r="A244" t="s">
        <v>519</v>
      </c>
      <c r="B244" s="5" t="e" cm="1">
        <f t="array" ref="B244">MAX(#REF!,MIN(#REF!,#REF!+SUMPRODUCT(--(FoodData[[#This Row],[Healthy]:[Refined]]="Yes"),#REF!)+FoodData[[#This Row],[Adjust]]))</f>
        <v>#REF!</v>
      </c>
      <c r="C244" s="1" t="e">
        <f>LOOKUP(FoodData[[#This Row],[Score]],#REF!,#REF!)</f>
        <v>#REF!</v>
      </c>
      <c r="D244" t="s">
        <v>342</v>
      </c>
      <c r="E244" t="s">
        <v>28</v>
      </c>
      <c r="F244" t="s">
        <v>22</v>
      </c>
      <c r="G244" t="s">
        <v>29</v>
      </c>
      <c r="H244" t="s">
        <v>520</v>
      </c>
      <c r="I244" s="1" t="s">
        <v>26</v>
      </c>
      <c r="J244" s="1" t="s">
        <v>25</v>
      </c>
      <c r="K244" s="1" t="s">
        <v>25</v>
      </c>
      <c r="L244" s="1" t="s">
        <v>26</v>
      </c>
      <c r="M244" s="1" t="s">
        <v>25</v>
      </c>
      <c r="N244" s="1" t="s">
        <v>26</v>
      </c>
      <c r="O244" s="1" t="s">
        <v>25</v>
      </c>
      <c r="P244" s="1" t="s">
        <v>25</v>
      </c>
      <c r="Q244" s="1" t="s">
        <v>25</v>
      </c>
      <c r="R244" s="1" t="s">
        <v>25</v>
      </c>
      <c r="S244" s="2">
        <v>0</v>
      </c>
    </row>
    <row r="245" spans="1:19" x14ac:dyDescent="0.3">
      <c r="A245" t="s">
        <v>521</v>
      </c>
      <c r="B245" s="5" t="e" cm="1">
        <f t="array" ref="B245">MAX(#REF!,MIN(#REF!,#REF!+SUMPRODUCT(--(FoodData[[#This Row],[Healthy]:[Refined]]="Yes"),#REF!)+FoodData[[#This Row],[Adjust]]))</f>
        <v>#REF!</v>
      </c>
      <c r="C245" s="1" t="e">
        <f>LOOKUP(FoodData[[#This Row],[Score]],#REF!,#REF!)</f>
        <v>#REF!</v>
      </c>
      <c r="D245" t="s">
        <v>342</v>
      </c>
      <c r="E245" t="s">
        <v>28</v>
      </c>
      <c r="F245" t="s">
        <v>60</v>
      </c>
      <c r="G245" t="s">
        <v>23</v>
      </c>
      <c r="H245" t="s">
        <v>522</v>
      </c>
      <c r="I245" s="1" t="s">
        <v>25</v>
      </c>
      <c r="J245" s="1" t="s">
        <v>25</v>
      </c>
      <c r="K245" s="1" t="s">
        <v>26</v>
      </c>
      <c r="L245" s="1" t="s">
        <v>25</v>
      </c>
      <c r="M245" s="1" t="s">
        <v>25</v>
      </c>
      <c r="N245" s="1" t="s">
        <v>25</v>
      </c>
      <c r="O245" s="1" t="s">
        <v>25</v>
      </c>
      <c r="P245" s="1" t="s">
        <v>25</v>
      </c>
      <c r="Q245" s="1" t="s">
        <v>25</v>
      </c>
      <c r="R245" s="1" t="s">
        <v>25</v>
      </c>
      <c r="S245" s="2">
        <v>0</v>
      </c>
    </row>
    <row r="246" spans="1:19" x14ac:dyDescent="0.3">
      <c r="A246" t="s">
        <v>523</v>
      </c>
      <c r="B246" s="5" t="e" cm="1">
        <f t="array" ref="B246">MAX(#REF!,MIN(#REF!,#REF!+SUMPRODUCT(--(FoodData[[#This Row],[Healthy]:[Refined]]="Yes"),#REF!)+FoodData[[#This Row],[Adjust]]))</f>
        <v>#REF!</v>
      </c>
      <c r="C246" s="1" t="e">
        <f>LOOKUP(FoodData[[#This Row],[Score]],#REF!,#REF!)</f>
        <v>#REF!</v>
      </c>
      <c r="D246" t="s">
        <v>342</v>
      </c>
      <c r="E246" t="s">
        <v>28</v>
      </c>
      <c r="F246" t="s">
        <v>22</v>
      </c>
      <c r="G246" t="s">
        <v>162</v>
      </c>
      <c r="H246" t="s">
        <v>524</v>
      </c>
      <c r="I246" s="1" t="s">
        <v>26</v>
      </c>
      <c r="J246" s="1" t="s">
        <v>26</v>
      </c>
      <c r="K246" s="1" t="s">
        <v>25</v>
      </c>
      <c r="L246" s="1" t="s">
        <v>25</v>
      </c>
      <c r="M246" s="1" t="s">
        <v>25</v>
      </c>
      <c r="N246" s="1" t="s">
        <v>25</v>
      </c>
      <c r="O246" s="1" t="s">
        <v>25</v>
      </c>
      <c r="P246" s="1" t="s">
        <v>25</v>
      </c>
      <c r="Q246" s="1" t="s">
        <v>25</v>
      </c>
      <c r="R246" s="1" t="s">
        <v>25</v>
      </c>
      <c r="S246" s="2">
        <v>0</v>
      </c>
    </row>
    <row r="247" spans="1:19" x14ac:dyDescent="0.3">
      <c r="A247" t="s">
        <v>525</v>
      </c>
      <c r="B247" s="5" t="e" cm="1">
        <f t="array" ref="B247">MAX(#REF!,MIN(#REF!,#REF!+SUMPRODUCT(--(FoodData[[#This Row],[Healthy]:[Refined]]="Yes"),#REF!)+FoodData[[#This Row],[Adjust]]))</f>
        <v>#REF!</v>
      </c>
      <c r="C247" s="1" t="e">
        <f>LOOKUP(FoodData[[#This Row],[Score]],#REF!,#REF!)</f>
        <v>#REF!</v>
      </c>
      <c r="D247" t="s">
        <v>342</v>
      </c>
      <c r="E247" t="s">
        <v>28</v>
      </c>
      <c r="F247" t="s">
        <v>22</v>
      </c>
      <c r="G247" t="s">
        <v>23</v>
      </c>
      <c r="H247" t="s">
        <v>526</v>
      </c>
      <c r="I247" s="1" t="s">
        <v>26</v>
      </c>
      <c r="J247" s="1" t="s">
        <v>25</v>
      </c>
      <c r="K247" s="1" t="s">
        <v>26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25</v>
      </c>
      <c r="Q247" s="1" t="s">
        <v>25</v>
      </c>
      <c r="R247" s="1" t="s">
        <v>25</v>
      </c>
      <c r="S247" s="2">
        <v>0</v>
      </c>
    </row>
    <row r="248" spans="1:19" x14ac:dyDescent="0.3">
      <c r="A248" t="s">
        <v>527</v>
      </c>
      <c r="B248" s="5" t="e" cm="1">
        <f t="array" ref="B248">MAX(#REF!,MIN(#REF!,#REF!+SUMPRODUCT(--(FoodData[[#This Row],[Healthy]:[Refined]]="Yes"),#REF!)+FoodData[[#This Row],[Adjust]]))</f>
        <v>#REF!</v>
      </c>
      <c r="C248" s="1" t="e">
        <f>LOOKUP(FoodData[[#This Row],[Score]],#REF!,#REF!)</f>
        <v>#REF!</v>
      </c>
      <c r="D248" t="s">
        <v>342</v>
      </c>
      <c r="E248" t="s">
        <v>28</v>
      </c>
      <c r="F248" t="s">
        <v>22</v>
      </c>
      <c r="G248" t="s">
        <v>23</v>
      </c>
      <c r="H248" t="s">
        <v>528</v>
      </c>
      <c r="I248" s="1" t="s">
        <v>25</v>
      </c>
      <c r="J248" s="1" t="s">
        <v>25</v>
      </c>
      <c r="K248" s="1" t="s">
        <v>26</v>
      </c>
      <c r="L248" s="1" t="s">
        <v>25</v>
      </c>
      <c r="M248" s="1" t="s">
        <v>25</v>
      </c>
      <c r="N248" s="1" t="s">
        <v>26</v>
      </c>
      <c r="O248" s="1" t="s">
        <v>25</v>
      </c>
      <c r="P248" s="1" t="s">
        <v>25</v>
      </c>
      <c r="Q248" s="1" t="s">
        <v>25</v>
      </c>
      <c r="R248" s="1" t="s">
        <v>25</v>
      </c>
      <c r="S248" s="2">
        <v>0</v>
      </c>
    </row>
    <row r="249" spans="1:19" x14ac:dyDescent="0.3">
      <c r="A249" t="s">
        <v>529</v>
      </c>
      <c r="B249" s="5" t="e" cm="1">
        <f t="array" ref="B249">MAX(#REF!,MIN(#REF!,#REF!+SUMPRODUCT(--(FoodData[[#This Row],[Healthy]:[Refined]]="Yes"),#REF!)+FoodData[[#This Row],[Adjust]]))</f>
        <v>#REF!</v>
      </c>
      <c r="C249" s="1" t="e">
        <f>LOOKUP(FoodData[[#This Row],[Score]],#REF!,#REF!)</f>
        <v>#REF!</v>
      </c>
      <c r="D249" t="s">
        <v>342</v>
      </c>
      <c r="E249" t="s">
        <v>28</v>
      </c>
      <c r="F249" t="s">
        <v>22</v>
      </c>
      <c r="G249" t="s">
        <v>23</v>
      </c>
      <c r="H249" t="s">
        <v>530</v>
      </c>
      <c r="I249" s="1" t="s">
        <v>26</v>
      </c>
      <c r="J249" s="1" t="s">
        <v>25</v>
      </c>
      <c r="K249" s="1" t="s">
        <v>26</v>
      </c>
      <c r="L249" s="1" t="s">
        <v>26</v>
      </c>
      <c r="M249" s="1" t="s">
        <v>25</v>
      </c>
      <c r="N249" s="1" t="s">
        <v>25</v>
      </c>
      <c r="O249" s="1" t="s">
        <v>25</v>
      </c>
      <c r="P249" s="1" t="s">
        <v>25</v>
      </c>
      <c r="Q249" s="1" t="s">
        <v>25</v>
      </c>
      <c r="R249" s="1" t="s">
        <v>25</v>
      </c>
      <c r="S249" s="2">
        <v>0</v>
      </c>
    </row>
    <row r="250" spans="1:19" x14ac:dyDescent="0.3">
      <c r="A250" t="s">
        <v>531</v>
      </c>
      <c r="B250" s="5" t="e" cm="1">
        <f t="array" ref="B250">MAX(#REF!,MIN(#REF!,#REF!+SUMPRODUCT(--(FoodData[[#This Row],[Healthy]:[Refined]]="Yes"),#REF!)+FoodData[[#This Row],[Adjust]]))</f>
        <v>#REF!</v>
      </c>
      <c r="C250" s="1" t="e">
        <f>LOOKUP(FoodData[[#This Row],[Score]],#REF!,#REF!)</f>
        <v>#REF!</v>
      </c>
      <c r="D250" t="s">
        <v>342</v>
      </c>
      <c r="E250" t="s">
        <v>28</v>
      </c>
      <c r="F250" t="s">
        <v>22</v>
      </c>
      <c r="G250" t="s">
        <v>23</v>
      </c>
      <c r="H250" t="s">
        <v>532</v>
      </c>
      <c r="I250" s="1" t="s">
        <v>26</v>
      </c>
      <c r="J250" s="1" t="s">
        <v>25</v>
      </c>
      <c r="K250" s="1" t="s">
        <v>25</v>
      </c>
      <c r="L250" s="1" t="s">
        <v>26</v>
      </c>
      <c r="M250" s="1" t="s">
        <v>25</v>
      </c>
      <c r="N250" s="1" t="s">
        <v>26</v>
      </c>
      <c r="O250" s="1" t="s">
        <v>25</v>
      </c>
      <c r="P250" s="1" t="s">
        <v>25</v>
      </c>
      <c r="Q250" s="1" t="s">
        <v>25</v>
      </c>
      <c r="R250" s="1" t="s">
        <v>25</v>
      </c>
      <c r="S250" s="2">
        <v>0</v>
      </c>
    </row>
    <row r="251" spans="1:19" x14ac:dyDescent="0.3">
      <c r="A251" t="s">
        <v>533</v>
      </c>
      <c r="B251" s="5" t="e" cm="1">
        <f t="array" ref="B251">MAX(#REF!,MIN(#REF!,#REF!+SUMPRODUCT(--(FoodData[[#This Row],[Healthy]:[Refined]]="Yes"),#REF!)+FoodData[[#This Row],[Adjust]]))</f>
        <v>#REF!</v>
      </c>
      <c r="C251" s="1" t="e">
        <f>LOOKUP(FoodData[[#This Row],[Score]],#REF!,#REF!)</f>
        <v>#REF!</v>
      </c>
      <c r="D251" t="s">
        <v>342</v>
      </c>
      <c r="E251" t="s">
        <v>28</v>
      </c>
      <c r="F251" t="s">
        <v>22</v>
      </c>
      <c r="G251" t="s">
        <v>23</v>
      </c>
      <c r="H251" t="s">
        <v>534</v>
      </c>
      <c r="I251" s="1" t="s">
        <v>25</v>
      </c>
      <c r="J251" s="1" t="s">
        <v>25</v>
      </c>
      <c r="K251" s="1" t="s">
        <v>25</v>
      </c>
      <c r="L251" s="1" t="s">
        <v>26</v>
      </c>
      <c r="M251" s="1" t="s">
        <v>25</v>
      </c>
      <c r="N251" s="1" t="s">
        <v>26</v>
      </c>
      <c r="O251" s="1" t="s">
        <v>25</v>
      </c>
      <c r="P251" s="1" t="s">
        <v>25</v>
      </c>
      <c r="Q251" s="1" t="s">
        <v>25</v>
      </c>
      <c r="R251" s="1" t="s">
        <v>25</v>
      </c>
      <c r="S251" s="2">
        <v>0</v>
      </c>
    </row>
    <row r="252" spans="1:19" x14ac:dyDescent="0.3">
      <c r="A252" t="s">
        <v>535</v>
      </c>
      <c r="B252" s="5" t="e" cm="1">
        <f t="array" ref="B252">MAX(#REF!,MIN(#REF!,#REF!+SUMPRODUCT(--(FoodData[[#This Row],[Healthy]:[Refined]]="Yes"),#REF!)+FoodData[[#This Row],[Adjust]]))</f>
        <v>#REF!</v>
      </c>
      <c r="C252" s="1" t="e">
        <f>LOOKUP(FoodData[[#This Row],[Score]],#REF!,#REF!)</f>
        <v>#REF!</v>
      </c>
      <c r="D252" t="s">
        <v>342</v>
      </c>
      <c r="E252" t="s">
        <v>21</v>
      </c>
      <c r="F252" t="s">
        <v>22</v>
      </c>
      <c r="G252" t="s">
        <v>489</v>
      </c>
      <c r="H252" t="s">
        <v>536</v>
      </c>
      <c r="I252" s="1" t="s">
        <v>25</v>
      </c>
      <c r="J252" s="1" t="s">
        <v>25</v>
      </c>
      <c r="K252" s="1" t="s">
        <v>26</v>
      </c>
      <c r="L252" s="1" t="s">
        <v>26</v>
      </c>
      <c r="M252" s="1" t="s">
        <v>26</v>
      </c>
      <c r="N252" s="1" t="s">
        <v>25</v>
      </c>
      <c r="O252" s="1" t="s">
        <v>25</v>
      </c>
      <c r="P252" s="1" t="s">
        <v>25</v>
      </c>
      <c r="Q252" s="1" t="s">
        <v>25</v>
      </c>
      <c r="R252" s="1" t="s">
        <v>25</v>
      </c>
      <c r="S252" s="2">
        <v>0</v>
      </c>
    </row>
    <row r="253" spans="1:19" x14ac:dyDescent="0.3">
      <c r="A253" t="s">
        <v>537</v>
      </c>
      <c r="B253" s="5" t="e" cm="1">
        <f t="array" ref="B253">MAX(#REF!,MIN(#REF!,#REF!+SUMPRODUCT(--(FoodData[[#This Row],[Healthy]:[Refined]]="Yes"),#REF!)+FoodData[[#This Row],[Adjust]]))</f>
        <v>#REF!</v>
      </c>
      <c r="C253" s="1" t="e">
        <f>LOOKUP(FoodData[[#This Row],[Score]],#REF!,#REF!)</f>
        <v>#REF!</v>
      </c>
      <c r="D253" t="s">
        <v>342</v>
      </c>
      <c r="E253" t="s">
        <v>21</v>
      </c>
      <c r="F253" t="s">
        <v>22</v>
      </c>
      <c r="G253" t="s">
        <v>29</v>
      </c>
      <c r="H253" t="s">
        <v>538</v>
      </c>
      <c r="I253" s="1" t="s">
        <v>26</v>
      </c>
      <c r="J253" s="1" t="s">
        <v>26</v>
      </c>
      <c r="K253" s="1" t="s">
        <v>26</v>
      </c>
      <c r="L253" s="1" t="s">
        <v>25</v>
      </c>
      <c r="M253" s="1" t="s">
        <v>25</v>
      </c>
      <c r="N253" s="1" t="s">
        <v>25</v>
      </c>
      <c r="O253" s="1" t="s">
        <v>25</v>
      </c>
      <c r="P253" s="1" t="s">
        <v>25</v>
      </c>
      <c r="Q253" s="1" t="s">
        <v>25</v>
      </c>
      <c r="R253" s="1" t="s">
        <v>25</v>
      </c>
      <c r="S253" s="2">
        <v>0</v>
      </c>
    </row>
    <row r="254" spans="1:19" x14ac:dyDescent="0.3">
      <c r="A254" t="s">
        <v>539</v>
      </c>
      <c r="B254" s="5" t="e" cm="1">
        <f t="array" ref="B254">MAX(#REF!,MIN(#REF!,#REF!+SUMPRODUCT(--(FoodData[[#This Row],[Healthy]:[Refined]]="Yes"),#REF!)+FoodData[[#This Row],[Adjust]]))</f>
        <v>#REF!</v>
      </c>
      <c r="C254" s="1" t="e">
        <f>LOOKUP(FoodData[[#This Row],[Score]],#REF!,#REF!)</f>
        <v>#REF!</v>
      </c>
      <c r="D254" t="s">
        <v>342</v>
      </c>
      <c r="E254" t="s">
        <v>28</v>
      </c>
      <c r="F254" t="s">
        <v>22</v>
      </c>
      <c r="G254" t="s">
        <v>29</v>
      </c>
      <c r="H254" t="s">
        <v>540</v>
      </c>
      <c r="I254" s="1" t="s">
        <v>26</v>
      </c>
      <c r="J254" s="1" t="s">
        <v>25</v>
      </c>
      <c r="K254" s="1" t="s">
        <v>25</v>
      </c>
      <c r="L254" s="1" t="s">
        <v>26</v>
      </c>
      <c r="M254" s="1" t="s">
        <v>25</v>
      </c>
      <c r="N254" s="1" t="s">
        <v>26</v>
      </c>
      <c r="O254" s="1" t="s">
        <v>25</v>
      </c>
      <c r="P254" s="1" t="s">
        <v>25</v>
      </c>
      <c r="Q254" s="1" t="s">
        <v>25</v>
      </c>
      <c r="R254" s="1" t="s">
        <v>25</v>
      </c>
      <c r="S254" s="2">
        <v>0</v>
      </c>
    </row>
    <row r="255" spans="1:19" x14ac:dyDescent="0.3">
      <c r="A255" t="s">
        <v>541</v>
      </c>
      <c r="B255" s="5" t="e" cm="1">
        <f t="array" ref="B255">MAX(#REF!,MIN(#REF!,#REF!+SUMPRODUCT(--(FoodData[[#This Row],[Healthy]:[Refined]]="Yes"),#REF!)+FoodData[[#This Row],[Adjust]]))</f>
        <v>#REF!</v>
      </c>
      <c r="C255" s="1" t="e">
        <f>LOOKUP(FoodData[[#This Row],[Score]],#REF!,#REF!)</f>
        <v>#REF!</v>
      </c>
      <c r="D255" t="s">
        <v>342</v>
      </c>
      <c r="E255" t="s">
        <v>28</v>
      </c>
      <c r="F255" t="s">
        <v>22</v>
      </c>
      <c r="G255" t="s">
        <v>23</v>
      </c>
      <c r="H255" t="s">
        <v>542</v>
      </c>
      <c r="I255" s="1" t="s">
        <v>25</v>
      </c>
      <c r="J255" s="1" t="s">
        <v>25</v>
      </c>
      <c r="K255" s="1" t="s">
        <v>26</v>
      </c>
      <c r="L255" s="1" t="s">
        <v>25</v>
      </c>
      <c r="M255" s="1" t="s">
        <v>26</v>
      </c>
      <c r="N255" s="1" t="s">
        <v>25</v>
      </c>
      <c r="O255" s="1" t="s">
        <v>25</v>
      </c>
      <c r="P255" s="1" t="s">
        <v>25</v>
      </c>
      <c r="Q255" s="1" t="s">
        <v>25</v>
      </c>
      <c r="R255" s="1" t="s">
        <v>25</v>
      </c>
      <c r="S255" s="2">
        <v>0</v>
      </c>
    </row>
    <row r="256" spans="1:19" x14ac:dyDescent="0.3">
      <c r="A256" t="s">
        <v>543</v>
      </c>
      <c r="B256" s="5" t="e" cm="1">
        <f t="array" ref="B256">MAX(#REF!,MIN(#REF!,#REF!+SUMPRODUCT(--(FoodData[[#This Row],[Healthy]:[Refined]]="Yes"),#REF!)+FoodData[[#This Row],[Adjust]]))</f>
        <v>#REF!</v>
      </c>
      <c r="C256" s="1" t="e">
        <f>LOOKUP(FoodData[[#This Row],[Score]],#REF!,#REF!)</f>
        <v>#REF!</v>
      </c>
      <c r="D256" t="s">
        <v>342</v>
      </c>
      <c r="E256" t="s">
        <v>28</v>
      </c>
      <c r="F256" t="s">
        <v>22</v>
      </c>
      <c r="G256" t="s">
        <v>23</v>
      </c>
      <c r="H256" t="s">
        <v>544</v>
      </c>
      <c r="I256" s="1" t="s">
        <v>26</v>
      </c>
      <c r="J256" s="1" t="s">
        <v>26</v>
      </c>
      <c r="K256" s="1" t="s">
        <v>25</v>
      </c>
      <c r="L256" s="1" t="s">
        <v>26</v>
      </c>
      <c r="M256" s="1" t="s">
        <v>25</v>
      </c>
      <c r="N256" s="1" t="s">
        <v>25</v>
      </c>
      <c r="O256" s="1" t="s">
        <v>25</v>
      </c>
      <c r="P256" s="1" t="s">
        <v>25</v>
      </c>
      <c r="Q256" s="1" t="s">
        <v>25</v>
      </c>
      <c r="R256" s="1" t="s">
        <v>25</v>
      </c>
      <c r="S256" s="2">
        <v>0</v>
      </c>
    </row>
    <row r="257" spans="1:19" x14ac:dyDescent="0.3">
      <c r="A257" t="s">
        <v>545</v>
      </c>
      <c r="B257" s="5" t="e" cm="1">
        <f t="array" ref="B257">MAX(#REF!,MIN(#REF!,#REF!+SUMPRODUCT(--(FoodData[[#This Row],[Healthy]:[Refined]]="Yes"),#REF!)+FoodData[[#This Row],[Adjust]]))</f>
        <v>#REF!</v>
      </c>
      <c r="C257" s="1" t="e">
        <f>LOOKUP(FoodData[[#This Row],[Score]],#REF!,#REF!)</f>
        <v>#REF!</v>
      </c>
      <c r="D257" t="s">
        <v>342</v>
      </c>
      <c r="E257" t="s">
        <v>28</v>
      </c>
      <c r="F257" t="s">
        <v>22</v>
      </c>
      <c r="G257" t="s">
        <v>23</v>
      </c>
      <c r="H257" t="s">
        <v>546</v>
      </c>
      <c r="I257" s="1" t="s">
        <v>25</v>
      </c>
      <c r="J257" s="1" t="s">
        <v>25</v>
      </c>
      <c r="K257" s="1" t="s">
        <v>25</v>
      </c>
      <c r="L257" s="1" t="s">
        <v>26</v>
      </c>
      <c r="M257" s="1" t="s">
        <v>25</v>
      </c>
      <c r="N257" s="1" t="s">
        <v>26</v>
      </c>
      <c r="O257" s="1" t="s">
        <v>25</v>
      </c>
      <c r="P257" s="1" t="s">
        <v>25</v>
      </c>
      <c r="Q257" s="1" t="s">
        <v>25</v>
      </c>
      <c r="R257" s="1" t="s">
        <v>25</v>
      </c>
      <c r="S257" s="2">
        <v>0</v>
      </c>
    </row>
    <row r="258" spans="1:19" x14ac:dyDescent="0.3">
      <c r="A258" t="s">
        <v>547</v>
      </c>
      <c r="B258" s="5" t="e" cm="1">
        <f t="array" ref="B258">MAX(#REF!,MIN(#REF!,#REF!+SUMPRODUCT(--(FoodData[[#This Row],[Healthy]:[Refined]]="Yes"),#REF!)+FoodData[[#This Row],[Adjust]]))</f>
        <v>#REF!</v>
      </c>
      <c r="C258" s="1" t="e">
        <f>LOOKUP(FoodData[[#This Row],[Score]],#REF!,#REF!)</f>
        <v>#REF!</v>
      </c>
      <c r="D258" t="s">
        <v>342</v>
      </c>
      <c r="E258" t="s">
        <v>28</v>
      </c>
      <c r="F258" t="s">
        <v>22</v>
      </c>
      <c r="G258" t="s">
        <v>23</v>
      </c>
      <c r="H258" t="s">
        <v>548</v>
      </c>
      <c r="I258" s="1" t="s">
        <v>26</v>
      </c>
      <c r="J258" s="1" t="s">
        <v>25</v>
      </c>
      <c r="K258" s="1" t="s">
        <v>26</v>
      </c>
      <c r="L258" s="1" t="s">
        <v>26</v>
      </c>
      <c r="M258" s="1" t="s">
        <v>25</v>
      </c>
      <c r="N258" s="1" t="s">
        <v>25</v>
      </c>
      <c r="O258" s="1" t="s">
        <v>26</v>
      </c>
      <c r="P258" s="1" t="s">
        <v>25</v>
      </c>
      <c r="Q258" s="1" t="s">
        <v>25</v>
      </c>
      <c r="R258" s="1" t="s">
        <v>25</v>
      </c>
      <c r="S258" s="2">
        <v>0</v>
      </c>
    </row>
    <row r="259" spans="1:19" x14ac:dyDescent="0.3">
      <c r="A259" t="s">
        <v>549</v>
      </c>
      <c r="B259" s="5" t="e" cm="1">
        <f t="array" ref="B259">MAX(#REF!,MIN(#REF!,#REF!+SUMPRODUCT(--(FoodData[[#This Row],[Healthy]:[Refined]]="Yes"),#REF!)+FoodData[[#This Row],[Adjust]]))</f>
        <v>#REF!</v>
      </c>
      <c r="C259" s="1" t="e">
        <f>LOOKUP(FoodData[[#This Row],[Score]],#REF!,#REF!)</f>
        <v>#REF!</v>
      </c>
      <c r="D259" t="s">
        <v>342</v>
      </c>
      <c r="E259" t="s">
        <v>28</v>
      </c>
      <c r="F259" t="s">
        <v>22</v>
      </c>
      <c r="G259" t="s">
        <v>29</v>
      </c>
      <c r="H259" t="s">
        <v>550</v>
      </c>
      <c r="I259" s="1" t="s">
        <v>26</v>
      </c>
      <c r="J259" s="1" t="s">
        <v>25</v>
      </c>
      <c r="K259" s="1" t="s">
        <v>25</v>
      </c>
      <c r="L259" s="1" t="s">
        <v>26</v>
      </c>
      <c r="M259" s="1" t="s">
        <v>25</v>
      </c>
      <c r="N259" s="1" t="s">
        <v>26</v>
      </c>
      <c r="O259" s="1" t="s">
        <v>25</v>
      </c>
      <c r="P259" s="1" t="s">
        <v>25</v>
      </c>
      <c r="Q259" s="1" t="s">
        <v>25</v>
      </c>
      <c r="R259" s="1" t="s">
        <v>25</v>
      </c>
      <c r="S259" s="2">
        <v>0</v>
      </c>
    </row>
    <row r="260" spans="1:19" x14ac:dyDescent="0.3">
      <c r="A260" t="s">
        <v>551</v>
      </c>
      <c r="B260" s="5" t="e" cm="1">
        <f t="array" ref="B260">MAX(#REF!,MIN(#REF!,#REF!+SUMPRODUCT(--(FoodData[[#This Row],[Healthy]:[Refined]]="Yes"),#REF!)+FoodData[[#This Row],[Adjust]]))</f>
        <v>#REF!</v>
      </c>
      <c r="C260" s="1" t="e">
        <f>LOOKUP(FoodData[[#This Row],[Score]],#REF!,#REF!)</f>
        <v>#REF!</v>
      </c>
      <c r="D260" t="s">
        <v>342</v>
      </c>
      <c r="E260" t="s">
        <v>28</v>
      </c>
      <c r="F260" t="s">
        <v>22</v>
      </c>
      <c r="G260" t="s">
        <v>29</v>
      </c>
      <c r="H260" t="s">
        <v>552</v>
      </c>
      <c r="I260" s="1" t="s">
        <v>26</v>
      </c>
      <c r="J260" s="1" t="s">
        <v>25</v>
      </c>
      <c r="K260" s="1" t="s">
        <v>25</v>
      </c>
      <c r="L260" s="1" t="s">
        <v>26</v>
      </c>
      <c r="M260" s="1" t="s">
        <v>25</v>
      </c>
      <c r="N260" s="1" t="s">
        <v>26</v>
      </c>
      <c r="O260" s="1" t="s">
        <v>25</v>
      </c>
      <c r="P260" s="1" t="s">
        <v>25</v>
      </c>
      <c r="Q260" s="1" t="s">
        <v>25</v>
      </c>
      <c r="R260" s="1" t="s">
        <v>25</v>
      </c>
      <c r="S260" s="2">
        <v>0</v>
      </c>
    </row>
    <row r="261" spans="1:19" x14ac:dyDescent="0.3">
      <c r="A261" t="s">
        <v>553</v>
      </c>
      <c r="B261" s="5" t="e" cm="1">
        <f t="array" ref="B261">MAX(#REF!,MIN(#REF!,#REF!+SUMPRODUCT(--(FoodData[[#This Row],[Healthy]:[Refined]]="Yes"),#REF!)+FoodData[[#This Row],[Adjust]]))</f>
        <v>#REF!</v>
      </c>
      <c r="C261" s="1" t="e">
        <f>LOOKUP(FoodData[[#This Row],[Score]],#REF!,#REF!)</f>
        <v>#REF!</v>
      </c>
      <c r="D261" t="s">
        <v>342</v>
      </c>
      <c r="E261" t="s">
        <v>28</v>
      </c>
      <c r="F261" t="s">
        <v>22</v>
      </c>
      <c r="G261" t="s">
        <v>23</v>
      </c>
      <c r="H261" t="s">
        <v>554</v>
      </c>
      <c r="I261" s="1" t="s">
        <v>26</v>
      </c>
      <c r="J261" s="1" t="s">
        <v>25</v>
      </c>
      <c r="K261" s="1" t="s">
        <v>25</v>
      </c>
      <c r="L261" s="1" t="s">
        <v>25</v>
      </c>
      <c r="M261" s="1" t="s">
        <v>25</v>
      </c>
      <c r="N261" s="1" t="s">
        <v>25</v>
      </c>
      <c r="O261" s="1" t="s">
        <v>25</v>
      </c>
      <c r="P261" s="1" t="s">
        <v>25</v>
      </c>
      <c r="Q261" s="1" t="s">
        <v>25</v>
      </c>
      <c r="R261" s="1" t="s">
        <v>25</v>
      </c>
      <c r="S261" s="2">
        <v>0</v>
      </c>
    </row>
    <row r="262" spans="1:19" x14ac:dyDescent="0.3">
      <c r="A262" t="s">
        <v>555</v>
      </c>
      <c r="B262" s="5" t="e" cm="1">
        <f t="array" ref="B262">MAX(#REF!,MIN(#REF!,#REF!+SUMPRODUCT(--(FoodData[[#This Row],[Healthy]:[Refined]]="Yes"),#REF!)+FoodData[[#This Row],[Adjust]]))</f>
        <v>#REF!</v>
      </c>
      <c r="C262" s="1" t="e">
        <f>LOOKUP(FoodData[[#This Row],[Score]],#REF!,#REF!)</f>
        <v>#REF!</v>
      </c>
      <c r="D262" t="s">
        <v>342</v>
      </c>
      <c r="E262" t="s">
        <v>556</v>
      </c>
      <c r="F262" t="s">
        <v>22</v>
      </c>
      <c r="G262" t="s">
        <v>489</v>
      </c>
      <c r="H262" t="s">
        <v>557</v>
      </c>
      <c r="I262" s="1" t="s">
        <v>25</v>
      </c>
      <c r="J262" s="1" t="s">
        <v>25</v>
      </c>
      <c r="K262" s="1" t="s">
        <v>26</v>
      </c>
      <c r="L262" s="1" t="s">
        <v>25</v>
      </c>
      <c r="M262" s="1" t="s">
        <v>26</v>
      </c>
      <c r="N262" s="1" t="s">
        <v>25</v>
      </c>
      <c r="O262" s="1" t="s">
        <v>25</v>
      </c>
      <c r="P262" s="1" t="s">
        <v>25</v>
      </c>
      <c r="Q262" s="1" t="s">
        <v>25</v>
      </c>
      <c r="R262" s="1" t="s">
        <v>25</v>
      </c>
      <c r="S262" s="2">
        <v>0</v>
      </c>
    </row>
    <row r="263" spans="1:19" x14ac:dyDescent="0.3">
      <c r="A263" t="s">
        <v>558</v>
      </c>
      <c r="B263" s="5" t="e" cm="1">
        <f t="array" ref="B263">MAX(#REF!,MIN(#REF!,#REF!+SUMPRODUCT(--(FoodData[[#This Row],[Healthy]:[Refined]]="Yes"),#REF!)+FoodData[[#This Row],[Adjust]]))</f>
        <v>#REF!</v>
      </c>
      <c r="C263" s="1" t="e">
        <f>LOOKUP(FoodData[[#This Row],[Score]],#REF!,#REF!)</f>
        <v>#REF!</v>
      </c>
      <c r="D263" t="s">
        <v>342</v>
      </c>
      <c r="E263" t="s">
        <v>28</v>
      </c>
      <c r="F263" t="s">
        <v>22</v>
      </c>
      <c r="G263" t="s">
        <v>23</v>
      </c>
      <c r="H263" t="s">
        <v>559</v>
      </c>
      <c r="I263" s="1" t="s">
        <v>26</v>
      </c>
      <c r="J263" s="1" t="s">
        <v>25</v>
      </c>
      <c r="K263" s="1" t="s">
        <v>26</v>
      </c>
      <c r="L263" s="1" t="s">
        <v>25</v>
      </c>
      <c r="M263" s="1" t="s">
        <v>25</v>
      </c>
      <c r="N263" s="1" t="s">
        <v>26</v>
      </c>
      <c r="O263" s="1" t="s">
        <v>25</v>
      </c>
      <c r="P263" s="1" t="s">
        <v>25</v>
      </c>
      <c r="Q263" s="1" t="s">
        <v>25</v>
      </c>
      <c r="R263" s="1" t="s">
        <v>25</v>
      </c>
      <c r="S263" s="2">
        <v>0</v>
      </c>
    </row>
    <row r="264" spans="1:19" x14ac:dyDescent="0.3">
      <c r="A264" t="s">
        <v>560</v>
      </c>
      <c r="B264" s="5" t="e" cm="1">
        <f t="array" ref="B264">MAX(#REF!,MIN(#REF!,#REF!+SUMPRODUCT(--(FoodData[[#This Row],[Healthy]:[Refined]]="Yes"),#REF!)+FoodData[[#This Row],[Adjust]]))</f>
        <v>#REF!</v>
      </c>
      <c r="C264" s="1" t="e">
        <f>LOOKUP(FoodData[[#This Row],[Score]],#REF!,#REF!)</f>
        <v>#REF!</v>
      </c>
      <c r="D264" t="s">
        <v>342</v>
      </c>
      <c r="E264" t="s">
        <v>28</v>
      </c>
      <c r="F264" t="s">
        <v>60</v>
      </c>
      <c r="G264" t="s">
        <v>23</v>
      </c>
      <c r="H264" t="s">
        <v>561</v>
      </c>
      <c r="I264" s="1" t="s">
        <v>25</v>
      </c>
      <c r="J264" s="1" t="s">
        <v>25</v>
      </c>
      <c r="K264" s="1" t="s">
        <v>26</v>
      </c>
      <c r="L264" s="1" t="s">
        <v>25</v>
      </c>
      <c r="M264" s="1" t="s">
        <v>25</v>
      </c>
      <c r="N264" s="1" t="s">
        <v>25</v>
      </c>
      <c r="O264" s="1" t="s">
        <v>25</v>
      </c>
      <c r="P264" s="1" t="s">
        <v>26</v>
      </c>
      <c r="Q264" s="1" t="s">
        <v>26</v>
      </c>
      <c r="R264" s="1" t="s">
        <v>25</v>
      </c>
      <c r="S264" s="2">
        <v>0</v>
      </c>
    </row>
    <row r="265" spans="1:19" x14ac:dyDescent="0.3">
      <c r="A265" t="s">
        <v>562</v>
      </c>
      <c r="B265" s="5" t="e" cm="1">
        <f t="array" ref="B265">MAX(#REF!,MIN(#REF!,#REF!+SUMPRODUCT(--(FoodData[[#This Row],[Healthy]:[Refined]]="Yes"),#REF!)+FoodData[[#This Row],[Adjust]]))</f>
        <v>#REF!</v>
      </c>
      <c r="C265" s="1" t="e">
        <f>LOOKUP(FoodData[[#This Row],[Score]],#REF!,#REF!)</f>
        <v>#REF!</v>
      </c>
      <c r="D265" t="s">
        <v>342</v>
      </c>
      <c r="E265" t="s">
        <v>28</v>
      </c>
      <c r="F265" t="s">
        <v>22</v>
      </c>
      <c r="G265" t="s">
        <v>23</v>
      </c>
      <c r="H265" t="s">
        <v>563</v>
      </c>
      <c r="I265" s="1" t="s">
        <v>26</v>
      </c>
      <c r="J265" s="1" t="s">
        <v>25</v>
      </c>
      <c r="K265" s="1" t="s">
        <v>26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25</v>
      </c>
      <c r="Q265" s="1" t="s">
        <v>25</v>
      </c>
      <c r="R265" s="1" t="s">
        <v>25</v>
      </c>
      <c r="S265" s="2">
        <v>0</v>
      </c>
    </row>
    <row r="266" spans="1:19" x14ac:dyDescent="0.3">
      <c r="A266" t="s">
        <v>564</v>
      </c>
      <c r="B266" s="5" t="e" cm="1">
        <f t="array" ref="B266">MAX(#REF!,MIN(#REF!,#REF!+SUMPRODUCT(--(FoodData[[#This Row],[Healthy]:[Refined]]="Yes"),#REF!)+FoodData[[#This Row],[Adjust]]))</f>
        <v>#REF!</v>
      </c>
      <c r="C266" s="1" t="e">
        <f>LOOKUP(FoodData[[#This Row],[Score]],#REF!,#REF!)</f>
        <v>#REF!</v>
      </c>
      <c r="D266" t="s">
        <v>342</v>
      </c>
      <c r="E266" t="s">
        <v>28</v>
      </c>
      <c r="F266" t="s">
        <v>22</v>
      </c>
      <c r="G266" t="s">
        <v>23</v>
      </c>
      <c r="H266" t="s">
        <v>565</v>
      </c>
      <c r="I266" s="1" t="s">
        <v>26</v>
      </c>
      <c r="J266" s="1" t="s">
        <v>26</v>
      </c>
      <c r="K266" s="1" t="s">
        <v>26</v>
      </c>
      <c r="L266" s="1" t="s">
        <v>26</v>
      </c>
      <c r="M266" s="1" t="s">
        <v>25</v>
      </c>
      <c r="N266" s="1" t="s">
        <v>25</v>
      </c>
      <c r="O266" s="1" t="s">
        <v>25</v>
      </c>
      <c r="P266" s="1" t="s">
        <v>25</v>
      </c>
      <c r="Q266" s="1" t="s">
        <v>25</v>
      </c>
      <c r="R266" s="1" t="s">
        <v>25</v>
      </c>
      <c r="S266" s="2">
        <v>0</v>
      </c>
    </row>
    <row r="267" spans="1:19" x14ac:dyDescent="0.3">
      <c r="A267" t="s">
        <v>566</v>
      </c>
      <c r="B267" s="5" t="e" cm="1">
        <f t="array" ref="B267">MAX(#REF!,MIN(#REF!,#REF!+SUMPRODUCT(--(FoodData[[#This Row],[Healthy]:[Refined]]="Yes"),#REF!)+FoodData[[#This Row],[Adjust]]))</f>
        <v>#REF!</v>
      </c>
      <c r="C267" s="1" t="e">
        <f>LOOKUP(FoodData[[#This Row],[Score]],#REF!,#REF!)</f>
        <v>#REF!</v>
      </c>
      <c r="D267" t="s">
        <v>342</v>
      </c>
      <c r="E267" t="s">
        <v>28</v>
      </c>
      <c r="F267" t="s">
        <v>22</v>
      </c>
      <c r="G267" t="s">
        <v>23</v>
      </c>
      <c r="H267" t="s">
        <v>567</v>
      </c>
      <c r="I267" s="1" t="s">
        <v>25</v>
      </c>
      <c r="J267" s="1" t="s">
        <v>25</v>
      </c>
      <c r="K267" s="1" t="s">
        <v>26</v>
      </c>
      <c r="L267" s="1" t="s">
        <v>25</v>
      </c>
      <c r="M267" s="1" t="s">
        <v>25</v>
      </c>
      <c r="N267" s="1" t="s">
        <v>26</v>
      </c>
      <c r="O267" s="1" t="s">
        <v>25</v>
      </c>
      <c r="P267" s="1" t="s">
        <v>26</v>
      </c>
      <c r="Q267" s="1" t="s">
        <v>25</v>
      </c>
      <c r="R267" s="1" t="s">
        <v>25</v>
      </c>
      <c r="S267" s="2">
        <v>0</v>
      </c>
    </row>
    <row r="268" spans="1:19" x14ac:dyDescent="0.3">
      <c r="A268" t="s">
        <v>568</v>
      </c>
      <c r="B268" s="5" t="e" cm="1">
        <f t="array" ref="B268">MAX(#REF!,MIN(#REF!,#REF!+SUMPRODUCT(--(FoodData[[#This Row],[Healthy]:[Refined]]="Yes"),#REF!)+FoodData[[#This Row],[Adjust]]))</f>
        <v>#REF!</v>
      </c>
      <c r="C268" s="1" t="e">
        <f>LOOKUP(FoodData[[#This Row],[Score]],#REF!,#REF!)</f>
        <v>#REF!</v>
      </c>
      <c r="D268" t="s">
        <v>342</v>
      </c>
      <c r="E268" t="s">
        <v>28</v>
      </c>
      <c r="F268" t="s">
        <v>22</v>
      </c>
      <c r="G268" t="s">
        <v>23</v>
      </c>
      <c r="H268" t="s">
        <v>569</v>
      </c>
      <c r="I268" s="1" t="s">
        <v>26</v>
      </c>
      <c r="J268" s="1" t="s">
        <v>26</v>
      </c>
      <c r="K268" s="1" t="s">
        <v>25</v>
      </c>
      <c r="L268" s="1" t="s">
        <v>26</v>
      </c>
      <c r="M268" s="1" t="s">
        <v>25</v>
      </c>
      <c r="N268" s="1" t="s">
        <v>25</v>
      </c>
      <c r="O268" s="1" t="s">
        <v>25</v>
      </c>
      <c r="P268" s="1" t="s">
        <v>25</v>
      </c>
      <c r="Q268" s="1" t="s">
        <v>25</v>
      </c>
      <c r="R268" s="1" t="s">
        <v>25</v>
      </c>
      <c r="S268" s="2">
        <v>0</v>
      </c>
    </row>
    <row r="269" spans="1:19" x14ac:dyDescent="0.3">
      <c r="A269" t="s">
        <v>570</v>
      </c>
      <c r="B269" s="5" t="e" cm="1">
        <f t="array" ref="B269">MAX(#REF!,MIN(#REF!,#REF!+SUMPRODUCT(--(FoodData[[#This Row],[Healthy]:[Refined]]="Yes"),#REF!)+FoodData[[#This Row],[Adjust]]))</f>
        <v>#REF!</v>
      </c>
      <c r="C269" s="1" t="e">
        <f>LOOKUP(FoodData[[#This Row],[Score]],#REF!,#REF!)</f>
        <v>#REF!</v>
      </c>
      <c r="D269" t="s">
        <v>342</v>
      </c>
      <c r="E269" t="s">
        <v>28</v>
      </c>
      <c r="F269" t="s">
        <v>22</v>
      </c>
      <c r="G269" t="s">
        <v>23</v>
      </c>
      <c r="H269" t="s">
        <v>571</v>
      </c>
      <c r="I269" s="1" t="s">
        <v>26</v>
      </c>
      <c r="J269" s="1" t="s">
        <v>25</v>
      </c>
      <c r="K269" s="1" t="s">
        <v>26</v>
      </c>
      <c r="L269" s="1" t="s">
        <v>26</v>
      </c>
      <c r="M269" s="1" t="s">
        <v>25</v>
      </c>
      <c r="N269" s="1" t="s">
        <v>26</v>
      </c>
      <c r="O269" s="1" t="s">
        <v>25</v>
      </c>
      <c r="P269" s="1" t="s">
        <v>25</v>
      </c>
      <c r="Q269" s="1" t="s">
        <v>25</v>
      </c>
      <c r="R269" s="1" t="s">
        <v>25</v>
      </c>
      <c r="S269" s="2">
        <v>0</v>
      </c>
    </row>
    <row r="270" spans="1:19" x14ac:dyDescent="0.3">
      <c r="A270" t="s">
        <v>572</v>
      </c>
      <c r="B270" s="5" t="e" cm="1">
        <f t="array" ref="B270">MAX(#REF!,MIN(#REF!,#REF!+SUMPRODUCT(--(FoodData[[#This Row],[Healthy]:[Refined]]="Yes"),#REF!)+FoodData[[#This Row],[Adjust]]))</f>
        <v>#REF!</v>
      </c>
      <c r="C270" s="1" t="e">
        <f>LOOKUP(FoodData[[#This Row],[Score]],#REF!,#REF!)</f>
        <v>#REF!</v>
      </c>
      <c r="D270" t="s">
        <v>342</v>
      </c>
      <c r="E270" t="s">
        <v>28</v>
      </c>
      <c r="F270" t="s">
        <v>22</v>
      </c>
      <c r="G270" t="s">
        <v>29</v>
      </c>
      <c r="H270" t="s">
        <v>573</v>
      </c>
      <c r="I270" s="1" t="s">
        <v>25</v>
      </c>
      <c r="J270" s="1" t="s">
        <v>25</v>
      </c>
      <c r="K270" s="1" t="s">
        <v>25</v>
      </c>
      <c r="L270" s="1" t="s">
        <v>26</v>
      </c>
      <c r="M270" s="1" t="s">
        <v>25</v>
      </c>
      <c r="N270" s="1" t="s">
        <v>26</v>
      </c>
      <c r="O270" s="1" t="s">
        <v>25</v>
      </c>
      <c r="P270" s="1" t="s">
        <v>25</v>
      </c>
      <c r="Q270" s="1" t="s">
        <v>25</v>
      </c>
      <c r="R270" s="1" t="s">
        <v>25</v>
      </c>
      <c r="S270" s="2">
        <v>0</v>
      </c>
    </row>
    <row r="271" spans="1:19" x14ac:dyDescent="0.3">
      <c r="A271" t="s">
        <v>574</v>
      </c>
      <c r="B271" s="5" t="e" cm="1">
        <f t="array" ref="B271">MAX(#REF!,MIN(#REF!,#REF!+SUMPRODUCT(--(FoodData[[#This Row],[Healthy]:[Refined]]="Yes"),#REF!)+FoodData[[#This Row],[Adjust]]))</f>
        <v>#REF!</v>
      </c>
      <c r="C271" s="1" t="e">
        <f>LOOKUP(FoodData[[#This Row],[Score]],#REF!,#REF!)</f>
        <v>#REF!</v>
      </c>
      <c r="D271" t="s">
        <v>342</v>
      </c>
      <c r="E271" t="s">
        <v>28</v>
      </c>
      <c r="F271" t="s">
        <v>22</v>
      </c>
      <c r="G271" t="s">
        <v>349</v>
      </c>
      <c r="H271" t="s">
        <v>575</v>
      </c>
      <c r="I271" s="1" t="s">
        <v>26</v>
      </c>
      <c r="J271" s="1" t="s">
        <v>25</v>
      </c>
      <c r="K271" s="1" t="s">
        <v>25</v>
      </c>
      <c r="L271" s="1" t="s">
        <v>26</v>
      </c>
      <c r="M271" s="1" t="s">
        <v>25</v>
      </c>
      <c r="N271" s="1" t="s">
        <v>25</v>
      </c>
      <c r="O271" s="1" t="s">
        <v>25</v>
      </c>
      <c r="P271" s="1" t="s">
        <v>25</v>
      </c>
      <c r="Q271" s="1" t="s">
        <v>25</v>
      </c>
      <c r="R271" s="1" t="s">
        <v>25</v>
      </c>
      <c r="S271" s="2">
        <v>0</v>
      </c>
    </row>
    <row r="272" spans="1:19" x14ac:dyDescent="0.3">
      <c r="A272" t="s">
        <v>576</v>
      </c>
      <c r="B272" s="5" t="e" cm="1">
        <f t="array" ref="B272">MAX(#REF!,MIN(#REF!,#REF!+SUMPRODUCT(--(FoodData[[#This Row],[Healthy]:[Refined]]="Yes"),#REF!)+FoodData[[#This Row],[Adjust]]))</f>
        <v>#REF!</v>
      </c>
      <c r="C272" s="1" t="e">
        <f>LOOKUP(FoodData[[#This Row],[Score]],#REF!,#REF!)</f>
        <v>#REF!</v>
      </c>
      <c r="D272" t="s">
        <v>342</v>
      </c>
      <c r="E272" t="s">
        <v>28</v>
      </c>
      <c r="F272" t="s">
        <v>22</v>
      </c>
      <c r="G272" t="s">
        <v>23</v>
      </c>
      <c r="H272" t="s">
        <v>577</v>
      </c>
      <c r="I272" s="1" t="s">
        <v>26</v>
      </c>
      <c r="J272" s="1" t="s">
        <v>25</v>
      </c>
      <c r="K272" s="1" t="s">
        <v>26</v>
      </c>
      <c r="L272" s="1" t="s">
        <v>26</v>
      </c>
      <c r="M272" s="1" t="s">
        <v>25</v>
      </c>
      <c r="N272" s="1" t="s">
        <v>26</v>
      </c>
      <c r="O272" s="1" t="s">
        <v>25</v>
      </c>
      <c r="P272" s="1" t="s">
        <v>25</v>
      </c>
      <c r="Q272" s="1" t="s">
        <v>25</v>
      </c>
      <c r="R272" s="1" t="s">
        <v>25</v>
      </c>
      <c r="S272" s="2">
        <v>0</v>
      </c>
    </row>
    <row r="273" spans="1:19" x14ac:dyDescent="0.3">
      <c r="A273" t="s">
        <v>578</v>
      </c>
      <c r="B273" s="5" t="e" cm="1">
        <f t="array" ref="B273">MAX(#REF!,MIN(#REF!,#REF!+SUMPRODUCT(--(FoodData[[#This Row],[Healthy]:[Refined]]="Yes"),#REF!)+FoodData[[#This Row],[Adjust]]))</f>
        <v>#REF!</v>
      </c>
      <c r="C273" s="1" t="e">
        <f>LOOKUP(FoodData[[#This Row],[Score]],#REF!,#REF!)</f>
        <v>#REF!</v>
      </c>
      <c r="D273" t="s">
        <v>342</v>
      </c>
      <c r="E273" t="s">
        <v>28</v>
      </c>
      <c r="F273" t="s">
        <v>22</v>
      </c>
      <c r="G273" t="s">
        <v>23</v>
      </c>
      <c r="H273" t="s">
        <v>579</v>
      </c>
      <c r="I273" s="1" t="s">
        <v>25</v>
      </c>
      <c r="J273" s="1" t="s">
        <v>25</v>
      </c>
      <c r="K273" s="1" t="s">
        <v>26</v>
      </c>
      <c r="L273" s="1" t="s">
        <v>26</v>
      </c>
      <c r="M273" s="1" t="s">
        <v>26</v>
      </c>
      <c r="N273" s="1" t="s">
        <v>25</v>
      </c>
      <c r="O273" s="1" t="s">
        <v>25</v>
      </c>
      <c r="P273" s="1" t="s">
        <v>25</v>
      </c>
      <c r="Q273" s="1" t="s">
        <v>25</v>
      </c>
      <c r="R273" s="1" t="s">
        <v>25</v>
      </c>
      <c r="S273" s="2">
        <v>0</v>
      </c>
    </row>
    <row r="274" spans="1:19" x14ac:dyDescent="0.3">
      <c r="A274" t="s">
        <v>580</v>
      </c>
      <c r="B274" s="5" t="e" cm="1">
        <f t="array" ref="B274">MAX(#REF!,MIN(#REF!,#REF!+SUMPRODUCT(--(FoodData[[#This Row],[Healthy]:[Refined]]="Yes"),#REF!)+FoodData[[#This Row],[Adjust]]))</f>
        <v>#REF!</v>
      </c>
      <c r="C274" s="1" t="e">
        <f>LOOKUP(FoodData[[#This Row],[Score]],#REF!,#REF!)</f>
        <v>#REF!</v>
      </c>
      <c r="D274" t="s">
        <v>342</v>
      </c>
      <c r="E274" t="s">
        <v>28</v>
      </c>
      <c r="F274" t="s">
        <v>22</v>
      </c>
      <c r="G274" t="s">
        <v>23</v>
      </c>
      <c r="H274" t="s">
        <v>581</v>
      </c>
      <c r="I274" s="1" t="s">
        <v>26</v>
      </c>
      <c r="J274" s="1" t="s">
        <v>26</v>
      </c>
      <c r="K274" s="1" t="s">
        <v>26</v>
      </c>
      <c r="L274" s="1" t="s">
        <v>26</v>
      </c>
      <c r="M274" s="1" t="s">
        <v>25</v>
      </c>
      <c r="N274" s="1" t="s">
        <v>25</v>
      </c>
      <c r="O274" s="1" t="s">
        <v>25</v>
      </c>
      <c r="P274" s="1" t="s">
        <v>25</v>
      </c>
      <c r="Q274" s="1" t="s">
        <v>25</v>
      </c>
      <c r="R274" s="1" t="s">
        <v>25</v>
      </c>
      <c r="S274" s="2">
        <v>0</v>
      </c>
    </row>
    <row r="275" spans="1:19" x14ac:dyDescent="0.3">
      <c r="A275" t="s">
        <v>582</v>
      </c>
      <c r="B275" s="5" t="e" cm="1">
        <f t="array" ref="B275">MAX(#REF!,MIN(#REF!,#REF!+SUMPRODUCT(--(FoodData[[#This Row],[Healthy]:[Refined]]="Yes"),#REF!)+FoodData[[#This Row],[Adjust]]))</f>
        <v>#REF!</v>
      </c>
      <c r="C275" s="1" t="e">
        <f>LOOKUP(FoodData[[#This Row],[Score]],#REF!,#REF!)</f>
        <v>#REF!</v>
      </c>
      <c r="D275" t="s">
        <v>342</v>
      </c>
      <c r="E275" t="s">
        <v>28</v>
      </c>
      <c r="F275" t="s">
        <v>22</v>
      </c>
      <c r="G275" t="s">
        <v>23</v>
      </c>
      <c r="H275" t="s">
        <v>583</v>
      </c>
      <c r="I275" s="1" t="s">
        <v>25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26</v>
      </c>
      <c r="O275" s="1" t="s">
        <v>25</v>
      </c>
      <c r="P275" s="1" t="s">
        <v>25</v>
      </c>
      <c r="Q275" s="1" t="s">
        <v>25</v>
      </c>
      <c r="R275" s="1" t="s">
        <v>25</v>
      </c>
      <c r="S275" s="2">
        <v>0</v>
      </c>
    </row>
    <row r="276" spans="1:19" x14ac:dyDescent="0.3">
      <c r="A276" t="s">
        <v>584</v>
      </c>
      <c r="B276" s="5" t="e" cm="1">
        <f t="array" ref="B276">MAX(#REF!,MIN(#REF!,#REF!+SUMPRODUCT(--(FoodData[[#This Row],[Healthy]:[Refined]]="Yes"),#REF!)+FoodData[[#This Row],[Adjust]]))</f>
        <v>#REF!</v>
      </c>
      <c r="C276" s="1" t="e">
        <f>LOOKUP(FoodData[[#This Row],[Score]],#REF!,#REF!)</f>
        <v>#REF!</v>
      </c>
      <c r="D276" t="s">
        <v>342</v>
      </c>
      <c r="E276" t="s">
        <v>28</v>
      </c>
      <c r="F276" t="s">
        <v>22</v>
      </c>
      <c r="G276" t="s">
        <v>23</v>
      </c>
      <c r="H276" t="s">
        <v>585</v>
      </c>
      <c r="I276" s="1" t="s">
        <v>26</v>
      </c>
      <c r="J276" s="1" t="s">
        <v>26</v>
      </c>
      <c r="K276" s="1" t="s">
        <v>25</v>
      </c>
      <c r="L276" s="1" t="s">
        <v>26</v>
      </c>
      <c r="M276" s="1" t="s">
        <v>25</v>
      </c>
      <c r="N276" s="1" t="s">
        <v>25</v>
      </c>
      <c r="O276" s="1" t="s">
        <v>25</v>
      </c>
      <c r="P276" s="1" t="s">
        <v>25</v>
      </c>
      <c r="Q276" s="1" t="s">
        <v>25</v>
      </c>
      <c r="R276" s="1" t="s">
        <v>25</v>
      </c>
      <c r="S276" s="2">
        <v>0</v>
      </c>
    </row>
    <row r="277" spans="1:19" x14ac:dyDescent="0.3">
      <c r="A277" t="s">
        <v>586</v>
      </c>
      <c r="B277" s="5" t="e" cm="1">
        <f t="array" ref="B277">MAX(#REF!,MIN(#REF!,#REF!+SUMPRODUCT(--(FoodData[[#This Row],[Healthy]:[Refined]]="Yes"),#REF!)+FoodData[[#This Row],[Adjust]]))</f>
        <v>#REF!</v>
      </c>
      <c r="C277" s="1" t="e">
        <f>LOOKUP(FoodData[[#This Row],[Score]],#REF!,#REF!)</f>
        <v>#REF!</v>
      </c>
      <c r="D277" t="s">
        <v>342</v>
      </c>
      <c r="E277" t="s">
        <v>28</v>
      </c>
      <c r="F277" t="s">
        <v>22</v>
      </c>
      <c r="G277" t="s">
        <v>162</v>
      </c>
      <c r="H277" t="s">
        <v>587</v>
      </c>
      <c r="I277" s="1" t="s">
        <v>25</v>
      </c>
      <c r="J277" s="1" t="s">
        <v>25</v>
      </c>
      <c r="K277" s="1" t="s">
        <v>25</v>
      </c>
      <c r="L277" s="1" t="s">
        <v>25</v>
      </c>
      <c r="M277" s="1" t="s">
        <v>26</v>
      </c>
      <c r="N277" s="1" t="s">
        <v>25</v>
      </c>
      <c r="O277" s="1" t="s">
        <v>25</v>
      </c>
      <c r="P277" s="1" t="s">
        <v>25</v>
      </c>
      <c r="Q277" s="1" t="s">
        <v>25</v>
      </c>
      <c r="R277" s="1" t="s">
        <v>25</v>
      </c>
      <c r="S277" s="2">
        <v>0</v>
      </c>
    </row>
    <row r="278" spans="1:19" x14ac:dyDescent="0.3">
      <c r="A278" t="s">
        <v>588</v>
      </c>
      <c r="B278" s="5" t="e" cm="1">
        <f t="array" ref="B278">MAX(#REF!,MIN(#REF!,#REF!+SUMPRODUCT(--(FoodData[[#This Row],[Healthy]:[Refined]]="Yes"),#REF!)+FoodData[[#This Row],[Adjust]]))</f>
        <v>#REF!</v>
      </c>
      <c r="C278" s="1" t="e">
        <f>LOOKUP(FoodData[[#This Row],[Score]],#REF!,#REF!)</f>
        <v>#REF!</v>
      </c>
      <c r="D278" t="s">
        <v>342</v>
      </c>
      <c r="E278" t="s">
        <v>28</v>
      </c>
      <c r="F278" t="s">
        <v>22</v>
      </c>
      <c r="G278" t="s">
        <v>29</v>
      </c>
      <c r="H278" t="s">
        <v>589</v>
      </c>
      <c r="I278" s="1" t="s">
        <v>26</v>
      </c>
      <c r="J278" s="1" t="s">
        <v>25</v>
      </c>
      <c r="K278" s="1" t="s">
        <v>25</v>
      </c>
      <c r="L278" s="1" t="s">
        <v>25</v>
      </c>
      <c r="M278" s="1" t="s">
        <v>25</v>
      </c>
      <c r="N278" s="1" t="s">
        <v>26</v>
      </c>
      <c r="O278" s="1" t="s">
        <v>25</v>
      </c>
      <c r="P278" s="1" t="s">
        <v>25</v>
      </c>
      <c r="Q278" s="1" t="s">
        <v>25</v>
      </c>
      <c r="R278" s="1" t="s">
        <v>25</v>
      </c>
      <c r="S278" s="2">
        <v>0</v>
      </c>
    </row>
    <row r="279" spans="1:19" x14ac:dyDescent="0.3">
      <c r="A279" t="s">
        <v>590</v>
      </c>
      <c r="B279" s="5" t="e" cm="1">
        <f t="array" ref="B279">MAX(#REF!,MIN(#REF!,#REF!+SUMPRODUCT(--(FoodData[[#This Row],[Healthy]:[Refined]]="Yes"),#REF!)+FoodData[[#This Row],[Adjust]]))</f>
        <v>#REF!</v>
      </c>
      <c r="C279" s="1" t="e">
        <f>LOOKUP(FoodData[[#This Row],[Score]],#REF!,#REF!)</f>
        <v>#REF!</v>
      </c>
      <c r="D279" t="s">
        <v>342</v>
      </c>
      <c r="E279" t="s">
        <v>28</v>
      </c>
      <c r="F279" t="s">
        <v>22</v>
      </c>
      <c r="G279" t="s">
        <v>23</v>
      </c>
      <c r="H279" t="s">
        <v>591</v>
      </c>
      <c r="I279" s="1" t="s">
        <v>25</v>
      </c>
      <c r="J279" s="1" t="s">
        <v>25</v>
      </c>
      <c r="K279" s="1" t="s">
        <v>25</v>
      </c>
      <c r="L279" s="1" t="s">
        <v>25</v>
      </c>
      <c r="M279" s="1" t="s">
        <v>25</v>
      </c>
      <c r="N279" s="1" t="s">
        <v>26</v>
      </c>
      <c r="O279" s="1" t="s">
        <v>25</v>
      </c>
      <c r="P279" s="1" t="s">
        <v>25</v>
      </c>
      <c r="Q279" s="1" t="s">
        <v>25</v>
      </c>
      <c r="R279" s="1" t="s">
        <v>25</v>
      </c>
      <c r="S279" s="2">
        <v>0</v>
      </c>
    </row>
    <row r="280" spans="1:19" x14ac:dyDescent="0.3">
      <c r="A280" t="s">
        <v>592</v>
      </c>
      <c r="B280" s="5" t="e" cm="1">
        <f t="array" ref="B280">MAX(#REF!,MIN(#REF!,#REF!+SUMPRODUCT(--(FoodData[[#This Row],[Healthy]:[Refined]]="Yes"),#REF!)+FoodData[[#This Row],[Adjust]]))</f>
        <v>#REF!</v>
      </c>
      <c r="C280" s="1" t="e">
        <f>LOOKUP(FoodData[[#This Row],[Score]],#REF!,#REF!)</f>
        <v>#REF!</v>
      </c>
      <c r="D280" t="s">
        <v>342</v>
      </c>
      <c r="E280" t="s">
        <v>28</v>
      </c>
      <c r="F280" t="s">
        <v>22</v>
      </c>
      <c r="G280" t="s">
        <v>23</v>
      </c>
      <c r="H280" t="s">
        <v>593</v>
      </c>
      <c r="I280" s="1" t="s">
        <v>25</v>
      </c>
      <c r="J280" s="1" t="s">
        <v>25</v>
      </c>
      <c r="K280" s="1" t="s">
        <v>26</v>
      </c>
      <c r="L280" s="1" t="s">
        <v>26</v>
      </c>
      <c r="M280" s="1" t="s">
        <v>25</v>
      </c>
      <c r="N280" s="1" t="s">
        <v>25</v>
      </c>
      <c r="O280" s="1" t="s">
        <v>25</v>
      </c>
      <c r="P280" s="1" t="s">
        <v>26</v>
      </c>
      <c r="Q280" s="1" t="s">
        <v>26</v>
      </c>
      <c r="R280" s="1" t="s">
        <v>25</v>
      </c>
      <c r="S280" s="2">
        <v>0</v>
      </c>
    </row>
    <row r="281" spans="1:19" x14ac:dyDescent="0.3">
      <c r="A281" t="s">
        <v>594</v>
      </c>
      <c r="B281" s="5" t="e" cm="1">
        <f t="array" ref="B281">MAX(#REF!,MIN(#REF!,#REF!+SUMPRODUCT(--(FoodData[[#This Row],[Healthy]:[Refined]]="Yes"),#REF!)+FoodData[[#This Row],[Adjust]]))</f>
        <v>#REF!</v>
      </c>
      <c r="C281" s="1" t="e">
        <f>LOOKUP(FoodData[[#This Row],[Score]],#REF!,#REF!)</f>
        <v>#REF!</v>
      </c>
      <c r="D281" t="s">
        <v>342</v>
      </c>
      <c r="E281" t="s">
        <v>28</v>
      </c>
      <c r="F281" t="s">
        <v>60</v>
      </c>
      <c r="G281" t="s">
        <v>23</v>
      </c>
      <c r="H281" t="s">
        <v>595</v>
      </c>
      <c r="I281" s="1" t="s">
        <v>26</v>
      </c>
      <c r="J281" s="1" t="s">
        <v>25</v>
      </c>
      <c r="K281" s="1" t="s">
        <v>26</v>
      </c>
      <c r="L281" s="1" t="s">
        <v>25</v>
      </c>
      <c r="M281" s="1" t="s">
        <v>25</v>
      </c>
      <c r="N281" s="1" t="s">
        <v>26</v>
      </c>
      <c r="O281" s="1" t="s">
        <v>25</v>
      </c>
      <c r="P281" s="1" t="s">
        <v>25</v>
      </c>
      <c r="Q281" s="1" t="s">
        <v>25</v>
      </c>
      <c r="R281" s="1" t="s">
        <v>25</v>
      </c>
      <c r="S281" s="2">
        <v>0</v>
      </c>
    </row>
    <row r="282" spans="1:19" x14ac:dyDescent="0.3">
      <c r="A282" t="s">
        <v>596</v>
      </c>
      <c r="B282" s="5" t="e" cm="1">
        <f t="array" ref="B282">MAX(#REF!,MIN(#REF!,#REF!+SUMPRODUCT(--(FoodData[[#This Row],[Healthy]:[Refined]]="Yes"),#REF!)+FoodData[[#This Row],[Adjust]]))</f>
        <v>#REF!</v>
      </c>
      <c r="C282" s="1" t="e">
        <f>LOOKUP(FoodData[[#This Row],[Score]],#REF!,#REF!)</f>
        <v>#REF!</v>
      </c>
      <c r="D282" t="s">
        <v>342</v>
      </c>
      <c r="E282" t="s">
        <v>28</v>
      </c>
      <c r="F282" t="s">
        <v>60</v>
      </c>
      <c r="G282" t="s">
        <v>23</v>
      </c>
      <c r="H282" t="s">
        <v>597</v>
      </c>
      <c r="I282" s="1" t="s">
        <v>26</v>
      </c>
      <c r="J282" s="1" t="s">
        <v>25</v>
      </c>
      <c r="K282" s="1" t="s">
        <v>26</v>
      </c>
      <c r="L282" s="1" t="s">
        <v>25</v>
      </c>
      <c r="M282" s="1" t="s">
        <v>25</v>
      </c>
      <c r="N282" s="1" t="s">
        <v>26</v>
      </c>
      <c r="O282" s="1" t="s">
        <v>25</v>
      </c>
      <c r="P282" s="1" t="s">
        <v>25</v>
      </c>
      <c r="Q282" s="1" t="s">
        <v>25</v>
      </c>
      <c r="R282" s="1" t="s">
        <v>25</v>
      </c>
      <c r="S282" s="2">
        <v>0</v>
      </c>
    </row>
    <row r="283" spans="1:19" x14ac:dyDescent="0.3">
      <c r="A283" t="s">
        <v>598</v>
      </c>
      <c r="B283" s="5" t="e" cm="1">
        <f t="array" ref="B283">MAX(#REF!,MIN(#REF!,#REF!+SUMPRODUCT(--(FoodData[[#This Row],[Healthy]:[Refined]]="Yes"),#REF!)+FoodData[[#This Row],[Adjust]]))</f>
        <v>#REF!</v>
      </c>
      <c r="C283" s="1" t="e">
        <f>LOOKUP(FoodData[[#This Row],[Score]],#REF!,#REF!)</f>
        <v>#REF!</v>
      </c>
      <c r="D283" t="s">
        <v>342</v>
      </c>
      <c r="E283" t="s">
        <v>28</v>
      </c>
      <c r="F283" t="s">
        <v>22</v>
      </c>
      <c r="G283" t="s">
        <v>23</v>
      </c>
      <c r="H283" t="s">
        <v>599</v>
      </c>
      <c r="I283" s="1" t="s">
        <v>26</v>
      </c>
      <c r="J283" s="1" t="s">
        <v>26</v>
      </c>
      <c r="K283" s="1" t="s">
        <v>26</v>
      </c>
      <c r="L283" s="1" t="s">
        <v>26</v>
      </c>
      <c r="M283" s="1" t="s">
        <v>25</v>
      </c>
      <c r="N283" s="1" t="s">
        <v>25</v>
      </c>
      <c r="O283" s="1" t="s">
        <v>25</v>
      </c>
      <c r="P283" s="1" t="s">
        <v>25</v>
      </c>
      <c r="Q283" s="1" t="s">
        <v>25</v>
      </c>
      <c r="R283" s="1" t="s">
        <v>25</v>
      </c>
      <c r="S283" s="2">
        <v>0</v>
      </c>
    </row>
    <row r="284" spans="1:19" x14ac:dyDescent="0.3">
      <c r="A284" t="s">
        <v>600</v>
      </c>
      <c r="B284" s="5" t="e" cm="1">
        <f t="array" ref="B284">MAX(#REF!,MIN(#REF!,#REF!+SUMPRODUCT(--(FoodData[[#This Row],[Healthy]:[Refined]]="Yes"),#REF!)+FoodData[[#This Row],[Adjust]]))</f>
        <v>#REF!</v>
      </c>
      <c r="C284" s="1" t="e">
        <f>LOOKUP(FoodData[[#This Row],[Score]],#REF!,#REF!)</f>
        <v>#REF!</v>
      </c>
      <c r="D284" t="s">
        <v>342</v>
      </c>
      <c r="E284" t="s">
        <v>28</v>
      </c>
      <c r="F284" t="s">
        <v>22</v>
      </c>
      <c r="G284" t="s">
        <v>23</v>
      </c>
      <c r="H284" t="s">
        <v>601</v>
      </c>
      <c r="I284" s="1" t="s">
        <v>26</v>
      </c>
      <c r="J284" s="1" t="s">
        <v>26</v>
      </c>
      <c r="K284" s="1" t="s">
        <v>26</v>
      </c>
      <c r="L284" s="1" t="s">
        <v>26</v>
      </c>
      <c r="M284" s="1" t="s">
        <v>25</v>
      </c>
      <c r="N284" s="1" t="s">
        <v>25</v>
      </c>
      <c r="O284" s="1" t="s">
        <v>25</v>
      </c>
      <c r="P284" s="1" t="s">
        <v>25</v>
      </c>
      <c r="Q284" s="1" t="s">
        <v>25</v>
      </c>
      <c r="R284" s="1" t="s">
        <v>25</v>
      </c>
      <c r="S284" s="2">
        <v>0</v>
      </c>
    </row>
    <row r="285" spans="1:19" x14ac:dyDescent="0.3">
      <c r="A285" t="s">
        <v>602</v>
      </c>
      <c r="B285" s="5" t="e" cm="1">
        <f t="array" ref="B285">MAX(#REF!,MIN(#REF!,#REF!+SUMPRODUCT(--(FoodData[[#This Row],[Healthy]:[Refined]]="Yes"),#REF!)+FoodData[[#This Row],[Adjust]]))</f>
        <v>#REF!</v>
      </c>
      <c r="C285" s="1" t="e">
        <f>LOOKUP(FoodData[[#This Row],[Score]],#REF!,#REF!)</f>
        <v>#REF!</v>
      </c>
      <c r="D285" t="s">
        <v>342</v>
      </c>
      <c r="E285" t="s">
        <v>28</v>
      </c>
      <c r="F285" t="s">
        <v>22</v>
      </c>
      <c r="G285" t="s">
        <v>23</v>
      </c>
      <c r="H285" t="s">
        <v>603</v>
      </c>
      <c r="I285" s="1" t="s">
        <v>26</v>
      </c>
      <c r="J285" s="1" t="s">
        <v>26</v>
      </c>
      <c r="K285" s="1" t="s">
        <v>26</v>
      </c>
      <c r="L285" s="1" t="s">
        <v>26</v>
      </c>
      <c r="M285" s="1" t="s">
        <v>25</v>
      </c>
      <c r="N285" s="1" t="s">
        <v>25</v>
      </c>
      <c r="O285" s="1" t="s">
        <v>25</v>
      </c>
      <c r="P285" s="1" t="s">
        <v>25</v>
      </c>
      <c r="Q285" s="1" t="s">
        <v>25</v>
      </c>
      <c r="R285" s="1" t="s">
        <v>25</v>
      </c>
      <c r="S285" s="2">
        <v>0</v>
      </c>
    </row>
    <row r="286" spans="1:19" x14ac:dyDescent="0.3">
      <c r="A286" t="s">
        <v>604</v>
      </c>
      <c r="B286" s="5" t="e" cm="1">
        <f t="array" ref="B286">MAX(#REF!,MIN(#REF!,#REF!+SUMPRODUCT(--(FoodData[[#This Row],[Healthy]:[Refined]]="Yes"),#REF!)+FoodData[[#This Row],[Adjust]]))</f>
        <v>#REF!</v>
      </c>
      <c r="C286" s="1" t="e">
        <f>LOOKUP(FoodData[[#This Row],[Score]],#REF!,#REF!)</f>
        <v>#REF!</v>
      </c>
      <c r="D286" t="s">
        <v>342</v>
      </c>
      <c r="E286" t="s">
        <v>28</v>
      </c>
      <c r="F286" t="s">
        <v>22</v>
      </c>
      <c r="G286" t="s">
        <v>23</v>
      </c>
      <c r="H286" t="s">
        <v>605</v>
      </c>
      <c r="I286" s="1" t="s">
        <v>26</v>
      </c>
      <c r="J286" s="1" t="s">
        <v>26</v>
      </c>
      <c r="K286" s="1" t="s">
        <v>25</v>
      </c>
      <c r="L286" s="1" t="s">
        <v>26</v>
      </c>
      <c r="M286" s="1" t="s">
        <v>25</v>
      </c>
      <c r="N286" s="1" t="s">
        <v>25</v>
      </c>
      <c r="O286" s="1" t="s">
        <v>25</v>
      </c>
      <c r="P286" s="1" t="s">
        <v>25</v>
      </c>
      <c r="Q286" s="1" t="s">
        <v>25</v>
      </c>
      <c r="R286" s="1" t="s">
        <v>25</v>
      </c>
      <c r="S286" s="2">
        <v>0</v>
      </c>
    </row>
    <row r="287" spans="1:19" x14ac:dyDescent="0.3">
      <c r="A287" t="s">
        <v>606</v>
      </c>
      <c r="B287" s="5" t="e" cm="1">
        <f t="array" ref="B287">MAX(#REF!,MIN(#REF!,#REF!+SUMPRODUCT(--(FoodData[[#This Row],[Healthy]:[Refined]]="Yes"),#REF!)+FoodData[[#This Row],[Adjust]]))</f>
        <v>#REF!</v>
      </c>
      <c r="C287" s="1" t="e">
        <f>LOOKUP(FoodData[[#This Row],[Score]],#REF!,#REF!)</f>
        <v>#REF!</v>
      </c>
      <c r="D287" t="s">
        <v>342</v>
      </c>
      <c r="E287" t="s">
        <v>28</v>
      </c>
      <c r="F287" t="s">
        <v>22</v>
      </c>
      <c r="G287" t="s">
        <v>23</v>
      </c>
      <c r="H287" t="s">
        <v>607</v>
      </c>
      <c r="I287" s="1" t="s">
        <v>25</v>
      </c>
      <c r="J287" s="1" t="s">
        <v>25</v>
      </c>
      <c r="K287" s="1" t="s">
        <v>25</v>
      </c>
      <c r="L287" s="1" t="s">
        <v>25</v>
      </c>
      <c r="M287" s="1" t="s">
        <v>25</v>
      </c>
      <c r="N287" s="1" t="s">
        <v>26</v>
      </c>
      <c r="O287" s="1" t="s">
        <v>25</v>
      </c>
      <c r="P287" s="1" t="s">
        <v>26</v>
      </c>
      <c r="Q287" s="1" t="s">
        <v>25</v>
      </c>
      <c r="R287" s="1" t="s">
        <v>25</v>
      </c>
      <c r="S287" s="2">
        <v>0</v>
      </c>
    </row>
    <row r="288" spans="1:19" x14ac:dyDescent="0.3">
      <c r="A288" t="s">
        <v>608</v>
      </c>
      <c r="B288" s="5" t="e" cm="1">
        <f t="array" ref="B288">MAX(#REF!,MIN(#REF!,#REF!+SUMPRODUCT(--(FoodData[[#This Row],[Healthy]:[Refined]]="Yes"),#REF!)+FoodData[[#This Row],[Adjust]]))</f>
        <v>#REF!</v>
      </c>
      <c r="C288" s="1" t="e">
        <f>LOOKUP(FoodData[[#This Row],[Score]],#REF!,#REF!)</f>
        <v>#REF!</v>
      </c>
      <c r="D288" t="s">
        <v>342</v>
      </c>
      <c r="E288" t="s">
        <v>28</v>
      </c>
      <c r="F288" t="s">
        <v>60</v>
      </c>
      <c r="G288" t="s">
        <v>23</v>
      </c>
      <c r="H288" t="s">
        <v>609</v>
      </c>
      <c r="I288" s="1" t="s">
        <v>26</v>
      </c>
      <c r="J288" s="1" t="s">
        <v>26</v>
      </c>
      <c r="K288" s="1" t="s">
        <v>26</v>
      </c>
      <c r="L288" s="1" t="s">
        <v>26</v>
      </c>
      <c r="M288" s="1" t="s">
        <v>25</v>
      </c>
      <c r="N288" s="1" t="s">
        <v>25</v>
      </c>
      <c r="O288" s="1" t="s">
        <v>25</v>
      </c>
      <c r="P288" s="1" t="s">
        <v>25</v>
      </c>
      <c r="Q288" s="1" t="s">
        <v>25</v>
      </c>
      <c r="R288" s="1" t="s">
        <v>25</v>
      </c>
      <c r="S288" s="2">
        <v>0</v>
      </c>
    </row>
    <row r="289" spans="1:19" x14ac:dyDescent="0.3">
      <c r="A289" t="s">
        <v>610</v>
      </c>
      <c r="B289" s="5" t="e" cm="1">
        <f t="array" ref="B289">MAX(#REF!,MIN(#REF!,#REF!+SUMPRODUCT(--(FoodData[[#This Row],[Healthy]:[Refined]]="Yes"),#REF!)+FoodData[[#This Row],[Adjust]]))</f>
        <v>#REF!</v>
      </c>
      <c r="C289" s="1" t="e">
        <f>LOOKUP(FoodData[[#This Row],[Score]],#REF!,#REF!)</f>
        <v>#REF!</v>
      </c>
      <c r="D289" t="s">
        <v>342</v>
      </c>
      <c r="E289" t="s">
        <v>28</v>
      </c>
      <c r="F289" t="s">
        <v>22</v>
      </c>
      <c r="G289" t="s">
        <v>23</v>
      </c>
      <c r="H289" t="s">
        <v>611</v>
      </c>
      <c r="I289" s="1" t="s">
        <v>25</v>
      </c>
      <c r="J289" s="1" t="s">
        <v>25</v>
      </c>
      <c r="K289" s="1" t="s">
        <v>25</v>
      </c>
      <c r="L289" s="1" t="s">
        <v>25</v>
      </c>
      <c r="M289" s="1" t="s">
        <v>26</v>
      </c>
      <c r="N289" s="1" t="s">
        <v>26</v>
      </c>
      <c r="O289" s="1" t="s">
        <v>25</v>
      </c>
      <c r="P289" s="1" t="s">
        <v>25</v>
      </c>
      <c r="Q289" s="1" t="s">
        <v>26</v>
      </c>
      <c r="R289" s="1" t="s">
        <v>25</v>
      </c>
      <c r="S289" s="2">
        <v>0</v>
      </c>
    </row>
    <row r="290" spans="1:19" x14ac:dyDescent="0.3">
      <c r="A290" t="s">
        <v>612</v>
      </c>
      <c r="B290" s="5" t="e" cm="1">
        <f t="array" ref="B290">MAX(#REF!,MIN(#REF!,#REF!+SUMPRODUCT(--(FoodData[[#This Row],[Healthy]:[Refined]]="Yes"),#REF!)+FoodData[[#This Row],[Adjust]]))</f>
        <v>#REF!</v>
      </c>
      <c r="C290" s="1" t="e">
        <f>LOOKUP(FoodData[[#This Row],[Score]],#REF!,#REF!)</f>
        <v>#REF!</v>
      </c>
      <c r="D290" t="s">
        <v>342</v>
      </c>
      <c r="E290" t="s">
        <v>28</v>
      </c>
      <c r="F290" t="s">
        <v>22</v>
      </c>
      <c r="G290" t="s">
        <v>23</v>
      </c>
      <c r="H290" t="s">
        <v>613</v>
      </c>
      <c r="I290" s="1" t="s">
        <v>26</v>
      </c>
      <c r="J290" s="1" t="s">
        <v>26</v>
      </c>
      <c r="K290" s="1" t="s">
        <v>26</v>
      </c>
      <c r="L290" s="1" t="s">
        <v>26</v>
      </c>
      <c r="M290" s="1" t="s">
        <v>25</v>
      </c>
      <c r="N290" s="1" t="s">
        <v>25</v>
      </c>
      <c r="O290" s="1" t="s">
        <v>25</v>
      </c>
      <c r="P290" s="1" t="s">
        <v>25</v>
      </c>
      <c r="Q290" s="1" t="s">
        <v>25</v>
      </c>
      <c r="R290" s="1" t="s">
        <v>25</v>
      </c>
      <c r="S290" s="2">
        <v>0</v>
      </c>
    </row>
    <row r="291" spans="1:19" x14ac:dyDescent="0.3">
      <c r="A291" t="s">
        <v>614</v>
      </c>
      <c r="B291" s="5" t="e" cm="1">
        <f t="array" ref="B291">MAX(#REF!,MIN(#REF!,#REF!+SUMPRODUCT(--(FoodData[[#This Row],[Healthy]:[Refined]]="Yes"),#REF!)+FoodData[[#This Row],[Adjust]]))</f>
        <v>#REF!</v>
      </c>
      <c r="C291" s="1" t="e">
        <f>LOOKUP(FoodData[[#This Row],[Score]],#REF!,#REF!)</f>
        <v>#REF!</v>
      </c>
      <c r="D291" t="s">
        <v>342</v>
      </c>
      <c r="E291" t="s">
        <v>28</v>
      </c>
      <c r="F291" t="s">
        <v>22</v>
      </c>
      <c r="G291" t="s">
        <v>23</v>
      </c>
      <c r="H291" t="s">
        <v>615</v>
      </c>
      <c r="I291" s="1" t="s">
        <v>25</v>
      </c>
      <c r="J291" s="1" t="s">
        <v>25</v>
      </c>
      <c r="K291" s="1" t="s">
        <v>25</v>
      </c>
      <c r="L291" s="1" t="s">
        <v>25</v>
      </c>
      <c r="M291" s="1" t="s">
        <v>26</v>
      </c>
      <c r="N291" s="1" t="s">
        <v>25</v>
      </c>
      <c r="O291" s="1" t="s">
        <v>26</v>
      </c>
      <c r="P291" s="1" t="s">
        <v>25</v>
      </c>
      <c r="Q291" s="1" t="s">
        <v>26</v>
      </c>
      <c r="R291" s="1" t="s">
        <v>25</v>
      </c>
      <c r="S291" s="2">
        <v>0</v>
      </c>
    </row>
    <row r="292" spans="1:19" x14ac:dyDescent="0.3">
      <c r="A292" t="s">
        <v>616</v>
      </c>
      <c r="B292" s="5" t="e" cm="1">
        <f t="array" ref="B292">MAX(#REF!,MIN(#REF!,#REF!+SUMPRODUCT(--(FoodData[[#This Row],[Healthy]:[Refined]]="Yes"),#REF!)+FoodData[[#This Row],[Adjust]]))</f>
        <v>#REF!</v>
      </c>
      <c r="C292" s="1" t="e">
        <f>LOOKUP(FoodData[[#This Row],[Score]],#REF!,#REF!)</f>
        <v>#REF!</v>
      </c>
      <c r="D292" t="s">
        <v>342</v>
      </c>
      <c r="E292" t="s">
        <v>28</v>
      </c>
      <c r="F292" t="s">
        <v>22</v>
      </c>
      <c r="G292" t="s">
        <v>23</v>
      </c>
      <c r="H292" t="s">
        <v>617</v>
      </c>
      <c r="I292" s="1" t="s">
        <v>26</v>
      </c>
      <c r="J292" s="1" t="s">
        <v>25</v>
      </c>
      <c r="K292" s="1" t="s">
        <v>25</v>
      </c>
      <c r="L292" s="1" t="s">
        <v>26</v>
      </c>
      <c r="M292" s="1" t="s">
        <v>25</v>
      </c>
      <c r="N292" s="1" t="s">
        <v>25</v>
      </c>
      <c r="O292" s="1" t="s">
        <v>25</v>
      </c>
      <c r="P292" s="1" t="s">
        <v>25</v>
      </c>
      <c r="Q292" s="1" t="s">
        <v>25</v>
      </c>
      <c r="R292" s="1" t="s">
        <v>25</v>
      </c>
      <c r="S292" s="2">
        <v>0</v>
      </c>
    </row>
    <row r="293" spans="1:19" x14ac:dyDescent="0.3">
      <c r="A293" t="s">
        <v>618</v>
      </c>
      <c r="B293" s="5" t="e" cm="1">
        <f t="array" ref="B293">MAX(#REF!,MIN(#REF!,#REF!+SUMPRODUCT(--(FoodData[[#This Row],[Healthy]:[Refined]]="Yes"),#REF!)+FoodData[[#This Row],[Adjust]]))</f>
        <v>#REF!</v>
      </c>
      <c r="C293" s="1" t="e">
        <f>LOOKUP(FoodData[[#This Row],[Score]],#REF!,#REF!)</f>
        <v>#REF!</v>
      </c>
      <c r="D293" t="s">
        <v>342</v>
      </c>
      <c r="E293" t="s">
        <v>28</v>
      </c>
      <c r="F293" t="s">
        <v>22</v>
      </c>
      <c r="G293" t="s">
        <v>23</v>
      </c>
      <c r="H293" t="s">
        <v>619</v>
      </c>
      <c r="I293" s="1" t="s">
        <v>25</v>
      </c>
      <c r="J293" s="1" t="s">
        <v>25</v>
      </c>
      <c r="K293" s="1" t="s">
        <v>26</v>
      </c>
      <c r="L293" s="1" t="s">
        <v>26</v>
      </c>
      <c r="M293" s="1" t="s">
        <v>25</v>
      </c>
      <c r="N293" s="1" t="s">
        <v>25</v>
      </c>
      <c r="O293" s="1" t="s">
        <v>25</v>
      </c>
      <c r="P293" s="1" t="s">
        <v>26</v>
      </c>
      <c r="Q293" s="1" t="s">
        <v>26</v>
      </c>
      <c r="R293" s="1" t="s">
        <v>25</v>
      </c>
      <c r="S293" s="2">
        <v>0</v>
      </c>
    </row>
    <row r="294" spans="1:19" x14ac:dyDescent="0.3">
      <c r="A294" t="s">
        <v>620</v>
      </c>
      <c r="B294" s="5" t="e" cm="1">
        <f t="array" ref="B294">MAX(#REF!,MIN(#REF!,#REF!+SUMPRODUCT(--(FoodData[[#This Row],[Healthy]:[Refined]]="Yes"),#REF!)+FoodData[[#This Row],[Adjust]]))</f>
        <v>#REF!</v>
      </c>
      <c r="C294" s="1" t="e">
        <f>LOOKUP(FoodData[[#This Row],[Score]],#REF!,#REF!)</f>
        <v>#REF!</v>
      </c>
      <c r="D294" t="s">
        <v>342</v>
      </c>
      <c r="E294" t="s">
        <v>28</v>
      </c>
      <c r="F294" t="s">
        <v>22</v>
      </c>
      <c r="G294" t="s">
        <v>23</v>
      </c>
      <c r="H294" t="s">
        <v>621</v>
      </c>
      <c r="I294" s="1" t="s">
        <v>26</v>
      </c>
      <c r="J294" s="1" t="s">
        <v>25</v>
      </c>
      <c r="K294" s="1" t="s">
        <v>25</v>
      </c>
      <c r="L294" s="1" t="s">
        <v>26</v>
      </c>
      <c r="M294" s="1" t="s">
        <v>25</v>
      </c>
      <c r="N294" s="1" t="s">
        <v>26</v>
      </c>
      <c r="O294" s="1" t="s">
        <v>25</v>
      </c>
      <c r="P294" s="1" t="s">
        <v>25</v>
      </c>
      <c r="Q294" s="1" t="s">
        <v>25</v>
      </c>
      <c r="R294" s="1" t="s">
        <v>25</v>
      </c>
      <c r="S294" s="2">
        <v>0</v>
      </c>
    </row>
    <row r="295" spans="1:19" x14ac:dyDescent="0.3">
      <c r="A295" t="s">
        <v>622</v>
      </c>
      <c r="B295" s="5" t="e" cm="1">
        <f t="array" ref="B295">MAX(#REF!,MIN(#REF!,#REF!+SUMPRODUCT(--(FoodData[[#This Row],[Healthy]:[Refined]]="Yes"),#REF!)+FoodData[[#This Row],[Adjust]]))</f>
        <v>#REF!</v>
      </c>
      <c r="C295" s="1" t="e">
        <f>LOOKUP(FoodData[[#This Row],[Score]],#REF!,#REF!)</f>
        <v>#REF!</v>
      </c>
      <c r="D295" t="s">
        <v>342</v>
      </c>
      <c r="E295" t="s">
        <v>28</v>
      </c>
      <c r="F295" t="s">
        <v>22</v>
      </c>
      <c r="G295" t="s">
        <v>162</v>
      </c>
      <c r="H295" t="s">
        <v>623</v>
      </c>
      <c r="I295" s="1" t="s">
        <v>26</v>
      </c>
      <c r="J295" s="1" t="s">
        <v>26</v>
      </c>
      <c r="K295" s="1" t="s">
        <v>25</v>
      </c>
      <c r="L295" s="1" t="s">
        <v>25</v>
      </c>
      <c r="M295" s="1" t="s">
        <v>25</v>
      </c>
      <c r="N295" s="1" t="s">
        <v>25</v>
      </c>
      <c r="O295" s="1" t="s">
        <v>25</v>
      </c>
      <c r="P295" s="1" t="s">
        <v>25</v>
      </c>
      <c r="Q295" s="1" t="s">
        <v>25</v>
      </c>
      <c r="R295" s="1" t="s">
        <v>25</v>
      </c>
      <c r="S295" s="2">
        <v>0</v>
      </c>
    </row>
    <row r="296" spans="1:19" x14ac:dyDescent="0.3">
      <c r="A296" t="s">
        <v>624</v>
      </c>
      <c r="B296" s="5" t="e" cm="1">
        <f t="array" ref="B296">MAX(#REF!,MIN(#REF!,#REF!+SUMPRODUCT(--(FoodData[[#This Row],[Healthy]:[Refined]]="Yes"),#REF!)+FoodData[[#This Row],[Adjust]]))</f>
        <v>#REF!</v>
      </c>
      <c r="C296" s="1" t="e">
        <f>LOOKUP(FoodData[[#This Row],[Score]],#REF!,#REF!)</f>
        <v>#REF!</v>
      </c>
      <c r="D296" t="s">
        <v>342</v>
      </c>
      <c r="E296" t="s">
        <v>28</v>
      </c>
      <c r="F296" t="s">
        <v>22</v>
      </c>
      <c r="G296" t="s">
        <v>23</v>
      </c>
      <c r="H296" t="s">
        <v>625</v>
      </c>
      <c r="I296" s="1" t="s">
        <v>26</v>
      </c>
      <c r="J296" s="1" t="s">
        <v>25</v>
      </c>
      <c r="K296" s="1" t="s">
        <v>26</v>
      </c>
      <c r="L296" s="1" t="s">
        <v>26</v>
      </c>
      <c r="M296" s="1" t="s">
        <v>25</v>
      </c>
      <c r="N296" s="1" t="s">
        <v>25</v>
      </c>
      <c r="O296" s="1" t="s">
        <v>26</v>
      </c>
      <c r="P296" s="1" t="s">
        <v>25</v>
      </c>
      <c r="Q296" s="1" t="s">
        <v>25</v>
      </c>
      <c r="R296" s="1" t="s">
        <v>25</v>
      </c>
      <c r="S296" s="2">
        <v>0</v>
      </c>
    </row>
    <row r="297" spans="1:19" x14ac:dyDescent="0.3">
      <c r="A297" t="s">
        <v>626</v>
      </c>
      <c r="B297" s="5" t="e" cm="1">
        <f t="array" ref="B297">MAX(#REF!,MIN(#REF!,#REF!+SUMPRODUCT(--(FoodData[[#This Row],[Healthy]:[Refined]]="Yes"),#REF!)+FoodData[[#This Row],[Adjust]]))</f>
        <v>#REF!</v>
      </c>
      <c r="C297" s="1" t="e">
        <f>LOOKUP(FoodData[[#This Row],[Score]],#REF!,#REF!)</f>
        <v>#REF!</v>
      </c>
      <c r="D297" t="s">
        <v>342</v>
      </c>
      <c r="E297" t="s">
        <v>28</v>
      </c>
      <c r="F297" t="s">
        <v>22</v>
      </c>
      <c r="G297" t="s">
        <v>23</v>
      </c>
      <c r="H297" t="s">
        <v>627</v>
      </c>
      <c r="I297" s="1" t="s">
        <v>26</v>
      </c>
      <c r="J297" s="1" t="s">
        <v>25</v>
      </c>
      <c r="K297" s="1" t="s">
        <v>26</v>
      </c>
      <c r="L297" s="1" t="s">
        <v>26</v>
      </c>
      <c r="M297" s="1" t="s">
        <v>25</v>
      </c>
      <c r="N297" s="1" t="s">
        <v>26</v>
      </c>
      <c r="O297" s="1" t="s">
        <v>25</v>
      </c>
      <c r="P297" s="1" t="s">
        <v>25</v>
      </c>
      <c r="Q297" s="1" t="s">
        <v>25</v>
      </c>
      <c r="R297" s="1" t="s">
        <v>25</v>
      </c>
      <c r="S297" s="2">
        <v>0</v>
      </c>
    </row>
    <row r="298" spans="1:19" x14ac:dyDescent="0.3">
      <c r="A298" t="s">
        <v>628</v>
      </c>
      <c r="B298" s="5" t="e" cm="1">
        <f t="array" ref="B298">MAX(#REF!,MIN(#REF!,#REF!+SUMPRODUCT(--(FoodData[[#This Row],[Healthy]:[Refined]]="Yes"),#REF!)+FoodData[[#This Row],[Adjust]]))</f>
        <v>#REF!</v>
      </c>
      <c r="C298" s="1" t="e">
        <f>LOOKUP(FoodData[[#This Row],[Score]],#REF!,#REF!)</f>
        <v>#REF!</v>
      </c>
      <c r="D298" t="s">
        <v>342</v>
      </c>
      <c r="E298" t="s">
        <v>28</v>
      </c>
      <c r="F298" t="s">
        <v>22</v>
      </c>
      <c r="G298" t="s">
        <v>29</v>
      </c>
      <c r="H298" t="s">
        <v>629</v>
      </c>
      <c r="I298" s="1" t="s">
        <v>25</v>
      </c>
      <c r="J298" s="1" t="s">
        <v>25</v>
      </c>
      <c r="K298" s="1" t="s">
        <v>25</v>
      </c>
      <c r="L298" s="1" t="s">
        <v>26</v>
      </c>
      <c r="M298" s="1" t="s">
        <v>25</v>
      </c>
      <c r="N298" s="1" t="s">
        <v>26</v>
      </c>
      <c r="O298" s="1" t="s">
        <v>25</v>
      </c>
      <c r="P298" s="1" t="s">
        <v>26</v>
      </c>
      <c r="Q298" s="1" t="s">
        <v>26</v>
      </c>
      <c r="R298" s="1" t="s">
        <v>26</v>
      </c>
      <c r="S298" s="2">
        <v>0</v>
      </c>
    </row>
    <row r="299" spans="1:19" x14ac:dyDescent="0.3">
      <c r="A299" t="s">
        <v>630</v>
      </c>
      <c r="B299" s="5" t="e" cm="1">
        <f t="array" ref="B299">MAX(#REF!,MIN(#REF!,#REF!+SUMPRODUCT(--(FoodData[[#This Row],[Healthy]:[Refined]]="Yes"),#REF!)+FoodData[[#This Row],[Adjust]]))</f>
        <v>#REF!</v>
      </c>
      <c r="C299" s="1" t="e">
        <f>LOOKUP(FoodData[[#This Row],[Score]],#REF!,#REF!)</f>
        <v>#REF!</v>
      </c>
      <c r="D299" t="s">
        <v>342</v>
      </c>
      <c r="E299" t="s">
        <v>28</v>
      </c>
      <c r="F299" t="s">
        <v>22</v>
      </c>
      <c r="G299" t="s">
        <v>23</v>
      </c>
      <c r="H299" t="s">
        <v>631</v>
      </c>
      <c r="I299" s="1" t="s">
        <v>25</v>
      </c>
      <c r="J299" s="1" t="s">
        <v>25</v>
      </c>
      <c r="K299" s="1" t="s">
        <v>26</v>
      </c>
      <c r="L299" s="1" t="s">
        <v>25</v>
      </c>
      <c r="M299" s="1" t="s">
        <v>25</v>
      </c>
      <c r="N299" s="1" t="s">
        <v>25</v>
      </c>
      <c r="O299" s="1" t="s">
        <v>26</v>
      </c>
      <c r="P299" s="1" t="s">
        <v>25</v>
      </c>
      <c r="Q299" s="1" t="s">
        <v>25</v>
      </c>
      <c r="R299" s="1" t="s">
        <v>25</v>
      </c>
      <c r="S299" s="2">
        <v>0</v>
      </c>
    </row>
    <row r="300" spans="1:19" x14ac:dyDescent="0.3">
      <c r="A300" t="s">
        <v>632</v>
      </c>
      <c r="B300" s="5" t="e" cm="1">
        <f t="array" ref="B300">MAX(#REF!,MIN(#REF!,#REF!+SUMPRODUCT(--(FoodData[[#This Row],[Healthy]:[Refined]]="Yes"),#REF!)+FoodData[[#This Row],[Adjust]]))</f>
        <v>#REF!</v>
      </c>
      <c r="C300" s="1" t="e">
        <f>LOOKUP(FoodData[[#This Row],[Score]],#REF!,#REF!)</f>
        <v>#REF!</v>
      </c>
      <c r="D300" t="s">
        <v>342</v>
      </c>
      <c r="E300" t="s">
        <v>28</v>
      </c>
      <c r="F300" t="s">
        <v>22</v>
      </c>
      <c r="G300" t="s">
        <v>23</v>
      </c>
      <c r="H300" t="s">
        <v>633</v>
      </c>
      <c r="I300" s="1" t="s">
        <v>25</v>
      </c>
      <c r="J300" s="1" t="s">
        <v>25</v>
      </c>
      <c r="K300" s="1" t="s">
        <v>26</v>
      </c>
      <c r="L300" s="1" t="s">
        <v>25</v>
      </c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</v>
      </c>
      <c r="R300" s="1" t="s">
        <v>25</v>
      </c>
      <c r="S300" s="2">
        <v>0</v>
      </c>
    </row>
    <row r="301" spans="1:19" x14ac:dyDescent="0.3">
      <c r="A301" t="s">
        <v>634</v>
      </c>
      <c r="B301" s="5" t="e" cm="1">
        <f t="array" ref="B301">MAX(#REF!,MIN(#REF!,#REF!+SUMPRODUCT(--(FoodData[[#This Row],[Healthy]:[Refined]]="Yes"),#REF!)+FoodData[[#This Row],[Adjust]]))</f>
        <v>#REF!</v>
      </c>
      <c r="C301" s="1" t="e">
        <f>LOOKUP(FoodData[[#This Row],[Score]],#REF!,#REF!)</f>
        <v>#REF!</v>
      </c>
      <c r="D301" t="s">
        <v>342</v>
      </c>
      <c r="E301" t="s">
        <v>28</v>
      </c>
      <c r="F301" t="s">
        <v>22</v>
      </c>
      <c r="G301" t="s">
        <v>23</v>
      </c>
      <c r="H301" t="s">
        <v>635</v>
      </c>
      <c r="I301" s="1" t="s">
        <v>25</v>
      </c>
      <c r="J301" s="1" t="s">
        <v>25</v>
      </c>
      <c r="K301" s="1" t="s">
        <v>26</v>
      </c>
      <c r="L301" s="1" t="s">
        <v>25</v>
      </c>
      <c r="M301" s="1" t="s">
        <v>25</v>
      </c>
      <c r="N301" s="1" t="s">
        <v>26</v>
      </c>
      <c r="O301" s="1" t="s">
        <v>25</v>
      </c>
      <c r="P301" s="1" t="s">
        <v>25</v>
      </c>
      <c r="Q301" s="1" t="s">
        <v>25</v>
      </c>
      <c r="R301" s="1" t="s">
        <v>25</v>
      </c>
      <c r="S301" s="2">
        <v>0</v>
      </c>
    </row>
    <row r="302" spans="1:19" x14ac:dyDescent="0.3">
      <c r="A302" t="s">
        <v>636</v>
      </c>
      <c r="B302" s="5" t="e" cm="1">
        <f t="array" ref="B302">MAX(#REF!,MIN(#REF!,#REF!+SUMPRODUCT(--(FoodData[[#This Row],[Healthy]:[Refined]]="Yes"),#REF!)+FoodData[[#This Row],[Adjust]]))</f>
        <v>#REF!</v>
      </c>
      <c r="C302" s="1" t="e">
        <f>LOOKUP(FoodData[[#This Row],[Score]],#REF!,#REF!)</f>
        <v>#REF!</v>
      </c>
      <c r="D302" t="s">
        <v>342</v>
      </c>
      <c r="E302" t="s">
        <v>28</v>
      </c>
      <c r="F302" t="s">
        <v>22</v>
      </c>
      <c r="G302" t="s">
        <v>23</v>
      </c>
      <c r="H302" t="s">
        <v>637</v>
      </c>
      <c r="I302" s="1" t="s">
        <v>26</v>
      </c>
      <c r="J302" s="1" t="s">
        <v>25</v>
      </c>
      <c r="K302" s="1" t="s">
        <v>26</v>
      </c>
      <c r="L302" s="1" t="s">
        <v>26</v>
      </c>
      <c r="M302" s="1" t="s">
        <v>25</v>
      </c>
      <c r="N302" s="1" t="s">
        <v>25</v>
      </c>
      <c r="O302" s="1" t="s">
        <v>26</v>
      </c>
      <c r="P302" s="1" t="s">
        <v>25</v>
      </c>
      <c r="Q302" s="1" t="s">
        <v>25</v>
      </c>
      <c r="R302" s="1" t="s">
        <v>25</v>
      </c>
      <c r="S302" s="2">
        <v>0</v>
      </c>
    </row>
    <row r="303" spans="1:19" x14ac:dyDescent="0.3">
      <c r="A303" t="s">
        <v>638</v>
      </c>
      <c r="B303" s="5" t="e" cm="1">
        <f t="array" ref="B303">MAX(#REF!,MIN(#REF!,#REF!+SUMPRODUCT(--(FoodData[[#This Row],[Healthy]:[Refined]]="Yes"),#REF!)+FoodData[[#This Row],[Adjust]]))</f>
        <v>#REF!</v>
      </c>
      <c r="C303" s="1" t="e">
        <f>LOOKUP(FoodData[[#This Row],[Score]],#REF!,#REF!)</f>
        <v>#REF!</v>
      </c>
      <c r="D303" t="s">
        <v>342</v>
      </c>
      <c r="E303" t="s">
        <v>28</v>
      </c>
      <c r="F303" t="s">
        <v>22</v>
      </c>
      <c r="G303" t="s">
        <v>23</v>
      </c>
      <c r="H303" t="s">
        <v>639</v>
      </c>
      <c r="I303" s="1" t="s">
        <v>26</v>
      </c>
      <c r="J303" s="1" t="s">
        <v>25</v>
      </c>
      <c r="K303" s="1" t="s">
        <v>26</v>
      </c>
      <c r="L303" s="1" t="s">
        <v>26</v>
      </c>
      <c r="M303" s="1" t="s">
        <v>25</v>
      </c>
      <c r="N303" s="1" t="s">
        <v>26</v>
      </c>
      <c r="O303" s="1" t="s">
        <v>25</v>
      </c>
      <c r="P303" s="1" t="s">
        <v>25</v>
      </c>
      <c r="Q303" s="1" t="s">
        <v>25</v>
      </c>
      <c r="R303" s="1" t="s">
        <v>25</v>
      </c>
      <c r="S303" s="2">
        <v>0</v>
      </c>
    </row>
    <row r="304" spans="1:19" x14ac:dyDescent="0.3">
      <c r="A304" t="s">
        <v>640</v>
      </c>
      <c r="B304" s="5" t="e" cm="1">
        <f t="array" ref="B304">MAX(#REF!,MIN(#REF!,#REF!+SUMPRODUCT(--(FoodData[[#This Row],[Healthy]:[Refined]]="Yes"),#REF!)+FoodData[[#This Row],[Adjust]]))</f>
        <v>#REF!</v>
      </c>
      <c r="C304" s="1" t="e">
        <f>LOOKUP(FoodData[[#This Row],[Score]],#REF!,#REF!)</f>
        <v>#REF!</v>
      </c>
      <c r="D304" t="s">
        <v>342</v>
      </c>
      <c r="E304" t="s">
        <v>28</v>
      </c>
      <c r="F304" t="s">
        <v>22</v>
      </c>
      <c r="G304" t="s">
        <v>23</v>
      </c>
      <c r="H304" t="s">
        <v>641</v>
      </c>
      <c r="I304" s="1" t="s">
        <v>26</v>
      </c>
      <c r="J304" s="1" t="s">
        <v>25</v>
      </c>
      <c r="K304" s="1" t="s">
        <v>26</v>
      </c>
      <c r="L304" s="1" t="s">
        <v>26</v>
      </c>
      <c r="M304" s="1" t="s">
        <v>25</v>
      </c>
      <c r="N304" s="1" t="s">
        <v>26</v>
      </c>
      <c r="O304" s="1" t="s">
        <v>25</v>
      </c>
      <c r="P304" s="1" t="s">
        <v>25</v>
      </c>
      <c r="Q304" s="1" t="s">
        <v>25</v>
      </c>
      <c r="R304" s="1" t="s">
        <v>25</v>
      </c>
      <c r="S304" s="2">
        <v>0</v>
      </c>
    </row>
    <row r="305" spans="1:19" x14ac:dyDescent="0.3">
      <c r="A305" t="s">
        <v>642</v>
      </c>
      <c r="B305" s="5" t="e" cm="1">
        <f t="array" ref="B305">MAX(#REF!,MIN(#REF!,#REF!+SUMPRODUCT(--(FoodData[[#This Row],[Healthy]:[Refined]]="Yes"),#REF!)+FoodData[[#This Row],[Adjust]]))</f>
        <v>#REF!</v>
      </c>
      <c r="C305" s="1" t="e">
        <f>LOOKUP(FoodData[[#This Row],[Score]],#REF!,#REF!)</f>
        <v>#REF!</v>
      </c>
      <c r="D305" t="s">
        <v>342</v>
      </c>
      <c r="E305" t="s">
        <v>28</v>
      </c>
      <c r="F305" t="s">
        <v>22</v>
      </c>
      <c r="G305" t="s">
        <v>23</v>
      </c>
      <c r="H305" t="s">
        <v>643</v>
      </c>
      <c r="I305" s="1" t="s">
        <v>26</v>
      </c>
      <c r="J305" s="1" t="s">
        <v>26</v>
      </c>
      <c r="K305" s="1" t="s">
        <v>25</v>
      </c>
      <c r="L305" s="1" t="s">
        <v>26</v>
      </c>
      <c r="M305" s="1" t="s">
        <v>25</v>
      </c>
      <c r="N305" s="1" t="s">
        <v>25</v>
      </c>
      <c r="O305" s="1" t="s">
        <v>25</v>
      </c>
      <c r="P305" s="1" t="s">
        <v>25</v>
      </c>
      <c r="Q305" s="1" t="s">
        <v>25</v>
      </c>
      <c r="R305" s="1" t="s">
        <v>25</v>
      </c>
      <c r="S305" s="2">
        <v>0</v>
      </c>
    </row>
    <row r="306" spans="1:19" x14ac:dyDescent="0.3">
      <c r="A306" t="s">
        <v>644</v>
      </c>
      <c r="B306" s="5" t="e" cm="1">
        <f t="array" ref="B306">MAX(#REF!,MIN(#REF!,#REF!+SUMPRODUCT(--(FoodData[[#This Row],[Healthy]:[Refined]]="Yes"),#REF!)+FoodData[[#This Row],[Adjust]]))</f>
        <v>#REF!</v>
      </c>
      <c r="C306" s="1" t="e">
        <f>LOOKUP(FoodData[[#This Row],[Score]],#REF!,#REF!)</f>
        <v>#REF!</v>
      </c>
      <c r="D306" t="s">
        <v>342</v>
      </c>
      <c r="E306" t="s">
        <v>28</v>
      </c>
      <c r="F306" t="s">
        <v>22</v>
      </c>
      <c r="G306" t="s">
        <v>349</v>
      </c>
      <c r="H306" t="s">
        <v>645</v>
      </c>
      <c r="I306" s="1" t="s">
        <v>26</v>
      </c>
      <c r="J306" s="1" t="s">
        <v>25</v>
      </c>
      <c r="K306" s="1" t="s">
        <v>26</v>
      </c>
      <c r="L306" s="1" t="s">
        <v>26</v>
      </c>
      <c r="M306" s="1" t="s">
        <v>25</v>
      </c>
      <c r="N306" s="1" t="s">
        <v>25</v>
      </c>
      <c r="O306" s="1" t="s">
        <v>25</v>
      </c>
      <c r="P306" s="1" t="s">
        <v>25</v>
      </c>
      <c r="Q306" s="1" t="s">
        <v>25</v>
      </c>
      <c r="R306" s="1" t="s">
        <v>25</v>
      </c>
      <c r="S306" s="2">
        <v>0</v>
      </c>
    </row>
    <row r="307" spans="1:19" x14ac:dyDescent="0.3">
      <c r="A307" t="s">
        <v>646</v>
      </c>
      <c r="B307" s="5" t="e" cm="1">
        <f t="array" ref="B307">MAX(#REF!,MIN(#REF!,#REF!+SUMPRODUCT(--(FoodData[[#This Row],[Healthy]:[Refined]]="Yes"),#REF!)+FoodData[[#This Row],[Adjust]]))</f>
        <v>#REF!</v>
      </c>
      <c r="C307" s="1" t="e">
        <f>LOOKUP(FoodData[[#This Row],[Score]],#REF!,#REF!)</f>
        <v>#REF!</v>
      </c>
      <c r="D307" t="s">
        <v>342</v>
      </c>
      <c r="E307" t="s">
        <v>28</v>
      </c>
      <c r="F307" t="s">
        <v>22</v>
      </c>
      <c r="G307" t="s">
        <v>23</v>
      </c>
      <c r="H307" t="s">
        <v>647</v>
      </c>
      <c r="I307" s="1" t="s">
        <v>25</v>
      </c>
      <c r="J307" s="1" t="s">
        <v>25</v>
      </c>
      <c r="K307" s="1" t="s">
        <v>26</v>
      </c>
      <c r="L307" s="1" t="s">
        <v>26</v>
      </c>
      <c r="M307" s="1" t="s">
        <v>25</v>
      </c>
      <c r="N307" s="1" t="s">
        <v>26</v>
      </c>
      <c r="O307" s="1" t="s">
        <v>25</v>
      </c>
      <c r="P307" s="1" t="s">
        <v>25</v>
      </c>
      <c r="Q307" s="1" t="s">
        <v>25</v>
      </c>
      <c r="R307" s="1" t="s">
        <v>25</v>
      </c>
      <c r="S307" s="2">
        <v>0</v>
      </c>
    </row>
    <row r="308" spans="1:19" x14ac:dyDescent="0.3">
      <c r="A308" t="s">
        <v>648</v>
      </c>
      <c r="B308" s="5" t="e" cm="1">
        <f t="array" ref="B308">MAX(#REF!,MIN(#REF!,#REF!+SUMPRODUCT(--(FoodData[[#This Row],[Healthy]:[Refined]]="Yes"),#REF!)+FoodData[[#This Row],[Adjust]]))</f>
        <v>#REF!</v>
      </c>
      <c r="C308" s="1" t="e">
        <f>LOOKUP(FoodData[[#This Row],[Score]],#REF!,#REF!)</f>
        <v>#REF!</v>
      </c>
      <c r="D308" t="s">
        <v>342</v>
      </c>
      <c r="E308" t="s">
        <v>28</v>
      </c>
      <c r="F308" t="s">
        <v>22</v>
      </c>
      <c r="G308" t="s">
        <v>489</v>
      </c>
      <c r="H308" t="s">
        <v>649</v>
      </c>
      <c r="I308" s="1" t="s">
        <v>26</v>
      </c>
      <c r="J308" s="1" t="s">
        <v>26</v>
      </c>
      <c r="K308" s="1" t="s">
        <v>26</v>
      </c>
      <c r="L308" s="1" t="s">
        <v>26</v>
      </c>
      <c r="M308" s="1" t="s">
        <v>25</v>
      </c>
      <c r="N308" s="1" t="s">
        <v>25</v>
      </c>
      <c r="O308" s="1" t="s">
        <v>25</v>
      </c>
      <c r="P308" s="1" t="s">
        <v>25</v>
      </c>
      <c r="Q308" s="1" t="s">
        <v>25</v>
      </c>
      <c r="R308" s="1" t="s">
        <v>25</v>
      </c>
      <c r="S308" s="2">
        <v>0</v>
      </c>
    </row>
    <row r="309" spans="1:19" x14ac:dyDescent="0.3">
      <c r="A309" t="s">
        <v>650</v>
      </c>
      <c r="B309" s="5" t="e" cm="1">
        <f t="array" ref="B309">MAX(#REF!,MIN(#REF!,#REF!+SUMPRODUCT(--(FoodData[[#This Row],[Healthy]:[Refined]]="Yes"),#REF!)+FoodData[[#This Row],[Adjust]]))</f>
        <v>#REF!</v>
      </c>
      <c r="C309" s="1" t="e">
        <f>LOOKUP(FoodData[[#This Row],[Score]],#REF!,#REF!)</f>
        <v>#REF!</v>
      </c>
      <c r="D309" t="s">
        <v>342</v>
      </c>
      <c r="E309" t="s">
        <v>28</v>
      </c>
      <c r="F309" t="s">
        <v>22</v>
      </c>
      <c r="G309" t="s">
        <v>23</v>
      </c>
      <c r="H309" t="s">
        <v>651</v>
      </c>
      <c r="I309" s="1" t="s">
        <v>26</v>
      </c>
      <c r="J309" s="1" t="s">
        <v>25</v>
      </c>
      <c r="K309" s="1" t="s">
        <v>26</v>
      </c>
      <c r="L309" s="1" t="s">
        <v>26</v>
      </c>
      <c r="M309" s="1" t="s">
        <v>25</v>
      </c>
      <c r="N309" s="1" t="s">
        <v>25</v>
      </c>
      <c r="O309" s="1" t="s">
        <v>25</v>
      </c>
      <c r="P309" s="1" t="s">
        <v>25</v>
      </c>
      <c r="Q309" s="1" t="s">
        <v>25</v>
      </c>
      <c r="R309" s="1" t="s">
        <v>25</v>
      </c>
      <c r="S309" s="2">
        <v>0</v>
      </c>
    </row>
    <row r="310" spans="1:19" x14ac:dyDescent="0.3">
      <c r="A310" t="s">
        <v>652</v>
      </c>
      <c r="B310" s="5" t="e" cm="1">
        <f t="array" ref="B310">MAX(#REF!,MIN(#REF!,#REF!+SUMPRODUCT(--(FoodData[[#This Row],[Healthy]:[Refined]]="Yes"),#REF!)+FoodData[[#This Row],[Adjust]]))</f>
        <v>#REF!</v>
      </c>
      <c r="C310" s="1" t="e">
        <f>LOOKUP(FoodData[[#This Row],[Score]],#REF!,#REF!)</f>
        <v>#REF!</v>
      </c>
      <c r="D310" t="s">
        <v>342</v>
      </c>
      <c r="E310" t="s">
        <v>28</v>
      </c>
      <c r="F310" t="s">
        <v>22</v>
      </c>
      <c r="G310" t="s">
        <v>23</v>
      </c>
      <c r="H310" t="s">
        <v>653</v>
      </c>
      <c r="I310" s="1" t="s">
        <v>26</v>
      </c>
      <c r="J310" s="1" t="s">
        <v>25</v>
      </c>
      <c r="K310" s="1" t="s">
        <v>26</v>
      </c>
      <c r="L310" s="1" t="s">
        <v>26</v>
      </c>
      <c r="M310" s="1" t="s">
        <v>25</v>
      </c>
      <c r="N310" s="1" t="s">
        <v>25</v>
      </c>
      <c r="O310" s="1" t="s">
        <v>26</v>
      </c>
      <c r="P310" s="1" t="s">
        <v>25</v>
      </c>
      <c r="Q310" s="1" t="s">
        <v>25</v>
      </c>
      <c r="R310" s="1" t="s">
        <v>25</v>
      </c>
      <c r="S310" s="2">
        <v>0</v>
      </c>
    </row>
    <row r="311" spans="1:19" x14ac:dyDescent="0.3">
      <c r="A311" t="s">
        <v>654</v>
      </c>
      <c r="B311" s="5" t="e" cm="1">
        <f t="array" ref="B311">MAX(#REF!,MIN(#REF!,#REF!+SUMPRODUCT(--(FoodData[[#This Row],[Healthy]:[Refined]]="Yes"),#REF!)+FoodData[[#This Row],[Adjust]]))</f>
        <v>#REF!</v>
      </c>
      <c r="C311" s="1" t="e">
        <f>LOOKUP(FoodData[[#This Row],[Score]],#REF!,#REF!)</f>
        <v>#REF!</v>
      </c>
      <c r="D311" t="s">
        <v>342</v>
      </c>
      <c r="E311" t="s">
        <v>28</v>
      </c>
      <c r="F311" t="s">
        <v>22</v>
      </c>
      <c r="G311" t="s">
        <v>23</v>
      </c>
      <c r="H311" t="s">
        <v>655</v>
      </c>
      <c r="I311" s="1" t="s">
        <v>26</v>
      </c>
      <c r="J311" s="1" t="s">
        <v>26</v>
      </c>
      <c r="K311" s="1" t="s">
        <v>26</v>
      </c>
      <c r="L311" s="1" t="s">
        <v>26</v>
      </c>
      <c r="M311" s="1" t="s">
        <v>25</v>
      </c>
      <c r="N311" s="1" t="s">
        <v>25</v>
      </c>
      <c r="O311" s="1" t="s">
        <v>25</v>
      </c>
      <c r="P311" s="1" t="s">
        <v>25</v>
      </c>
      <c r="Q311" s="1" t="s">
        <v>25</v>
      </c>
      <c r="R311" s="1" t="s">
        <v>25</v>
      </c>
      <c r="S311" s="2">
        <v>0</v>
      </c>
    </row>
    <row r="312" spans="1:19" x14ac:dyDescent="0.3">
      <c r="A312" t="s">
        <v>656</v>
      </c>
      <c r="B312" s="5" t="e" cm="1">
        <f t="array" ref="B312">MAX(#REF!,MIN(#REF!,#REF!+SUMPRODUCT(--(FoodData[[#This Row],[Healthy]:[Refined]]="Yes"),#REF!)+FoodData[[#This Row],[Adjust]]))</f>
        <v>#REF!</v>
      </c>
      <c r="C312" s="1" t="e">
        <f>LOOKUP(FoodData[[#This Row],[Score]],#REF!,#REF!)</f>
        <v>#REF!</v>
      </c>
      <c r="D312" t="s">
        <v>342</v>
      </c>
      <c r="E312" t="s">
        <v>28</v>
      </c>
      <c r="F312" t="s">
        <v>22</v>
      </c>
      <c r="G312" t="s">
        <v>23</v>
      </c>
      <c r="H312" t="s">
        <v>657</v>
      </c>
      <c r="I312" s="1" t="s">
        <v>26</v>
      </c>
      <c r="J312" s="1" t="s">
        <v>25</v>
      </c>
      <c r="K312" s="1" t="s">
        <v>25</v>
      </c>
      <c r="L312" s="1" t="s">
        <v>26</v>
      </c>
      <c r="M312" s="1" t="s">
        <v>25</v>
      </c>
      <c r="N312" s="1" t="s">
        <v>26</v>
      </c>
      <c r="O312" s="1" t="s">
        <v>25</v>
      </c>
      <c r="P312" s="1" t="s">
        <v>25</v>
      </c>
      <c r="Q312" s="1" t="s">
        <v>25</v>
      </c>
      <c r="R312" s="1" t="s">
        <v>25</v>
      </c>
      <c r="S312" s="2">
        <v>0</v>
      </c>
    </row>
    <row r="313" spans="1:19" x14ac:dyDescent="0.3">
      <c r="A313" t="s">
        <v>658</v>
      </c>
      <c r="B313" s="5" t="e" cm="1">
        <f t="array" ref="B313">MAX(#REF!,MIN(#REF!,#REF!+SUMPRODUCT(--(FoodData[[#This Row],[Healthy]:[Refined]]="Yes"),#REF!)+FoodData[[#This Row],[Adjust]]))</f>
        <v>#REF!</v>
      </c>
      <c r="C313" s="1" t="e">
        <f>LOOKUP(FoodData[[#This Row],[Score]],#REF!,#REF!)</f>
        <v>#REF!</v>
      </c>
      <c r="D313" t="s">
        <v>342</v>
      </c>
      <c r="E313" t="s">
        <v>28</v>
      </c>
      <c r="F313" t="s">
        <v>22</v>
      </c>
      <c r="G313" t="s">
        <v>23</v>
      </c>
      <c r="H313" t="s">
        <v>659</v>
      </c>
      <c r="I313" s="1" t="s">
        <v>26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25</v>
      </c>
      <c r="O313" s="1" t="s">
        <v>26</v>
      </c>
      <c r="P313" s="1" t="s">
        <v>25</v>
      </c>
      <c r="Q313" s="1" t="s">
        <v>25</v>
      </c>
      <c r="R313" s="1" t="s">
        <v>25</v>
      </c>
      <c r="S313" s="2">
        <v>0</v>
      </c>
    </row>
    <row r="314" spans="1:19" x14ac:dyDescent="0.3">
      <c r="A314" t="s">
        <v>660</v>
      </c>
      <c r="B314" s="5" t="e" cm="1">
        <f t="array" ref="B314">MAX(#REF!,MIN(#REF!,#REF!+SUMPRODUCT(--(FoodData[[#This Row],[Healthy]:[Refined]]="Yes"),#REF!)+FoodData[[#This Row],[Adjust]]))</f>
        <v>#REF!</v>
      </c>
      <c r="C314" s="1" t="e">
        <f>LOOKUP(FoodData[[#This Row],[Score]],#REF!,#REF!)</f>
        <v>#REF!</v>
      </c>
      <c r="D314" t="s">
        <v>342</v>
      </c>
      <c r="E314" t="s">
        <v>28</v>
      </c>
      <c r="F314" t="s">
        <v>22</v>
      </c>
      <c r="G314" t="s">
        <v>23</v>
      </c>
      <c r="H314" t="s">
        <v>661</v>
      </c>
      <c r="I314" s="1" t="s">
        <v>26</v>
      </c>
      <c r="J314" s="1" t="s">
        <v>26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25</v>
      </c>
      <c r="Q314" s="1" t="s">
        <v>25</v>
      </c>
      <c r="R314" s="1" t="s">
        <v>25</v>
      </c>
      <c r="S314" s="2">
        <v>0</v>
      </c>
    </row>
    <row r="315" spans="1:19" x14ac:dyDescent="0.3">
      <c r="A315" t="s">
        <v>662</v>
      </c>
      <c r="B315" s="5" t="e" cm="1">
        <f t="array" ref="B315">MAX(#REF!,MIN(#REF!,#REF!+SUMPRODUCT(--(FoodData[[#This Row],[Healthy]:[Refined]]="Yes"),#REF!)+FoodData[[#This Row],[Adjust]]))</f>
        <v>#REF!</v>
      </c>
      <c r="C315" s="1" t="e">
        <f>LOOKUP(FoodData[[#This Row],[Score]],#REF!,#REF!)</f>
        <v>#REF!</v>
      </c>
      <c r="D315" t="s">
        <v>342</v>
      </c>
      <c r="E315" t="s">
        <v>28</v>
      </c>
      <c r="F315" t="s">
        <v>22</v>
      </c>
      <c r="G315" t="s">
        <v>23</v>
      </c>
      <c r="H315" t="s">
        <v>663</v>
      </c>
      <c r="I315" s="1" t="s">
        <v>26</v>
      </c>
      <c r="J315" s="1" t="s">
        <v>25</v>
      </c>
      <c r="K315" s="1" t="s">
        <v>26</v>
      </c>
      <c r="L315" s="1" t="s">
        <v>26</v>
      </c>
      <c r="M315" s="1" t="s">
        <v>25</v>
      </c>
      <c r="N315" s="1" t="s">
        <v>25</v>
      </c>
      <c r="O315" s="1" t="s">
        <v>26</v>
      </c>
      <c r="P315" s="1" t="s">
        <v>25</v>
      </c>
      <c r="Q315" s="1" t="s">
        <v>25</v>
      </c>
      <c r="R315" s="1" t="s">
        <v>25</v>
      </c>
      <c r="S315" s="2">
        <v>0</v>
      </c>
    </row>
    <row r="316" spans="1:19" x14ac:dyDescent="0.3">
      <c r="A316" t="s">
        <v>664</v>
      </c>
      <c r="B316" s="5" t="e" cm="1">
        <f t="array" ref="B316">MAX(#REF!,MIN(#REF!,#REF!+SUMPRODUCT(--(FoodData[[#This Row],[Healthy]:[Refined]]="Yes"),#REF!)+FoodData[[#This Row],[Adjust]]))</f>
        <v>#REF!</v>
      </c>
      <c r="C316" s="1" t="e">
        <f>LOOKUP(FoodData[[#This Row],[Score]],#REF!,#REF!)</f>
        <v>#REF!</v>
      </c>
      <c r="D316" t="s">
        <v>342</v>
      </c>
      <c r="E316" t="s">
        <v>28</v>
      </c>
      <c r="F316" t="s">
        <v>22</v>
      </c>
      <c r="G316" t="s">
        <v>23</v>
      </c>
      <c r="H316" t="s">
        <v>665</v>
      </c>
      <c r="I316" s="1" t="s">
        <v>25</v>
      </c>
      <c r="J316" s="1" t="s">
        <v>25</v>
      </c>
      <c r="K316" s="1" t="s">
        <v>25</v>
      </c>
      <c r="L316" s="1" t="s">
        <v>26</v>
      </c>
      <c r="M316" s="1" t="s">
        <v>25</v>
      </c>
      <c r="N316" s="1" t="s">
        <v>25</v>
      </c>
      <c r="O316" s="1" t="s">
        <v>25</v>
      </c>
      <c r="P316" s="1" t="s">
        <v>25</v>
      </c>
      <c r="Q316" s="1" t="s">
        <v>25</v>
      </c>
      <c r="R316" s="1" t="s">
        <v>25</v>
      </c>
      <c r="S316" s="2">
        <v>0</v>
      </c>
    </row>
    <row r="317" spans="1:19" x14ac:dyDescent="0.3">
      <c r="A317" t="s">
        <v>666</v>
      </c>
      <c r="B317" s="5" t="e" cm="1">
        <f t="array" ref="B317">MAX(#REF!,MIN(#REF!,#REF!+SUMPRODUCT(--(FoodData[[#This Row],[Healthy]:[Refined]]="Yes"),#REF!)+FoodData[[#This Row],[Adjust]]))</f>
        <v>#REF!</v>
      </c>
      <c r="C317" s="1" t="e">
        <f>LOOKUP(FoodData[[#This Row],[Score]],#REF!,#REF!)</f>
        <v>#REF!</v>
      </c>
      <c r="D317" t="s">
        <v>342</v>
      </c>
      <c r="E317" t="s">
        <v>28</v>
      </c>
      <c r="F317" t="s">
        <v>22</v>
      </c>
      <c r="G317" t="s">
        <v>23</v>
      </c>
      <c r="H317" t="s">
        <v>667</v>
      </c>
      <c r="I317" s="1" t="s">
        <v>26</v>
      </c>
      <c r="J317" s="1" t="s">
        <v>26</v>
      </c>
      <c r="K317" s="1" t="s">
        <v>26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25</v>
      </c>
      <c r="Q317" s="1" t="s">
        <v>25</v>
      </c>
      <c r="R317" s="1" t="s">
        <v>25</v>
      </c>
      <c r="S317" s="2">
        <v>0</v>
      </c>
    </row>
    <row r="318" spans="1:19" x14ac:dyDescent="0.3">
      <c r="A318" t="s">
        <v>668</v>
      </c>
      <c r="B318" s="5" t="e" cm="1">
        <f t="array" ref="B318">MAX(#REF!,MIN(#REF!,#REF!+SUMPRODUCT(--(FoodData[[#This Row],[Healthy]:[Refined]]="Yes"),#REF!)+FoodData[[#This Row],[Adjust]]))</f>
        <v>#REF!</v>
      </c>
      <c r="C318" s="1" t="e">
        <f>LOOKUP(FoodData[[#This Row],[Score]],#REF!,#REF!)</f>
        <v>#REF!</v>
      </c>
      <c r="D318" t="s">
        <v>342</v>
      </c>
      <c r="E318" t="s">
        <v>28</v>
      </c>
      <c r="F318" t="s">
        <v>22</v>
      </c>
      <c r="G318" t="s">
        <v>29</v>
      </c>
      <c r="H318" t="s">
        <v>669</v>
      </c>
      <c r="I318" s="1" t="s">
        <v>26</v>
      </c>
      <c r="J318" s="1" t="s">
        <v>25</v>
      </c>
      <c r="K318" s="1" t="s">
        <v>25</v>
      </c>
      <c r="L318" s="1" t="s">
        <v>26</v>
      </c>
      <c r="M318" s="1" t="s">
        <v>25</v>
      </c>
      <c r="N318" s="1" t="s">
        <v>26</v>
      </c>
      <c r="O318" s="1" t="s">
        <v>25</v>
      </c>
      <c r="P318" s="1" t="s">
        <v>25</v>
      </c>
      <c r="Q318" s="1" t="s">
        <v>25</v>
      </c>
      <c r="R318" s="1" t="s">
        <v>25</v>
      </c>
      <c r="S318" s="2">
        <v>0</v>
      </c>
    </row>
    <row r="319" spans="1:19" x14ac:dyDescent="0.3">
      <c r="A319" t="s">
        <v>670</v>
      </c>
      <c r="B319" s="5" t="e" cm="1">
        <f t="array" ref="B319">MAX(#REF!,MIN(#REF!,#REF!+SUMPRODUCT(--(FoodData[[#This Row],[Healthy]:[Refined]]="Yes"),#REF!)+FoodData[[#This Row],[Adjust]]))</f>
        <v>#REF!</v>
      </c>
      <c r="C319" s="1" t="e">
        <f>LOOKUP(FoodData[[#This Row],[Score]],#REF!,#REF!)</f>
        <v>#REF!</v>
      </c>
      <c r="D319" t="s">
        <v>342</v>
      </c>
      <c r="E319" t="s">
        <v>28</v>
      </c>
      <c r="F319" t="s">
        <v>22</v>
      </c>
      <c r="G319" t="s">
        <v>162</v>
      </c>
      <c r="H319" t="s">
        <v>671</v>
      </c>
      <c r="I319" s="1" t="s">
        <v>26</v>
      </c>
      <c r="J319" s="1" t="s">
        <v>26</v>
      </c>
      <c r="K319" s="1" t="s">
        <v>25</v>
      </c>
      <c r="L319" s="1" t="s">
        <v>25</v>
      </c>
      <c r="M319" s="1" t="s">
        <v>25</v>
      </c>
      <c r="N319" s="1" t="s">
        <v>25</v>
      </c>
      <c r="O319" s="1" t="s">
        <v>25</v>
      </c>
      <c r="P319" s="1" t="s">
        <v>25</v>
      </c>
      <c r="Q319" s="1" t="s">
        <v>25</v>
      </c>
      <c r="R319" s="1" t="s">
        <v>25</v>
      </c>
      <c r="S319" s="2">
        <v>0</v>
      </c>
    </row>
    <row r="320" spans="1:19" x14ac:dyDescent="0.3">
      <c r="A320" t="s">
        <v>672</v>
      </c>
      <c r="B320" s="5" t="e" cm="1">
        <f t="array" ref="B320">MAX(#REF!,MIN(#REF!,#REF!+SUMPRODUCT(--(FoodData[[#This Row],[Healthy]:[Refined]]="Yes"),#REF!)+FoodData[[#This Row],[Adjust]]))</f>
        <v>#REF!</v>
      </c>
      <c r="C320" s="1" t="e">
        <f>LOOKUP(FoodData[[#This Row],[Score]],#REF!,#REF!)</f>
        <v>#REF!</v>
      </c>
      <c r="D320" t="s">
        <v>342</v>
      </c>
      <c r="E320" t="s">
        <v>28</v>
      </c>
      <c r="F320" t="s">
        <v>22</v>
      </c>
      <c r="G320" t="s">
        <v>23</v>
      </c>
      <c r="H320" t="s">
        <v>673</v>
      </c>
      <c r="I320" s="1" t="s">
        <v>25</v>
      </c>
      <c r="J320" s="1" t="s">
        <v>25</v>
      </c>
      <c r="K320" s="1" t="s">
        <v>26</v>
      </c>
      <c r="L320" s="1" t="s">
        <v>25</v>
      </c>
      <c r="M320" s="1" t="s">
        <v>26</v>
      </c>
      <c r="N320" s="1" t="s">
        <v>26</v>
      </c>
      <c r="O320" s="1" t="s">
        <v>26</v>
      </c>
      <c r="P320" s="1" t="s">
        <v>25</v>
      </c>
      <c r="Q320" s="1" t="s">
        <v>25</v>
      </c>
      <c r="R320" s="1" t="s">
        <v>25</v>
      </c>
      <c r="S320" s="2">
        <v>0</v>
      </c>
    </row>
    <row r="321" spans="1:19" x14ac:dyDescent="0.3">
      <c r="A321" t="s">
        <v>674</v>
      </c>
      <c r="B321" s="5" t="e" cm="1">
        <f t="array" ref="B321">MAX(#REF!,MIN(#REF!,#REF!+SUMPRODUCT(--(FoodData[[#This Row],[Healthy]:[Refined]]="Yes"),#REF!)+FoodData[[#This Row],[Adjust]]))</f>
        <v>#REF!</v>
      </c>
      <c r="C321" s="1" t="e">
        <f>LOOKUP(FoodData[[#This Row],[Score]],#REF!,#REF!)</f>
        <v>#REF!</v>
      </c>
      <c r="D321" t="s">
        <v>342</v>
      </c>
      <c r="E321" t="s">
        <v>28</v>
      </c>
      <c r="F321" t="s">
        <v>22</v>
      </c>
      <c r="G321" t="s">
        <v>23</v>
      </c>
      <c r="H321" t="s">
        <v>675</v>
      </c>
      <c r="I321" s="1" t="s">
        <v>26</v>
      </c>
      <c r="J321" s="1" t="s">
        <v>25</v>
      </c>
      <c r="K321" s="1" t="s">
        <v>25</v>
      </c>
      <c r="L321" s="1" t="s">
        <v>26</v>
      </c>
      <c r="M321" s="1" t="s">
        <v>25</v>
      </c>
      <c r="N321" s="1" t="s">
        <v>25</v>
      </c>
      <c r="O321" s="1" t="s">
        <v>25</v>
      </c>
      <c r="P321" s="1" t="s">
        <v>25</v>
      </c>
      <c r="Q321" s="1" t="s">
        <v>25</v>
      </c>
      <c r="R321" s="1" t="s">
        <v>25</v>
      </c>
      <c r="S321" s="2">
        <v>0</v>
      </c>
    </row>
    <row r="322" spans="1:19" x14ac:dyDescent="0.3">
      <c r="A322" t="s">
        <v>676</v>
      </c>
      <c r="B322" s="5" t="e" cm="1">
        <f t="array" ref="B322">MAX(#REF!,MIN(#REF!,#REF!+SUMPRODUCT(--(FoodData[[#This Row],[Healthy]:[Refined]]="Yes"),#REF!)+FoodData[[#This Row],[Adjust]]))</f>
        <v>#REF!</v>
      </c>
      <c r="C322" s="1" t="e">
        <f>LOOKUP(FoodData[[#This Row],[Score]],#REF!,#REF!)</f>
        <v>#REF!</v>
      </c>
      <c r="D322" t="s">
        <v>342</v>
      </c>
      <c r="E322" t="s">
        <v>28</v>
      </c>
      <c r="F322" t="s">
        <v>22</v>
      </c>
      <c r="G322" t="s">
        <v>29</v>
      </c>
      <c r="H322" t="s">
        <v>677</v>
      </c>
      <c r="I322" s="1" t="s">
        <v>26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26</v>
      </c>
      <c r="O322" s="1" t="s">
        <v>25</v>
      </c>
      <c r="P322" s="1" t="s">
        <v>25</v>
      </c>
      <c r="Q322" s="1" t="s">
        <v>25</v>
      </c>
      <c r="R322" s="1" t="s">
        <v>25</v>
      </c>
      <c r="S322" s="2">
        <v>0</v>
      </c>
    </row>
    <row r="323" spans="1:19" x14ac:dyDescent="0.3">
      <c r="A323" t="s">
        <v>678</v>
      </c>
      <c r="B323" s="5" t="e" cm="1">
        <f t="array" ref="B323">MAX(#REF!,MIN(#REF!,#REF!+SUMPRODUCT(--(FoodData[[#This Row],[Healthy]:[Refined]]="Yes"),#REF!)+FoodData[[#This Row],[Adjust]]))</f>
        <v>#REF!</v>
      </c>
      <c r="C323" s="1" t="e">
        <f>LOOKUP(FoodData[[#This Row],[Score]],#REF!,#REF!)</f>
        <v>#REF!</v>
      </c>
      <c r="D323" t="s">
        <v>342</v>
      </c>
      <c r="E323" t="s">
        <v>28</v>
      </c>
      <c r="F323" t="s">
        <v>22</v>
      </c>
      <c r="G323" t="s">
        <v>23</v>
      </c>
      <c r="H323" t="s">
        <v>679</v>
      </c>
      <c r="I323" s="1" t="s">
        <v>26</v>
      </c>
      <c r="J323" s="1" t="s">
        <v>25</v>
      </c>
      <c r="K323" s="1" t="s">
        <v>25</v>
      </c>
      <c r="L323" s="1" t="s">
        <v>26</v>
      </c>
      <c r="M323" s="1" t="s">
        <v>25</v>
      </c>
      <c r="N323" s="1" t="s">
        <v>26</v>
      </c>
      <c r="O323" s="1" t="s">
        <v>25</v>
      </c>
      <c r="P323" s="1" t="s">
        <v>25</v>
      </c>
      <c r="Q323" s="1" t="s">
        <v>25</v>
      </c>
      <c r="R323" s="1" t="s">
        <v>25</v>
      </c>
      <c r="S323" s="2">
        <v>0</v>
      </c>
    </row>
    <row r="324" spans="1:19" x14ac:dyDescent="0.3">
      <c r="A324" t="s">
        <v>680</v>
      </c>
      <c r="B324" s="5" t="e" cm="1">
        <f t="array" ref="B324">MAX(#REF!,MIN(#REF!,#REF!+SUMPRODUCT(--(FoodData[[#This Row],[Healthy]:[Refined]]="Yes"),#REF!)+FoodData[[#This Row],[Adjust]]))</f>
        <v>#REF!</v>
      </c>
      <c r="C324" s="1" t="e">
        <f>LOOKUP(FoodData[[#This Row],[Score]],#REF!,#REF!)</f>
        <v>#REF!</v>
      </c>
      <c r="D324" t="s">
        <v>342</v>
      </c>
      <c r="E324" t="s">
        <v>384</v>
      </c>
      <c r="F324" t="s">
        <v>22</v>
      </c>
      <c r="G324" t="s">
        <v>23</v>
      </c>
      <c r="H324" t="s">
        <v>681</v>
      </c>
      <c r="I324" s="1" t="s">
        <v>26</v>
      </c>
      <c r="J324" s="1" t="s">
        <v>26</v>
      </c>
      <c r="K324" s="1" t="s">
        <v>25</v>
      </c>
      <c r="L324" s="1" t="s">
        <v>26</v>
      </c>
      <c r="M324" s="1" t="s">
        <v>25</v>
      </c>
      <c r="N324" s="1" t="s">
        <v>25</v>
      </c>
      <c r="O324" s="1" t="s">
        <v>25</v>
      </c>
      <c r="P324" s="1" t="s">
        <v>25</v>
      </c>
      <c r="Q324" s="1" t="s">
        <v>25</v>
      </c>
      <c r="R324" s="1" t="s">
        <v>25</v>
      </c>
      <c r="S324" s="2">
        <v>0</v>
      </c>
    </row>
    <row r="325" spans="1:19" x14ac:dyDescent="0.3">
      <c r="A325" t="s">
        <v>682</v>
      </c>
      <c r="B325" s="5" t="e" cm="1">
        <f t="array" ref="B325">MAX(#REF!,MIN(#REF!,#REF!+SUMPRODUCT(--(FoodData[[#This Row],[Healthy]:[Refined]]="Yes"),#REF!)+FoodData[[#This Row],[Adjust]]))</f>
        <v>#REF!</v>
      </c>
      <c r="C325" s="1" t="e">
        <f>LOOKUP(FoodData[[#This Row],[Score]],#REF!,#REF!)</f>
        <v>#REF!</v>
      </c>
      <c r="D325" t="s">
        <v>342</v>
      </c>
      <c r="E325" t="s">
        <v>28</v>
      </c>
      <c r="F325" t="s">
        <v>22</v>
      </c>
      <c r="G325" t="s">
        <v>23</v>
      </c>
      <c r="H325" t="s">
        <v>683</v>
      </c>
      <c r="I325" s="1" t="s">
        <v>26</v>
      </c>
      <c r="J325" s="1" t="s">
        <v>26</v>
      </c>
      <c r="K325" s="1" t="s">
        <v>25</v>
      </c>
      <c r="L325" s="1" t="s">
        <v>26</v>
      </c>
      <c r="M325" s="1" t="s">
        <v>25</v>
      </c>
      <c r="N325" s="1" t="s">
        <v>25</v>
      </c>
      <c r="O325" s="1" t="s">
        <v>25</v>
      </c>
      <c r="P325" s="1" t="s">
        <v>25</v>
      </c>
      <c r="Q325" s="1" t="s">
        <v>25</v>
      </c>
      <c r="R325" s="1" t="s">
        <v>25</v>
      </c>
      <c r="S325" s="2">
        <v>0</v>
      </c>
    </row>
    <row r="326" spans="1:19" x14ac:dyDescent="0.3">
      <c r="A326" t="s">
        <v>684</v>
      </c>
      <c r="B326" s="5" t="e" cm="1">
        <f t="array" ref="B326">MAX(#REF!,MIN(#REF!,#REF!+SUMPRODUCT(--(FoodData[[#This Row],[Healthy]:[Refined]]="Yes"),#REF!)+FoodData[[#This Row],[Adjust]]))</f>
        <v>#REF!</v>
      </c>
      <c r="C326" s="1" t="e">
        <f>LOOKUP(FoodData[[#This Row],[Score]],#REF!,#REF!)</f>
        <v>#REF!</v>
      </c>
      <c r="D326" t="s">
        <v>342</v>
      </c>
      <c r="E326" t="s">
        <v>28</v>
      </c>
      <c r="F326" t="s">
        <v>22</v>
      </c>
      <c r="G326" t="s">
        <v>29</v>
      </c>
      <c r="H326" t="s">
        <v>685</v>
      </c>
      <c r="I326" s="1" t="s">
        <v>26</v>
      </c>
      <c r="J326" s="1" t="s">
        <v>25</v>
      </c>
      <c r="K326" s="1" t="s">
        <v>26</v>
      </c>
      <c r="L326" s="1" t="s">
        <v>25</v>
      </c>
      <c r="M326" s="1" t="s">
        <v>25</v>
      </c>
      <c r="N326" s="1" t="s">
        <v>26</v>
      </c>
      <c r="O326" s="1" t="s">
        <v>25</v>
      </c>
      <c r="P326" s="1" t="s">
        <v>25</v>
      </c>
      <c r="Q326" s="1" t="s">
        <v>25</v>
      </c>
      <c r="R326" s="1" t="s">
        <v>25</v>
      </c>
      <c r="S326" s="2">
        <v>0</v>
      </c>
    </row>
    <row r="327" spans="1:19" x14ac:dyDescent="0.3">
      <c r="A327" t="s">
        <v>686</v>
      </c>
      <c r="B327" s="5" t="e" cm="1">
        <f t="array" ref="B327">MAX(#REF!,MIN(#REF!,#REF!+SUMPRODUCT(--(FoodData[[#This Row],[Healthy]:[Refined]]="Yes"),#REF!)+FoodData[[#This Row],[Adjust]]))</f>
        <v>#REF!</v>
      </c>
      <c r="C327" s="1" t="e">
        <f>LOOKUP(FoodData[[#This Row],[Score]],#REF!,#REF!)</f>
        <v>#REF!</v>
      </c>
      <c r="D327" t="s">
        <v>342</v>
      </c>
      <c r="E327" t="s">
        <v>28</v>
      </c>
      <c r="F327" t="s">
        <v>22</v>
      </c>
      <c r="G327" t="s">
        <v>23</v>
      </c>
      <c r="H327" t="s">
        <v>687</v>
      </c>
      <c r="I327" s="1" t="s">
        <v>25</v>
      </c>
      <c r="J327" s="1" t="s">
        <v>25</v>
      </c>
      <c r="K327" s="1" t="s">
        <v>26</v>
      </c>
      <c r="L327" s="1" t="s">
        <v>25</v>
      </c>
      <c r="M327" s="1" t="s">
        <v>26</v>
      </c>
      <c r="N327" s="1" t="s">
        <v>25</v>
      </c>
      <c r="O327" s="1" t="s">
        <v>25</v>
      </c>
      <c r="P327" s="1" t="s">
        <v>25</v>
      </c>
      <c r="Q327" s="1" t="s">
        <v>25</v>
      </c>
      <c r="R327" s="1" t="s">
        <v>25</v>
      </c>
      <c r="S327" s="2">
        <v>0</v>
      </c>
    </row>
    <row r="328" spans="1:19" x14ac:dyDescent="0.3">
      <c r="A328" t="s">
        <v>688</v>
      </c>
      <c r="B328" s="5" t="e" cm="1">
        <f t="array" ref="B328">MAX(#REF!,MIN(#REF!,#REF!+SUMPRODUCT(--(FoodData[[#This Row],[Healthy]:[Refined]]="Yes"),#REF!)+FoodData[[#This Row],[Adjust]]))</f>
        <v>#REF!</v>
      </c>
      <c r="C328" s="1" t="e">
        <f>LOOKUP(FoodData[[#This Row],[Score]],#REF!,#REF!)</f>
        <v>#REF!</v>
      </c>
      <c r="D328" t="s">
        <v>342</v>
      </c>
      <c r="E328" t="s">
        <v>28</v>
      </c>
      <c r="F328" t="s">
        <v>22</v>
      </c>
      <c r="G328" t="s">
        <v>29</v>
      </c>
      <c r="H328" t="s">
        <v>689</v>
      </c>
      <c r="I328" s="1" t="s">
        <v>26</v>
      </c>
      <c r="J328" s="1" t="s">
        <v>26</v>
      </c>
      <c r="K328" s="1" t="s">
        <v>26</v>
      </c>
      <c r="L328" s="1" t="s">
        <v>25</v>
      </c>
      <c r="M328" s="1" t="s">
        <v>25</v>
      </c>
      <c r="N328" s="1" t="s">
        <v>25</v>
      </c>
      <c r="O328" s="1" t="s">
        <v>25</v>
      </c>
      <c r="P328" s="1" t="s">
        <v>25</v>
      </c>
      <c r="Q328" s="1" t="s">
        <v>25</v>
      </c>
      <c r="R328" s="1" t="s">
        <v>25</v>
      </c>
      <c r="S328" s="2">
        <v>0</v>
      </c>
    </row>
    <row r="329" spans="1:19" x14ac:dyDescent="0.3">
      <c r="A329" t="s">
        <v>690</v>
      </c>
      <c r="B329" s="5" t="e" cm="1">
        <f t="array" ref="B329">MAX(#REF!,MIN(#REF!,#REF!+SUMPRODUCT(--(FoodData[[#This Row],[Healthy]:[Refined]]="Yes"),#REF!)+FoodData[[#This Row],[Adjust]]))</f>
        <v>#REF!</v>
      </c>
      <c r="C329" s="1" t="e">
        <f>LOOKUP(FoodData[[#This Row],[Score]],#REF!,#REF!)</f>
        <v>#REF!</v>
      </c>
      <c r="D329" t="s">
        <v>342</v>
      </c>
      <c r="E329" t="s">
        <v>28</v>
      </c>
      <c r="F329" t="s">
        <v>22</v>
      </c>
      <c r="G329" t="s">
        <v>23</v>
      </c>
      <c r="H329" t="s">
        <v>691</v>
      </c>
      <c r="I329" s="1" t="s">
        <v>26</v>
      </c>
      <c r="J329" s="1" t="s">
        <v>26</v>
      </c>
      <c r="K329" s="1" t="s">
        <v>26</v>
      </c>
      <c r="L329" s="1" t="s">
        <v>26</v>
      </c>
      <c r="M329" s="1" t="s">
        <v>25</v>
      </c>
      <c r="N329" s="1" t="s">
        <v>25</v>
      </c>
      <c r="O329" s="1" t="s">
        <v>25</v>
      </c>
      <c r="P329" s="1" t="s">
        <v>25</v>
      </c>
      <c r="Q329" s="1" t="s">
        <v>25</v>
      </c>
      <c r="R329" s="1" t="s">
        <v>25</v>
      </c>
      <c r="S329" s="2">
        <v>0</v>
      </c>
    </row>
    <row r="330" spans="1:19" x14ac:dyDescent="0.3">
      <c r="A330" t="s">
        <v>692</v>
      </c>
      <c r="B330" s="5" t="e" cm="1">
        <f t="array" ref="B330">MAX(#REF!,MIN(#REF!,#REF!+SUMPRODUCT(--(FoodData[[#This Row],[Healthy]:[Refined]]="Yes"),#REF!)+FoodData[[#This Row],[Adjust]]))</f>
        <v>#REF!</v>
      </c>
      <c r="C330" s="1" t="e">
        <f>LOOKUP(FoodData[[#This Row],[Score]],#REF!,#REF!)</f>
        <v>#REF!</v>
      </c>
      <c r="D330" t="s">
        <v>342</v>
      </c>
      <c r="E330" t="s">
        <v>28</v>
      </c>
      <c r="F330" t="s">
        <v>22</v>
      </c>
      <c r="G330" t="s">
        <v>23</v>
      </c>
      <c r="H330" t="s">
        <v>693</v>
      </c>
      <c r="I330" s="1" t="s">
        <v>25</v>
      </c>
      <c r="J330" s="1" t="s">
        <v>25</v>
      </c>
      <c r="K330" s="1" t="s">
        <v>26</v>
      </c>
      <c r="L330" s="1" t="s">
        <v>26</v>
      </c>
      <c r="M330" s="1" t="s">
        <v>25</v>
      </c>
      <c r="N330" s="1" t="s">
        <v>25</v>
      </c>
      <c r="O330" s="1" t="s">
        <v>26</v>
      </c>
      <c r="P330" s="1" t="s">
        <v>25</v>
      </c>
      <c r="Q330" s="1" t="s">
        <v>25</v>
      </c>
      <c r="R330" s="1" t="s">
        <v>25</v>
      </c>
      <c r="S330" s="2">
        <v>0</v>
      </c>
    </row>
    <row r="331" spans="1:19" x14ac:dyDescent="0.3">
      <c r="A331" t="s">
        <v>694</v>
      </c>
      <c r="B331" s="5" t="e" cm="1">
        <f t="array" ref="B331">MAX(#REF!,MIN(#REF!,#REF!+SUMPRODUCT(--(FoodData[[#This Row],[Healthy]:[Refined]]="Yes"),#REF!)+FoodData[[#This Row],[Adjust]]))</f>
        <v>#REF!</v>
      </c>
      <c r="C331" s="1" t="e">
        <f>LOOKUP(FoodData[[#This Row],[Score]],#REF!,#REF!)</f>
        <v>#REF!</v>
      </c>
      <c r="D331" t="s">
        <v>342</v>
      </c>
      <c r="E331" t="s">
        <v>28</v>
      </c>
      <c r="F331" t="s">
        <v>22</v>
      </c>
      <c r="G331" t="s">
        <v>23</v>
      </c>
      <c r="H331" t="s">
        <v>695</v>
      </c>
      <c r="I331" s="1" t="s">
        <v>26</v>
      </c>
      <c r="J331" s="1" t="s">
        <v>26</v>
      </c>
      <c r="K331" s="1" t="s">
        <v>26</v>
      </c>
      <c r="L331" s="1" t="s">
        <v>26</v>
      </c>
      <c r="M331" s="1" t="s">
        <v>25</v>
      </c>
      <c r="N331" s="1" t="s">
        <v>25</v>
      </c>
      <c r="O331" s="1" t="s">
        <v>25</v>
      </c>
      <c r="P331" s="1" t="s">
        <v>25</v>
      </c>
      <c r="Q331" s="1" t="s">
        <v>25</v>
      </c>
      <c r="R331" s="1" t="s">
        <v>25</v>
      </c>
      <c r="S331" s="2">
        <v>0</v>
      </c>
    </row>
    <row r="332" spans="1:19" x14ac:dyDescent="0.3">
      <c r="A332" t="s">
        <v>696</v>
      </c>
      <c r="B332" s="5" t="e" cm="1">
        <f t="array" ref="B332">MAX(#REF!,MIN(#REF!,#REF!+SUMPRODUCT(--(FoodData[[#This Row],[Healthy]:[Refined]]="Yes"),#REF!)+FoodData[[#This Row],[Adjust]]))</f>
        <v>#REF!</v>
      </c>
      <c r="C332" s="1" t="e">
        <f>LOOKUP(FoodData[[#This Row],[Score]],#REF!,#REF!)</f>
        <v>#REF!</v>
      </c>
      <c r="D332" t="s">
        <v>342</v>
      </c>
      <c r="E332" t="s">
        <v>28</v>
      </c>
      <c r="F332" t="s">
        <v>22</v>
      </c>
      <c r="G332" t="s">
        <v>23</v>
      </c>
      <c r="H332" t="s">
        <v>697</v>
      </c>
      <c r="I332" s="1" t="s">
        <v>26</v>
      </c>
      <c r="J332" s="1" t="s">
        <v>25</v>
      </c>
      <c r="K332" s="1" t="s">
        <v>26</v>
      </c>
      <c r="L332" s="1" t="s">
        <v>26</v>
      </c>
      <c r="M332" s="1" t="s">
        <v>25</v>
      </c>
      <c r="N332" s="1" t="s">
        <v>25</v>
      </c>
      <c r="O332" s="1" t="s">
        <v>26</v>
      </c>
      <c r="P332" s="1" t="s">
        <v>25</v>
      </c>
      <c r="Q332" s="1" t="s">
        <v>25</v>
      </c>
      <c r="R332" s="1" t="s">
        <v>25</v>
      </c>
      <c r="S332" s="2">
        <v>0</v>
      </c>
    </row>
    <row r="333" spans="1:19" x14ac:dyDescent="0.3">
      <c r="A333" t="s">
        <v>698</v>
      </c>
      <c r="B333" s="5" t="e" cm="1">
        <f t="array" ref="B333">MAX(#REF!,MIN(#REF!,#REF!+SUMPRODUCT(--(FoodData[[#This Row],[Healthy]:[Refined]]="Yes"),#REF!)+FoodData[[#This Row],[Adjust]]))</f>
        <v>#REF!</v>
      </c>
      <c r="C333" s="1" t="e">
        <f>LOOKUP(FoodData[[#This Row],[Score]],#REF!,#REF!)</f>
        <v>#REF!</v>
      </c>
      <c r="D333" t="s">
        <v>342</v>
      </c>
      <c r="E333" t="s">
        <v>28</v>
      </c>
      <c r="F333" t="s">
        <v>22</v>
      </c>
      <c r="G333" t="s">
        <v>23</v>
      </c>
      <c r="H333" t="s">
        <v>699</v>
      </c>
      <c r="I333" s="1" t="s">
        <v>25</v>
      </c>
      <c r="J333" s="1" t="s">
        <v>25</v>
      </c>
      <c r="K333" s="1" t="s">
        <v>26</v>
      </c>
      <c r="L333" s="1" t="s">
        <v>25</v>
      </c>
      <c r="M333" s="1" t="s">
        <v>25</v>
      </c>
      <c r="N333" s="1" t="s">
        <v>26</v>
      </c>
      <c r="O333" s="1" t="s">
        <v>25</v>
      </c>
      <c r="P333" s="1" t="s">
        <v>25</v>
      </c>
      <c r="Q333" s="1" t="s">
        <v>25</v>
      </c>
      <c r="R333" s="1" t="s">
        <v>25</v>
      </c>
      <c r="S333" s="2">
        <v>0</v>
      </c>
    </row>
    <row r="334" spans="1:19" x14ac:dyDescent="0.3">
      <c r="A334" t="s">
        <v>700</v>
      </c>
      <c r="B334" s="5" t="e" cm="1">
        <f t="array" ref="B334">MAX(#REF!,MIN(#REF!,#REF!+SUMPRODUCT(--(FoodData[[#This Row],[Healthy]:[Refined]]="Yes"),#REF!)+FoodData[[#This Row],[Adjust]]))</f>
        <v>#REF!</v>
      </c>
      <c r="C334" s="1" t="e">
        <f>LOOKUP(FoodData[[#This Row],[Score]],#REF!,#REF!)</f>
        <v>#REF!</v>
      </c>
      <c r="D334" t="s">
        <v>342</v>
      </c>
      <c r="E334" t="s">
        <v>28</v>
      </c>
      <c r="F334" t="s">
        <v>22</v>
      </c>
      <c r="G334" t="s">
        <v>23</v>
      </c>
      <c r="H334" t="s">
        <v>701</v>
      </c>
      <c r="I334" s="1" t="s">
        <v>25</v>
      </c>
      <c r="J334" s="1" t="s">
        <v>25</v>
      </c>
      <c r="K334" s="1" t="s">
        <v>26</v>
      </c>
      <c r="L334" s="1" t="s">
        <v>26</v>
      </c>
      <c r="M334" s="1" t="s">
        <v>25</v>
      </c>
      <c r="N334" s="1" t="s">
        <v>25</v>
      </c>
      <c r="O334" s="1" t="s">
        <v>26</v>
      </c>
      <c r="P334" s="1" t="s">
        <v>25</v>
      </c>
      <c r="Q334" s="1" t="s">
        <v>25</v>
      </c>
      <c r="R334" s="1" t="s">
        <v>25</v>
      </c>
      <c r="S334" s="2">
        <v>0</v>
      </c>
    </row>
    <row r="335" spans="1:19" x14ac:dyDescent="0.3">
      <c r="A335" t="s">
        <v>702</v>
      </c>
      <c r="B335" s="5" t="e" cm="1">
        <f t="array" ref="B335">MAX(#REF!,MIN(#REF!,#REF!+SUMPRODUCT(--(FoodData[[#This Row],[Healthy]:[Refined]]="Yes"),#REF!)+FoodData[[#This Row],[Adjust]]))</f>
        <v>#REF!</v>
      </c>
      <c r="C335" s="1" t="e">
        <f>LOOKUP(FoodData[[#This Row],[Score]],#REF!,#REF!)</f>
        <v>#REF!</v>
      </c>
      <c r="D335" t="s">
        <v>342</v>
      </c>
      <c r="E335" t="s">
        <v>28</v>
      </c>
      <c r="F335" t="s">
        <v>22</v>
      </c>
      <c r="G335" t="s">
        <v>23</v>
      </c>
      <c r="H335" t="s">
        <v>703</v>
      </c>
      <c r="I335" s="1" t="s">
        <v>25</v>
      </c>
      <c r="J335" s="1" t="s">
        <v>25</v>
      </c>
      <c r="K335" s="1" t="s">
        <v>26</v>
      </c>
      <c r="L335" s="1" t="s">
        <v>25</v>
      </c>
      <c r="M335" s="1" t="s">
        <v>25</v>
      </c>
      <c r="N335" s="1" t="s">
        <v>26</v>
      </c>
      <c r="O335" s="1" t="s">
        <v>25</v>
      </c>
      <c r="P335" s="1" t="s">
        <v>25</v>
      </c>
      <c r="Q335" s="1" t="s">
        <v>25</v>
      </c>
      <c r="R335" s="1" t="s">
        <v>25</v>
      </c>
      <c r="S335" s="2">
        <v>0</v>
      </c>
    </row>
    <row r="336" spans="1:19" x14ac:dyDescent="0.3">
      <c r="A336" t="s">
        <v>704</v>
      </c>
      <c r="B336" s="5" t="e" cm="1">
        <f t="array" ref="B336">MAX(#REF!,MIN(#REF!,#REF!+SUMPRODUCT(--(FoodData[[#This Row],[Healthy]:[Refined]]="Yes"),#REF!)+FoodData[[#This Row],[Adjust]]))</f>
        <v>#REF!</v>
      </c>
      <c r="C336" s="1" t="e">
        <f>LOOKUP(FoodData[[#This Row],[Score]],#REF!,#REF!)</f>
        <v>#REF!</v>
      </c>
      <c r="D336" t="s">
        <v>342</v>
      </c>
      <c r="E336" t="s">
        <v>28</v>
      </c>
      <c r="F336" t="s">
        <v>22</v>
      </c>
      <c r="G336" t="s">
        <v>23</v>
      </c>
      <c r="H336" t="s">
        <v>705</v>
      </c>
      <c r="I336" s="1" t="s">
        <v>25</v>
      </c>
      <c r="J336" s="1" t="s">
        <v>25</v>
      </c>
      <c r="K336" s="1" t="s">
        <v>26</v>
      </c>
      <c r="L336" s="1" t="s">
        <v>25</v>
      </c>
      <c r="M336" s="1" t="s">
        <v>25</v>
      </c>
      <c r="N336" s="1" t="s">
        <v>26</v>
      </c>
      <c r="O336" s="1" t="s">
        <v>25</v>
      </c>
      <c r="P336" s="1" t="s">
        <v>25</v>
      </c>
      <c r="Q336" s="1" t="s">
        <v>25</v>
      </c>
      <c r="R336" s="1" t="s">
        <v>25</v>
      </c>
      <c r="S336" s="2">
        <v>0</v>
      </c>
    </row>
    <row r="337" spans="1:19" x14ac:dyDescent="0.3">
      <c r="A337" t="s">
        <v>706</v>
      </c>
      <c r="B337" s="5" t="e" cm="1">
        <f t="array" ref="B337">MAX(#REF!,MIN(#REF!,#REF!+SUMPRODUCT(--(FoodData[[#This Row],[Healthy]:[Refined]]="Yes"),#REF!)+FoodData[[#This Row],[Adjust]]))</f>
        <v>#REF!</v>
      </c>
      <c r="C337" s="1" t="e">
        <f>LOOKUP(FoodData[[#This Row],[Score]],#REF!,#REF!)</f>
        <v>#REF!</v>
      </c>
      <c r="D337" t="s">
        <v>342</v>
      </c>
      <c r="E337" t="s">
        <v>28</v>
      </c>
      <c r="F337" t="s">
        <v>22</v>
      </c>
      <c r="G337" t="s">
        <v>23</v>
      </c>
      <c r="H337" t="s">
        <v>707</v>
      </c>
      <c r="I337" s="1" t="s">
        <v>25</v>
      </c>
      <c r="J337" s="1" t="s">
        <v>25</v>
      </c>
      <c r="K337" s="1" t="s">
        <v>26</v>
      </c>
      <c r="L337" s="1" t="s">
        <v>25</v>
      </c>
      <c r="M337" s="1" t="s">
        <v>25</v>
      </c>
      <c r="N337" s="1" t="s">
        <v>26</v>
      </c>
      <c r="O337" s="1" t="s">
        <v>26</v>
      </c>
      <c r="P337" s="1" t="s">
        <v>25</v>
      </c>
      <c r="Q337" s="1" t="s">
        <v>25</v>
      </c>
      <c r="R337" s="1" t="s">
        <v>25</v>
      </c>
      <c r="S337" s="2">
        <v>0</v>
      </c>
    </row>
    <row r="338" spans="1:19" x14ac:dyDescent="0.3">
      <c r="A338" t="s">
        <v>708</v>
      </c>
      <c r="B338" s="5" t="e" cm="1">
        <f t="array" ref="B338">MAX(#REF!,MIN(#REF!,#REF!+SUMPRODUCT(--(FoodData[[#This Row],[Healthy]:[Refined]]="Yes"),#REF!)+FoodData[[#This Row],[Adjust]]))</f>
        <v>#REF!</v>
      </c>
      <c r="C338" s="1" t="e">
        <f>LOOKUP(FoodData[[#This Row],[Score]],#REF!,#REF!)</f>
        <v>#REF!</v>
      </c>
      <c r="D338" t="s">
        <v>342</v>
      </c>
      <c r="E338" t="s">
        <v>28</v>
      </c>
      <c r="F338" t="s">
        <v>22</v>
      </c>
      <c r="G338" t="s">
        <v>23</v>
      </c>
      <c r="H338" t="s">
        <v>709</v>
      </c>
      <c r="I338" s="1" t="s">
        <v>25</v>
      </c>
      <c r="J338" s="1" t="s">
        <v>25</v>
      </c>
      <c r="K338" s="1" t="s">
        <v>26</v>
      </c>
      <c r="L338" s="1" t="s">
        <v>26</v>
      </c>
      <c r="M338" s="1" t="s">
        <v>25</v>
      </c>
      <c r="N338" s="1" t="s">
        <v>26</v>
      </c>
      <c r="O338" s="1" t="s">
        <v>25</v>
      </c>
      <c r="P338" s="1" t="s">
        <v>25</v>
      </c>
      <c r="Q338" s="1" t="s">
        <v>25</v>
      </c>
      <c r="R338" s="1" t="s">
        <v>25</v>
      </c>
      <c r="S338" s="2">
        <v>0</v>
      </c>
    </row>
    <row r="339" spans="1:19" x14ac:dyDescent="0.3">
      <c r="A339" t="s">
        <v>710</v>
      </c>
      <c r="B339" s="5" t="e" cm="1">
        <f t="array" ref="B339">MAX(#REF!,MIN(#REF!,#REF!+SUMPRODUCT(--(FoodData[[#This Row],[Healthy]:[Refined]]="Yes"),#REF!)+FoodData[[#This Row],[Adjust]]))</f>
        <v>#REF!</v>
      </c>
      <c r="C339" s="1" t="e">
        <f>LOOKUP(FoodData[[#This Row],[Score]],#REF!,#REF!)</f>
        <v>#REF!</v>
      </c>
      <c r="D339" t="s">
        <v>342</v>
      </c>
      <c r="E339" t="s">
        <v>28</v>
      </c>
      <c r="F339" t="s">
        <v>22</v>
      </c>
      <c r="G339" t="s">
        <v>23</v>
      </c>
      <c r="H339" t="s">
        <v>711</v>
      </c>
      <c r="I339" s="1" t="s">
        <v>25</v>
      </c>
      <c r="J339" s="1" t="s">
        <v>25</v>
      </c>
      <c r="K339" s="1" t="s">
        <v>26</v>
      </c>
      <c r="L339" s="1" t="s">
        <v>25</v>
      </c>
      <c r="M339" s="1" t="s">
        <v>25</v>
      </c>
      <c r="N339" s="1" t="s">
        <v>26</v>
      </c>
      <c r="O339" s="1" t="s">
        <v>25</v>
      </c>
      <c r="P339" s="1" t="s">
        <v>25</v>
      </c>
      <c r="Q339" s="1" t="s">
        <v>25</v>
      </c>
      <c r="R339" s="1" t="s">
        <v>25</v>
      </c>
      <c r="S339" s="2">
        <v>0</v>
      </c>
    </row>
    <row r="340" spans="1:19" x14ac:dyDescent="0.3">
      <c r="A340" t="s">
        <v>712</v>
      </c>
      <c r="B340" s="5" t="e" cm="1">
        <f t="array" ref="B340">MAX(#REF!,MIN(#REF!,#REF!+SUMPRODUCT(--(FoodData[[#This Row],[Healthy]:[Refined]]="Yes"),#REF!)+FoodData[[#This Row],[Adjust]]))</f>
        <v>#REF!</v>
      </c>
      <c r="C340" s="1" t="e">
        <f>LOOKUP(FoodData[[#This Row],[Score]],#REF!,#REF!)</f>
        <v>#REF!</v>
      </c>
      <c r="D340" t="s">
        <v>342</v>
      </c>
      <c r="E340" t="s">
        <v>28</v>
      </c>
      <c r="F340" t="s">
        <v>22</v>
      </c>
      <c r="G340" t="s">
        <v>23</v>
      </c>
      <c r="H340" t="s">
        <v>713</v>
      </c>
      <c r="I340" s="1" t="s">
        <v>25</v>
      </c>
      <c r="J340" s="1" t="s">
        <v>25</v>
      </c>
      <c r="K340" s="1" t="s">
        <v>26</v>
      </c>
      <c r="L340" s="1" t="s">
        <v>25</v>
      </c>
      <c r="M340" s="1" t="s">
        <v>25</v>
      </c>
      <c r="N340" s="1" t="s">
        <v>26</v>
      </c>
      <c r="O340" s="1" t="s">
        <v>26</v>
      </c>
      <c r="P340" s="1" t="s">
        <v>25</v>
      </c>
      <c r="Q340" s="1" t="s">
        <v>25</v>
      </c>
      <c r="R340" s="1" t="s">
        <v>25</v>
      </c>
      <c r="S340" s="2">
        <v>0</v>
      </c>
    </row>
    <row r="341" spans="1:19" x14ac:dyDescent="0.3">
      <c r="A341" t="s">
        <v>714</v>
      </c>
      <c r="B341" s="5" t="e" cm="1">
        <f t="array" ref="B341">MAX(#REF!,MIN(#REF!,#REF!+SUMPRODUCT(--(FoodData[[#This Row],[Healthy]:[Refined]]="Yes"),#REF!)+FoodData[[#This Row],[Adjust]]))</f>
        <v>#REF!</v>
      </c>
      <c r="C341" s="1" t="e">
        <f>LOOKUP(FoodData[[#This Row],[Score]],#REF!,#REF!)</f>
        <v>#REF!</v>
      </c>
      <c r="D341" t="s">
        <v>342</v>
      </c>
      <c r="E341" t="s">
        <v>28</v>
      </c>
      <c r="F341" t="s">
        <v>22</v>
      </c>
      <c r="G341" t="s">
        <v>23</v>
      </c>
      <c r="H341" t="s">
        <v>715</v>
      </c>
      <c r="I341" s="1" t="s">
        <v>25</v>
      </c>
      <c r="J341" s="1" t="s">
        <v>25</v>
      </c>
      <c r="K341" s="1" t="s">
        <v>26</v>
      </c>
      <c r="L341" s="1" t="s">
        <v>25</v>
      </c>
      <c r="M341" s="1" t="s">
        <v>25</v>
      </c>
      <c r="N341" s="1" t="s">
        <v>26</v>
      </c>
      <c r="O341" s="1" t="s">
        <v>26</v>
      </c>
      <c r="P341" s="1" t="s">
        <v>25</v>
      </c>
      <c r="Q341" s="1" t="s">
        <v>25</v>
      </c>
      <c r="R341" s="1" t="s">
        <v>25</v>
      </c>
      <c r="S341" s="2">
        <v>0</v>
      </c>
    </row>
    <row r="342" spans="1:19" x14ac:dyDescent="0.3">
      <c r="A342" t="s">
        <v>716</v>
      </c>
      <c r="B342" s="5" t="e" cm="1">
        <f t="array" ref="B342">MAX(#REF!,MIN(#REF!,#REF!+SUMPRODUCT(--(FoodData[[#This Row],[Healthy]:[Refined]]="Yes"),#REF!)+FoodData[[#This Row],[Adjust]]))</f>
        <v>#REF!</v>
      </c>
      <c r="C342" s="1" t="e">
        <f>LOOKUP(FoodData[[#This Row],[Score]],#REF!,#REF!)</f>
        <v>#REF!</v>
      </c>
      <c r="D342" t="s">
        <v>342</v>
      </c>
      <c r="E342" t="s">
        <v>28</v>
      </c>
      <c r="F342" t="s">
        <v>22</v>
      </c>
      <c r="G342" t="s">
        <v>23</v>
      </c>
      <c r="H342" t="s">
        <v>717</v>
      </c>
      <c r="I342" s="1" t="s">
        <v>25</v>
      </c>
      <c r="J342" s="1" t="s">
        <v>25</v>
      </c>
      <c r="K342" s="1" t="s">
        <v>26</v>
      </c>
      <c r="L342" s="1" t="s">
        <v>25</v>
      </c>
      <c r="M342" s="1" t="s">
        <v>25</v>
      </c>
      <c r="N342" s="1" t="s">
        <v>26</v>
      </c>
      <c r="O342" s="1" t="s">
        <v>26</v>
      </c>
      <c r="P342" s="1" t="s">
        <v>25</v>
      </c>
      <c r="Q342" s="1" t="s">
        <v>25</v>
      </c>
      <c r="R342" s="1" t="s">
        <v>25</v>
      </c>
      <c r="S342" s="2">
        <v>0</v>
      </c>
    </row>
    <row r="343" spans="1:19" x14ac:dyDescent="0.3">
      <c r="A343" t="s">
        <v>718</v>
      </c>
      <c r="B343" s="5" t="e" cm="1">
        <f t="array" ref="B343">MAX(#REF!,MIN(#REF!,#REF!+SUMPRODUCT(--(FoodData[[#This Row],[Healthy]:[Refined]]="Yes"),#REF!)+FoodData[[#This Row],[Adjust]]))</f>
        <v>#REF!</v>
      </c>
      <c r="C343" s="1" t="e">
        <f>LOOKUP(FoodData[[#This Row],[Score]],#REF!,#REF!)</f>
        <v>#REF!</v>
      </c>
      <c r="D343" t="s">
        <v>342</v>
      </c>
      <c r="E343" t="s">
        <v>28</v>
      </c>
      <c r="F343" t="s">
        <v>22</v>
      </c>
      <c r="G343" t="s">
        <v>23</v>
      </c>
      <c r="H343" t="s">
        <v>719</v>
      </c>
      <c r="I343" s="1" t="s">
        <v>25</v>
      </c>
      <c r="J343" s="1" t="s">
        <v>25</v>
      </c>
      <c r="K343" s="1" t="s">
        <v>26</v>
      </c>
      <c r="L343" s="1" t="s">
        <v>25</v>
      </c>
      <c r="M343" s="1" t="s">
        <v>25</v>
      </c>
      <c r="N343" s="1" t="s">
        <v>26</v>
      </c>
      <c r="O343" s="1" t="s">
        <v>26</v>
      </c>
      <c r="P343" s="1" t="s">
        <v>25</v>
      </c>
      <c r="Q343" s="1" t="s">
        <v>25</v>
      </c>
      <c r="R343" s="1" t="s">
        <v>25</v>
      </c>
      <c r="S343" s="2">
        <v>0</v>
      </c>
    </row>
    <row r="344" spans="1:19" x14ac:dyDescent="0.3">
      <c r="A344" t="s">
        <v>720</v>
      </c>
      <c r="B344" s="5" t="e" cm="1">
        <f t="array" ref="B344">MAX(#REF!,MIN(#REF!,#REF!+SUMPRODUCT(--(FoodData[[#This Row],[Healthy]:[Refined]]="Yes"),#REF!)+FoodData[[#This Row],[Adjust]]))</f>
        <v>#REF!</v>
      </c>
      <c r="C344" s="1" t="e">
        <f>LOOKUP(FoodData[[#This Row],[Score]],#REF!,#REF!)</f>
        <v>#REF!</v>
      </c>
      <c r="D344" t="s">
        <v>342</v>
      </c>
      <c r="E344" t="s">
        <v>28</v>
      </c>
      <c r="F344" t="s">
        <v>22</v>
      </c>
      <c r="G344" t="s">
        <v>23</v>
      </c>
      <c r="H344" t="s">
        <v>721</v>
      </c>
      <c r="I344" s="1" t="s">
        <v>25</v>
      </c>
      <c r="J344" s="1" t="s">
        <v>25</v>
      </c>
      <c r="K344" s="1" t="s">
        <v>26</v>
      </c>
      <c r="L344" s="1" t="s">
        <v>25</v>
      </c>
      <c r="M344" s="1" t="s">
        <v>25</v>
      </c>
      <c r="N344" s="1" t="s">
        <v>25</v>
      </c>
      <c r="O344" s="1" t="s">
        <v>25</v>
      </c>
      <c r="P344" s="1" t="s">
        <v>25</v>
      </c>
      <c r="Q344" s="1" t="s">
        <v>25</v>
      </c>
      <c r="R344" s="1" t="s">
        <v>25</v>
      </c>
      <c r="S344" s="2">
        <v>0</v>
      </c>
    </row>
    <row r="345" spans="1:19" x14ac:dyDescent="0.3">
      <c r="A345" t="s">
        <v>722</v>
      </c>
      <c r="B345" s="5" t="e" cm="1">
        <f t="array" ref="B345">MAX(#REF!,MIN(#REF!,#REF!+SUMPRODUCT(--(FoodData[[#This Row],[Healthy]:[Refined]]="Yes"),#REF!)+FoodData[[#This Row],[Adjust]]))</f>
        <v>#REF!</v>
      </c>
      <c r="C345" s="1" t="e">
        <f>LOOKUP(FoodData[[#This Row],[Score]],#REF!,#REF!)</f>
        <v>#REF!</v>
      </c>
      <c r="D345" t="s">
        <v>342</v>
      </c>
      <c r="E345" t="s">
        <v>28</v>
      </c>
      <c r="F345" t="s">
        <v>22</v>
      </c>
      <c r="G345" t="s">
        <v>23</v>
      </c>
      <c r="H345" t="s">
        <v>723</v>
      </c>
      <c r="I345" s="1" t="s">
        <v>26</v>
      </c>
      <c r="J345" s="1" t="s">
        <v>26</v>
      </c>
      <c r="K345" s="1" t="s">
        <v>26</v>
      </c>
      <c r="L345" s="1" t="s">
        <v>26</v>
      </c>
      <c r="M345" s="1" t="s">
        <v>25</v>
      </c>
      <c r="N345" s="1" t="s">
        <v>25</v>
      </c>
      <c r="O345" s="1" t="s">
        <v>25</v>
      </c>
      <c r="P345" s="1" t="s">
        <v>25</v>
      </c>
      <c r="Q345" s="1" t="s">
        <v>25</v>
      </c>
      <c r="R345" s="1" t="s">
        <v>25</v>
      </c>
      <c r="S345" s="2">
        <v>0</v>
      </c>
    </row>
    <row r="346" spans="1:19" x14ac:dyDescent="0.3">
      <c r="A346" t="s">
        <v>724</v>
      </c>
      <c r="B346" s="5" t="e" cm="1">
        <f t="array" ref="B346">MAX(#REF!,MIN(#REF!,#REF!+SUMPRODUCT(--(FoodData[[#This Row],[Healthy]:[Refined]]="Yes"),#REF!)+FoodData[[#This Row],[Adjust]]))</f>
        <v>#REF!</v>
      </c>
      <c r="C346" s="1" t="e">
        <f>LOOKUP(FoodData[[#This Row],[Score]],#REF!,#REF!)</f>
        <v>#REF!</v>
      </c>
      <c r="D346" t="s">
        <v>342</v>
      </c>
      <c r="E346" t="s">
        <v>28</v>
      </c>
      <c r="F346" t="s">
        <v>22</v>
      </c>
      <c r="G346" t="s">
        <v>23</v>
      </c>
      <c r="H346" t="s">
        <v>725</v>
      </c>
      <c r="I346" s="1" t="s">
        <v>26</v>
      </c>
      <c r="J346" s="1" t="s">
        <v>26</v>
      </c>
      <c r="K346" s="1" t="s">
        <v>26</v>
      </c>
      <c r="L346" s="1" t="s">
        <v>26</v>
      </c>
      <c r="M346" s="1" t="s">
        <v>25</v>
      </c>
      <c r="N346" s="1" t="s">
        <v>25</v>
      </c>
      <c r="O346" s="1" t="s">
        <v>25</v>
      </c>
      <c r="P346" s="1" t="s">
        <v>25</v>
      </c>
      <c r="Q346" s="1" t="s">
        <v>25</v>
      </c>
      <c r="R346" s="1" t="s">
        <v>25</v>
      </c>
      <c r="S346" s="2">
        <v>0</v>
      </c>
    </row>
    <row r="347" spans="1:19" x14ac:dyDescent="0.3">
      <c r="A347" t="s">
        <v>726</v>
      </c>
      <c r="B347" s="5" t="e" cm="1">
        <f t="array" ref="B347">MAX(#REF!,MIN(#REF!,#REF!+SUMPRODUCT(--(FoodData[[#This Row],[Healthy]:[Refined]]="Yes"),#REF!)+FoodData[[#This Row],[Adjust]]))</f>
        <v>#REF!</v>
      </c>
      <c r="C347" s="1" t="e">
        <f>LOOKUP(FoodData[[#This Row],[Score]],#REF!,#REF!)</f>
        <v>#REF!</v>
      </c>
      <c r="D347" t="s">
        <v>342</v>
      </c>
      <c r="E347" t="s">
        <v>28</v>
      </c>
      <c r="F347" t="s">
        <v>22</v>
      </c>
      <c r="G347" t="s">
        <v>23</v>
      </c>
      <c r="H347" t="s">
        <v>727</v>
      </c>
      <c r="I347" s="1" t="s">
        <v>25</v>
      </c>
      <c r="J347" s="1" t="s">
        <v>25</v>
      </c>
      <c r="K347" s="1" t="s">
        <v>26</v>
      </c>
      <c r="L347" s="1" t="s">
        <v>25</v>
      </c>
      <c r="M347" s="1" t="s">
        <v>26</v>
      </c>
      <c r="N347" s="1" t="s">
        <v>25</v>
      </c>
      <c r="O347" s="1" t="s">
        <v>25</v>
      </c>
      <c r="P347" s="1" t="s">
        <v>25</v>
      </c>
      <c r="Q347" s="1" t="s">
        <v>25</v>
      </c>
      <c r="R347" s="1" t="s">
        <v>25</v>
      </c>
      <c r="S347" s="2">
        <v>0</v>
      </c>
    </row>
    <row r="348" spans="1:19" x14ac:dyDescent="0.3">
      <c r="A348" t="s">
        <v>728</v>
      </c>
      <c r="B348" s="5" t="e" cm="1">
        <f t="array" ref="B348">MAX(#REF!,MIN(#REF!,#REF!+SUMPRODUCT(--(FoodData[[#This Row],[Healthy]:[Refined]]="Yes"),#REF!)+FoodData[[#This Row],[Adjust]]))</f>
        <v>#REF!</v>
      </c>
      <c r="C348" s="1" t="e">
        <f>LOOKUP(FoodData[[#This Row],[Score]],#REF!,#REF!)</f>
        <v>#REF!</v>
      </c>
      <c r="D348" t="s">
        <v>342</v>
      </c>
      <c r="E348" t="s">
        <v>28</v>
      </c>
      <c r="F348" t="s">
        <v>22</v>
      </c>
      <c r="G348" t="s">
        <v>23</v>
      </c>
      <c r="H348" t="s">
        <v>729</v>
      </c>
      <c r="I348" s="1" t="s">
        <v>26</v>
      </c>
      <c r="J348" s="1" t="s">
        <v>25</v>
      </c>
      <c r="K348" s="1" t="s">
        <v>26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25</v>
      </c>
      <c r="Q348" s="1" t="s">
        <v>25</v>
      </c>
      <c r="R348" s="1" t="s">
        <v>25</v>
      </c>
      <c r="S348" s="2">
        <v>0</v>
      </c>
    </row>
    <row r="349" spans="1:19" x14ac:dyDescent="0.3">
      <c r="A349" t="s">
        <v>730</v>
      </c>
      <c r="B349" s="5" t="e" cm="1">
        <f t="array" ref="B349">MAX(#REF!,MIN(#REF!,#REF!+SUMPRODUCT(--(FoodData[[#This Row],[Healthy]:[Refined]]="Yes"),#REF!)+FoodData[[#This Row],[Adjust]]))</f>
        <v>#REF!</v>
      </c>
      <c r="C349" s="1" t="e">
        <f>LOOKUP(FoodData[[#This Row],[Score]],#REF!,#REF!)</f>
        <v>#REF!</v>
      </c>
      <c r="D349" t="s">
        <v>342</v>
      </c>
      <c r="E349" t="s">
        <v>28</v>
      </c>
      <c r="F349" t="s">
        <v>22</v>
      </c>
      <c r="G349" t="s">
        <v>162</v>
      </c>
      <c r="H349" t="s">
        <v>731</v>
      </c>
      <c r="I349" s="1" t="s">
        <v>26</v>
      </c>
      <c r="J349" s="1" t="s">
        <v>26</v>
      </c>
      <c r="K349" s="1" t="s">
        <v>25</v>
      </c>
      <c r="L349" s="1" t="s">
        <v>25</v>
      </c>
      <c r="M349" s="1" t="s">
        <v>25</v>
      </c>
      <c r="N349" s="1" t="s">
        <v>25</v>
      </c>
      <c r="O349" s="1" t="s">
        <v>25</v>
      </c>
      <c r="P349" s="1" t="s">
        <v>25</v>
      </c>
      <c r="Q349" s="1" t="s">
        <v>25</v>
      </c>
      <c r="R349" s="1" t="s">
        <v>25</v>
      </c>
      <c r="S349" s="2">
        <v>0</v>
      </c>
    </row>
    <row r="350" spans="1:19" x14ac:dyDescent="0.3">
      <c r="A350" t="s">
        <v>732</v>
      </c>
      <c r="B350" s="5" t="e" cm="1">
        <f t="array" ref="B350">MAX(#REF!,MIN(#REF!,#REF!+SUMPRODUCT(--(FoodData[[#This Row],[Healthy]:[Refined]]="Yes"),#REF!)+FoodData[[#This Row],[Adjust]]))</f>
        <v>#REF!</v>
      </c>
      <c r="C350" s="1" t="e">
        <f>LOOKUP(FoodData[[#This Row],[Score]],#REF!,#REF!)</f>
        <v>#REF!</v>
      </c>
      <c r="D350" t="s">
        <v>342</v>
      </c>
      <c r="E350" t="s">
        <v>28</v>
      </c>
      <c r="F350" t="s">
        <v>22</v>
      </c>
      <c r="G350" t="s">
        <v>23</v>
      </c>
      <c r="H350" t="s">
        <v>733</v>
      </c>
      <c r="I350" s="1" t="s">
        <v>25</v>
      </c>
      <c r="J350" s="1" t="s">
        <v>25</v>
      </c>
      <c r="K350" s="1" t="s">
        <v>26</v>
      </c>
      <c r="L350" s="1" t="s">
        <v>25</v>
      </c>
      <c r="M350" s="1" t="s">
        <v>25</v>
      </c>
      <c r="N350" s="1" t="s">
        <v>26</v>
      </c>
      <c r="O350" s="1" t="s">
        <v>25</v>
      </c>
      <c r="P350" s="1" t="s">
        <v>25</v>
      </c>
      <c r="Q350" s="1" t="s">
        <v>25</v>
      </c>
      <c r="R350" s="1" t="s">
        <v>25</v>
      </c>
      <c r="S350" s="2">
        <v>0</v>
      </c>
    </row>
    <row r="351" spans="1:19" x14ac:dyDescent="0.3">
      <c r="A351" t="s">
        <v>734</v>
      </c>
      <c r="B351" s="5" t="e" cm="1">
        <f t="array" ref="B351">MAX(#REF!,MIN(#REF!,#REF!+SUMPRODUCT(--(FoodData[[#This Row],[Healthy]:[Refined]]="Yes"),#REF!)+FoodData[[#This Row],[Adjust]]))</f>
        <v>#REF!</v>
      </c>
      <c r="C351" s="1" t="e">
        <f>LOOKUP(FoodData[[#This Row],[Score]],#REF!,#REF!)</f>
        <v>#REF!</v>
      </c>
      <c r="D351" t="s">
        <v>342</v>
      </c>
      <c r="E351" t="s">
        <v>28</v>
      </c>
      <c r="F351" t="s">
        <v>22</v>
      </c>
      <c r="G351" t="s">
        <v>29</v>
      </c>
      <c r="H351" t="s">
        <v>735</v>
      </c>
      <c r="I351" s="1" t="s">
        <v>26</v>
      </c>
      <c r="J351" s="1" t="s">
        <v>25</v>
      </c>
      <c r="K351" s="1" t="s">
        <v>26</v>
      </c>
      <c r="L351" s="1" t="s">
        <v>26</v>
      </c>
      <c r="M351" s="1" t="s">
        <v>25</v>
      </c>
      <c r="N351" s="1" t="s">
        <v>25</v>
      </c>
      <c r="O351" s="1" t="s">
        <v>25</v>
      </c>
      <c r="P351" s="1" t="s">
        <v>25</v>
      </c>
      <c r="Q351" s="1" t="s">
        <v>25</v>
      </c>
      <c r="R351" s="1" t="s">
        <v>25</v>
      </c>
      <c r="S351" s="2">
        <v>0</v>
      </c>
    </row>
    <row r="352" spans="1:19" x14ac:dyDescent="0.3">
      <c r="A352" t="s">
        <v>736</v>
      </c>
      <c r="B352" s="5" t="e" cm="1">
        <f t="array" ref="B352">MAX(#REF!,MIN(#REF!,#REF!+SUMPRODUCT(--(FoodData[[#This Row],[Healthy]:[Refined]]="Yes"),#REF!)+FoodData[[#This Row],[Adjust]]))</f>
        <v>#REF!</v>
      </c>
      <c r="C352" s="1" t="e">
        <f>LOOKUP(FoodData[[#This Row],[Score]],#REF!,#REF!)</f>
        <v>#REF!</v>
      </c>
      <c r="D352" t="s">
        <v>342</v>
      </c>
      <c r="E352" t="s">
        <v>28</v>
      </c>
      <c r="F352" t="s">
        <v>22</v>
      </c>
      <c r="G352" t="s">
        <v>29</v>
      </c>
      <c r="H352" t="s">
        <v>737</v>
      </c>
      <c r="I352" s="1" t="s">
        <v>26</v>
      </c>
      <c r="J352" s="1" t="s">
        <v>25</v>
      </c>
      <c r="K352" s="1" t="s">
        <v>25</v>
      </c>
      <c r="L352" s="1" t="s">
        <v>26</v>
      </c>
      <c r="M352" s="1" t="s">
        <v>25</v>
      </c>
      <c r="N352" s="1" t="s">
        <v>26</v>
      </c>
      <c r="O352" s="1" t="s">
        <v>25</v>
      </c>
      <c r="P352" s="1" t="s">
        <v>25</v>
      </c>
      <c r="Q352" s="1" t="s">
        <v>25</v>
      </c>
      <c r="R352" s="1" t="s">
        <v>25</v>
      </c>
      <c r="S352" s="2">
        <v>0</v>
      </c>
    </row>
    <row r="353" spans="1:19" x14ac:dyDescent="0.3">
      <c r="A353" t="s">
        <v>738</v>
      </c>
      <c r="B353" s="5" t="e" cm="1">
        <f t="array" ref="B353">MAX(#REF!,MIN(#REF!,#REF!+SUMPRODUCT(--(FoodData[[#This Row],[Healthy]:[Refined]]="Yes"),#REF!)+FoodData[[#This Row],[Adjust]]))</f>
        <v>#REF!</v>
      </c>
      <c r="C353" s="1" t="e">
        <f>LOOKUP(FoodData[[#This Row],[Score]],#REF!,#REF!)</f>
        <v>#REF!</v>
      </c>
      <c r="D353" t="s">
        <v>342</v>
      </c>
      <c r="E353" t="s">
        <v>28</v>
      </c>
      <c r="F353" t="s">
        <v>22</v>
      </c>
      <c r="G353" t="s">
        <v>23</v>
      </c>
      <c r="H353" t="s">
        <v>739</v>
      </c>
      <c r="I353" s="1" t="s">
        <v>26</v>
      </c>
      <c r="J353" s="1" t="s">
        <v>26</v>
      </c>
      <c r="K353" s="1" t="s">
        <v>26</v>
      </c>
      <c r="L353" s="1" t="s">
        <v>26</v>
      </c>
      <c r="M353" s="1" t="s">
        <v>25</v>
      </c>
      <c r="N353" s="1" t="s">
        <v>25</v>
      </c>
      <c r="O353" s="1" t="s">
        <v>25</v>
      </c>
      <c r="P353" s="1" t="s">
        <v>25</v>
      </c>
      <c r="Q353" s="1" t="s">
        <v>25</v>
      </c>
      <c r="R353" s="1" t="s">
        <v>25</v>
      </c>
      <c r="S353" s="2">
        <v>0</v>
      </c>
    </row>
    <row r="354" spans="1:19" x14ac:dyDescent="0.3">
      <c r="A354" t="s">
        <v>740</v>
      </c>
      <c r="B354" s="5" t="e" cm="1">
        <f t="array" ref="B354">MAX(#REF!,MIN(#REF!,#REF!+SUMPRODUCT(--(FoodData[[#This Row],[Healthy]:[Refined]]="Yes"),#REF!)+FoodData[[#This Row],[Adjust]]))</f>
        <v>#REF!</v>
      </c>
      <c r="C354" s="1" t="e">
        <f>LOOKUP(FoodData[[#This Row],[Score]],#REF!,#REF!)</f>
        <v>#REF!</v>
      </c>
      <c r="D354" t="s">
        <v>342</v>
      </c>
      <c r="E354" t="s">
        <v>28</v>
      </c>
      <c r="F354" t="s">
        <v>22</v>
      </c>
      <c r="G354" t="s">
        <v>29</v>
      </c>
      <c r="H354" t="s">
        <v>741</v>
      </c>
      <c r="I354" s="1" t="s">
        <v>26</v>
      </c>
      <c r="J354" s="1" t="s">
        <v>25</v>
      </c>
      <c r="K354" s="1" t="s">
        <v>25</v>
      </c>
      <c r="L354" s="1" t="s">
        <v>26</v>
      </c>
      <c r="M354" s="1" t="s">
        <v>25</v>
      </c>
      <c r="N354" s="1" t="s">
        <v>26</v>
      </c>
      <c r="O354" s="1" t="s">
        <v>25</v>
      </c>
      <c r="P354" s="1" t="s">
        <v>25</v>
      </c>
      <c r="Q354" s="1" t="s">
        <v>25</v>
      </c>
      <c r="R354" s="1" t="s">
        <v>25</v>
      </c>
      <c r="S354" s="2">
        <v>0</v>
      </c>
    </row>
    <row r="355" spans="1:19" x14ac:dyDescent="0.3">
      <c r="A355" t="s">
        <v>742</v>
      </c>
      <c r="B355" s="5" t="e" cm="1">
        <f t="array" ref="B355">MAX(#REF!,MIN(#REF!,#REF!+SUMPRODUCT(--(FoodData[[#This Row],[Healthy]:[Refined]]="Yes"),#REF!)+FoodData[[#This Row],[Adjust]]))</f>
        <v>#REF!</v>
      </c>
      <c r="C355" s="1" t="e">
        <f>LOOKUP(FoodData[[#This Row],[Score]],#REF!,#REF!)</f>
        <v>#REF!</v>
      </c>
      <c r="D355" t="s">
        <v>342</v>
      </c>
      <c r="E355" t="s">
        <v>28</v>
      </c>
      <c r="F355" t="s">
        <v>22</v>
      </c>
      <c r="G355" t="s">
        <v>23</v>
      </c>
      <c r="H355" t="s">
        <v>743</v>
      </c>
      <c r="I355" s="1" t="s">
        <v>26</v>
      </c>
      <c r="J355" s="1" t="s">
        <v>26</v>
      </c>
      <c r="K355" s="1" t="s">
        <v>26</v>
      </c>
      <c r="L355" s="1" t="s">
        <v>25</v>
      </c>
      <c r="M355" s="1" t="s">
        <v>25</v>
      </c>
      <c r="N355" s="1" t="s">
        <v>25</v>
      </c>
      <c r="O355" s="1" t="s">
        <v>25</v>
      </c>
      <c r="P355" s="1" t="s">
        <v>25</v>
      </c>
      <c r="Q355" s="1" t="s">
        <v>25</v>
      </c>
      <c r="R355" s="1" t="s">
        <v>25</v>
      </c>
      <c r="S355" s="2">
        <v>0</v>
      </c>
    </row>
    <row r="356" spans="1:19" x14ac:dyDescent="0.3">
      <c r="A356" t="s">
        <v>744</v>
      </c>
      <c r="B356" s="5" t="e" cm="1">
        <f t="array" ref="B356">MAX(#REF!,MIN(#REF!,#REF!+SUMPRODUCT(--(FoodData[[#This Row],[Healthy]:[Refined]]="Yes"),#REF!)+FoodData[[#This Row],[Adjust]]))</f>
        <v>#REF!</v>
      </c>
      <c r="C356" s="1" t="e">
        <f>LOOKUP(FoodData[[#This Row],[Score]],#REF!,#REF!)</f>
        <v>#REF!</v>
      </c>
      <c r="D356" t="s">
        <v>342</v>
      </c>
      <c r="E356" t="s">
        <v>28</v>
      </c>
      <c r="F356" t="s">
        <v>22</v>
      </c>
      <c r="G356" t="s">
        <v>23</v>
      </c>
      <c r="H356" t="s">
        <v>745</v>
      </c>
      <c r="I356" s="1" t="s">
        <v>26</v>
      </c>
      <c r="J356" s="1" t="s">
        <v>25</v>
      </c>
      <c r="K356" s="1" t="s">
        <v>25</v>
      </c>
      <c r="L356" s="1" t="s">
        <v>26</v>
      </c>
      <c r="M356" s="1" t="s">
        <v>25</v>
      </c>
      <c r="N356" s="1" t="s">
        <v>25</v>
      </c>
      <c r="O356" s="1" t="s">
        <v>25</v>
      </c>
      <c r="P356" s="1" t="s">
        <v>25</v>
      </c>
      <c r="Q356" s="1" t="s">
        <v>25</v>
      </c>
      <c r="R356" s="1" t="s">
        <v>25</v>
      </c>
      <c r="S356" s="2">
        <v>0</v>
      </c>
    </row>
    <row r="357" spans="1:19" x14ac:dyDescent="0.3">
      <c r="A357" t="s">
        <v>746</v>
      </c>
      <c r="B357" s="5" t="e" cm="1">
        <f t="array" ref="B357">MAX(#REF!,MIN(#REF!,#REF!+SUMPRODUCT(--(FoodData[[#This Row],[Healthy]:[Refined]]="Yes"),#REF!)+FoodData[[#This Row],[Adjust]]))</f>
        <v>#REF!</v>
      </c>
      <c r="C357" s="1" t="e">
        <f>LOOKUP(FoodData[[#This Row],[Score]],#REF!,#REF!)</f>
        <v>#REF!</v>
      </c>
      <c r="D357" t="s">
        <v>342</v>
      </c>
      <c r="E357" t="s">
        <v>28</v>
      </c>
      <c r="F357" t="s">
        <v>22</v>
      </c>
      <c r="G357" t="s">
        <v>29</v>
      </c>
      <c r="H357" t="s">
        <v>747</v>
      </c>
      <c r="I357" s="1" t="s">
        <v>26</v>
      </c>
      <c r="J357" s="1" t="s">
        <v>25</v>
      </c>
      <c r="K357" s="1" t="s">
        <v>25</v>
      </c>
      <c r="L357" s="1" t="s">
        <v>26</v>
      </c>
      <c r="M357" s="1" t="s">
        <v>25</v>
      </c>
      <c r="N357" s="1" t="s">
        <v>26</v>
      </c>
      <c r="O357" s="1" t="s">
        <v>25</v>
      </c>
      <c r="P357" s="1" t="s">
        <v>25</v>
      </c>
      <c r="Q357" s="1" t="s">
        <v>25</v>
      </c>
      <c r="R357" s="1" t="s">
        <v>25</v>
      </c>
      <c r="S357" s="2">
        <v>0</v>
      </c>
    </row>
    <row r="358" spans="1:19" x14ac:dyDescent="0.3">
      <c r="A358" t="s">
        <v>748</v>
      </c>
      <c r="B358" s="5" t="e" cm="1">
        <f t="array" ref="B358">MAX(#REF!,MIN(#REF!,#REF!+SUMPRODUCT(--(FoodData[[#This Row],[Healthy]:[Refined]]="Yes"),#REF!)+FoodData[[#This Row],[Adjust]]))</f>
        <v>#REF!</v>
      </c>
      <c r="C358" s="1" t="e">
        <f>LOOKUP(FoodData[[#This Row],[Score]],#REF!,#REF!)</f>
        <v>#REF!</v>
      </c>
      <c r="D358" t="s">
        <v>342</v>
      </c>
      <c r="E358" t="s">
        <v>28</v>
      </c>
      <c r="F358" t="s">
        <v>22</v>
      </c>
      <c r="G358" t="s">
        <v>23</v>
      </c>
      <c r="H358" t="s">
        <v>749</v>
      </c>
      <c r="I358" s="1" t="s">
        <v>26</v>
      </c>
      <c r="J358" s="1" t="s">
        <v>26</v>
      </c>
      <c r="K358" s="1" t="s">
        <v>26</v>
      </c>
      <c r="L358" s="1" t="s">
        <v>26</v>
      </c>
      <c r="M358" s="1" t="s">
        <v>25</v>
      </c>
      <c r="N358" s="1" t="s">
        <v>25</v>
      </c>
      <c r="O358" s="1" t="s">
        <v>25</v>
      </c>
      <c r="P358" s="1" t="s">
        <v>25</v>
      </c>
      <c r="Q358" s="1" t="s">
        <v>25</v>
      </c>
      <c r="R358" s="1" t="s">
        <v>25</v>
      </c>
      <c r="S358" s="2">
        <v>0</v>
      </c>
    </row>
    <row r="359" spans="1:19" x14ac:dyDescent="0.3">
      <c r="A359" t="s">
        <v>750</v>
      </c>
      <c r="B359" s="5" t="e" cm="1">
        <f t="array" ref="B359">MAX(#REF!,MIN(#REF!,#REF!+SUMPRODUCT(--(FoodData[[#This Row],[Healthy]:[Refined]]="Yes"),#REF!)+FoodData[[#This Row],[Adjust]]))</f>
        <v>#REF!</v>
      </c>
      <c r="C359" s="1" t="e">
        <f>LOOKUP(FoodData[[#This Row],[Score]],#REF!,#REF!)</f>
        <v>#REF!</v>
      </c>
      <c r="D359" t="s">
        <v>342</v>
      </c>
      <c r="E359" t="s">
        <v>28</v>
      </c>
      <c r="F359" t="s">
        <v>22</v>
      </c>
      <c r="G359" t="s">
        <v>23</v>
      </c>
      <c r="H359" t="s">
        <v>751</v>
      </c>
      <c r="I359" s="1" t="s">
        <v>25</v>
      </c>
      <c r="J359" s="1" t="s">
        <v>25</v>
      </c>
      <c r="K359" s="1" t="s">
        <v>26</v>
      </c>
      <c r="L359" s="1" t="s">
        <v>25</v>
      </c>
      <c r="M359" s="1" t="s">
        <v>25</v>
      </c>
      <c r="N359" s="1" t="s">
        <v>26</v>
      </c>
      <c r="O359" s="1" t="s">
        <v>25</v>
      </c>
      <c r="P359" s="1" t="s">
        <v>26</v>
      </c>
      <c r="Q359" s="1" t="s">
        <v>25</v>
      </c>
      <c r="R359" s="1" t="s">
        <v>25</v>
      </c>
      <c r="S359" s="2">
        <v>0</v>
      </c>
    </row>
    <row r="360" spans="1:19" x14ac:dyDescent="0.3">
      <c r="A360" t="s">
        <v>752</v>
      </c>
      <c r="B360" s="5" t="e" cm="1">
        <f t="array" ref="B360">MAX(#REF!,MIN(#REF!,#REF!+SUMPRODUCT(--(FoodData[[#This Row],[Healthy]:[Refined]]="Yes"),#REF!)+FoodData[[#This Row],[Adjust]]))</f>
        <v>#REF!</v>
      </c>
      <c r="C360" s="1" t="e">
        <f>LOOKUP(FoodData[[#This Row],[Score]],#REF!,#REF!)</f>
        <v>#REF!</v>
      </c>
      <c r="D360" t="s">
        <v>342</v>
      </c>
      <c r="E360" t="s">
        <v>28</v>
      </c>
      <c r="F360" t="s">
        <v>22</v>
      </c>
      <c r="G360" t="s">
        <v>23</v>
      </c>
      <c r="H360" t="s">
        <v>753</v>
      </c>
      <c r="I360" s="1" t="s">
        <v>25</v>
      </c>
      <c r="J360" s="1" t="s">
        <v>25</v>
      </c>
      <c r="K360" s="1" t="s">
        <v>25</v>
      </c>
      <c r="L360" s="1" t="s">
        <v>25</v>
      </c>
      <c r="M360" s="1" t="s">
        <v>25</v>
      </c>
      <c r="N360" s="1" t="s">
        <v>26</v>
      </c>
      <c r="O360" s="1" t="s">
        <v>25</v>
      </c>
      <c r="P360" s="1" t="s">
        <v>25</v>
      </c>
      <c r="Q360" s="1" t="s">
        <v>25</v>
      </c>
      <c r="R360" s="1" t="s">
        <v>25</v>
      </c>
      <c r="S360" s="2">
        <v>0</v>
      </c>
    </row>
    <row r="361" spans="1:19" x14ac:dyDescent="0.3">
      <c r="A361" t="s">
        <v>754</v>
      </c>
      <c r="B361" s="5" t="e" cm="1">
        <f t="array" ref="B361">MAX(#REF!,MIN(#REF!,#REF!+SUMPRODUCT(--(FoodData[[#This Row],[Healthy]:[Refined]]="Yes"),#REF!)+FoodData[[#This Row],[Adjust]]))</f>
        <v>#REF!</v>
      </c>
      <c r="C361" s="1" t="e">
        <f>LOOKUP(FoodData[[#This Row],[Score]],#REF!,#REF!)</f>
        <v>#REF!</v>
      </c>
      <c r="D361" t="s">
        <v>342</v>
      </c>
      <c r="E361" t="s">
        <v>28</v>
      </c>
      <c r="F361" t="s">
        <v>22</v>
      </c>
      <c r="G361" t="s">
        <v>29</v>
      </c>
      <c r="H361" t="s">
        <v>755</v>
      </c>
      <c r="I361" s="1" t="s">
        <v>26</v>
      </c>
      <c r="J361" s="1" t="s">
        <v>25</v>
      </c>
      <c r="K361" s="1" t="s">
        <v>25</v>
      </c>
      <c r="L361" s="1" t="s">
        <v>26</v>
      </c>
      <c r="M361" s="1" t="s">
        <v>25</v>
      </c>
      <c r="N361" s="1" t="s">
        <v>26</v>
      </c>
      <c r="O361" s="1" t="s">
        <v>25</v>
      </c>
      <c r="P361" s="1" t="s">
        <v>25</v>
      </c>
      <c r="Q361" s="1" t="s">
        <v>25</v>
      </c>
      <c r="R361" s="1" t="s">
        <v>25</v>
      </c>
      <c r="S361" s="2">
        <v>0</v>
      </c>
    </row>
    <row r="362" spans="1:19" x14ac:dyDescent="0.3">
      <c r="A362" t="s">
        <v>756</v>
      </c>
      <c r="B362" s="5" t="e" cm="1">
        <f t="array" ref="B362">MAX(#REF!,MIN(#REF!,#REF!+SUMPRODUCT(--(FoodData[[#This Row],[Healthy]:[Refined]]="Yes"),#REF!)+FoodData[[#This Row],[Adjust]]))</f>
        <v>#REF!</v>
      </c>
      <c r="C362" s="1" t="e">
        <f>LOOKUP(FoodData[[#This Row],[Score]],#REF!,#REF!)</f>
        <v>#REF!</v>
      </c>
      <c r="D362" t="s">
        <v>342</v>
      </c>
      <c r="E362" t="s">
        <v>28</v>
      </c>
      <c r="F362" t="s">
        <v>22</v>
      </c>
      <c r="G362" t="s">
        <v>23</v>
      </c>
      <c r="H362" t="s">
        <v>757</v>
      </c>
      <c r="I362" s="1" t="s">
        <v>26</v>
      </c>
      <c r="J362" s="1" t="s">
        <v>25</v>
      </c>
      <c r="K362" s="1" t="s">
        <v>26</v>
      </c>
      <c r="L362" s="1" t="s">
        <v>26</v>
      </c>
      <c r="M362" s="1" t="s">
        <v>25</v>
      </c>
      <c r="N362" s="1" t="s">
        <v>26</v>
      </c>
      <c r="O362" s="1" t="s">
        <v>25</v>
      </c>
      <c r="P362" s="1" t="s">
        <v>25</v>
      </c>
      <c r="Q362" s="1" t="s">
        <v>25</v>
      </c>
      <c r="R362" s="1" t="s">
        <v>25</v>
      </c>
      <c r="S362" s="2">
        <v>0</v>
      </c>
    </row>
    <row r="363" spans="1:19" x14ac:dyDescent="0.3">
      <c r="A363" t="s">
        <v>758</v>
      </c>
      <c r="B363" s="5" t="e" cm="1">
        <f t="array" ref="B363">MAX(#REF!,MIN(#REF!,#REF!+SUMPRODUCT(--(FoodData[[#This Row],[Healthy]:[Refined]]="Yes"),#REF!)+FoodData[[#This Row],[Adjust]]))</f>
        <v>#REF!</v>
      </c>
      <c r="C363" s="1" t="e">
        <f>LOOKUP(FoodData[[#This Row],[Score]],#REF!,#REF!)</f>
        <v>#REF!</v>
      </c>
      <c r="D363" t="s">
        <v>342</v>
      </c>
      <c r="E363" t="s">
        <v>28</v>
      </c>
      <c r="F363" t="s">
        <v>22</v>
      </c>
      <c r="G363" t="s">
        <v>23</v>
      </c>
      <c r="H363" t="s">
        <v>759</v>
      </c>
      <c r="I363" s="1" t="s">
        <v>26</v>
      </c>
      <c r="J363" s="1" t="s">
        <v>25</v>
      </c>
      <c r="K363" s="1" t="s">
        <v>26</v>
      </c>
      <c r="L363" s="1" t="s">
        <v>26</v>
      </c>
      <c r="M363" s="1" t="s">
        <v>25</v>
      </c>
      <c r="N363" s="1" t="s">
        <v>26</v>
      </c>
      <c r="O363" s="1" t="s">
        <v>25</v>
      </c>
      <c r="P363" s="1" t="s">
        <v>25</v>
      </c>
      <c r="Q363" s="1" t="s">
        <v>25</v>
      </c>
      <c r="R363" s="1" t="s">
        <v>25</v>
      </c>
      <c r="S363" s="2">
        <v>0</v>
      </c>
    </row>
    <row r="364" spans="1:19" x14ac:dyDescent="0.3">
      <c r="A364" t="s">
        <v>760</v>
      </c>
      <c r="B364" s="5" t="e" cm="1">
        <f t="array" ref="B364">MAX(#REF!,MIN(#REF!,#REF!+SUMPRODUCT(--(FoodData[[#This Row],[Healthy]:[Refined]]="Yes"),#REF!)+FoodData[[#This Row],[Adjust]]))</f>
        <v>#REF!</v>
      </c>
      <c r="C364" s="1" t="e">
        <f>LOOKUP(FoodData[[#This Row],[Score]],#REF!,#REF!)</f>
        <v>#REF!</v>
      </c>
      <c r="D364" t="s">
        <v>342</v>
      </c>
      <c r="E364" t="s">
        <v>28</v>
      </c>
      <c r="F364" t="s">
        <v>22</v>
      </c>
      <c r="G364" t="s">
        <v>23</v>
      </c>
      <c r="H364" t="s">
        <v>761</v>
      </c>
      <c r="I364" s="1" t="s">
        <v>26</v>
      </c>
      <c r="J364" s="1" t="s">
        <v>25</v>
      </c>
      <c r="K364" s="1" t="s">
        <v>26</v>
      </c>
      <c r="L364" s="1" t="s">
        <v>26</v>
      </c>
      <c r="M364" s="1" t="s">
        <v>25</v>
      </c>
      <c r="N364" s="1" t="s">
        <v>26</v>
      </c>
      <c r="O364" s="1" t="s">
        <v>25</v>
      </c>
      <c r="P364" s="1" t="s">
        <v>25</v>
      </c>
      <c r="Q364" s="1" t="s">
        <v>25</v>
      </c>
      <c r="R364" s="1" t="s">
        <v>25</v>
      </c>
      <c r="S364" s="2">
        <v>0</v>
      </c>
    </row>
    <row r="365" spans="1:19" x14ac:dyDescent="0.3">
      <c r="A365" t="s">
        <v>762</v>
      </c>
      <c r="B365" s="5" t="e" cm="1">
        <f t="array" ref="B365">MAX(#REF!,MIN(#REF!,#REF!+SUMPRODUCT(--(FoodData[[#This Row],[Healthy]:[Refined]]="Yes"),#REF!)+FoodData[[#This Row],[Adjust]]))</f>
        <v>#REF!</v>
      </c>
      <c r="C365" s="1" t="e">
        <f>LOOKUP(FoodData[[#This Row],[Score]],#REF!,#REF!)</f>
        <v>#REF!</v>
      </c>
      <c r="D365" t="s">
        <v>342</v>
      </c>
      <c r="E365" t="s">
        <v>28</v>
      </c>
      <c r="F365" t="s">
        <v>22</v>
      </c>
      <c r="G365" t="s">
        <v>23</v>
      </c>
      <c r="H365" t="s">
        <v>763</v>
      </c>
      <c r="I365" s="1" t="s">
        <v>26</v>
      </c>
      <c r="J365" s="1" t="s">
        <v>25</v>
      </c>
      <c r="K365" s="1" t="s">
        <v>26</v>
      </c>
      <c r="L365" s="1" t="s">
        <v>26</v>
      </c>
      <c r="M365" s="1" t="s">
        <v>25</v>
      </c>
      <c r="N365" s="1" t="s">
        <v>26</v>
      </c>
      <c r="O365" s="1" t="s">
        <v>25</v>
      </c>
      <c r="P365" s="1" t="s">
        <v>25</v>
      </c>
      <c r="Q365" s="1" t="s">
        <v>25</v>
      </c>
      <c r="R365" s="1" t="s">
        <v>25</v>
      </c>
      <c r="S365" s="2">
        <v>0</v>
      </c>
    </row>
    <row r="366" spans="1:19" x14ac:dyDescent="0.3">
      <c r="A366" t="s">
        <v>764</v>
      </c>
      <c r="B366" s="5" t="e" cm="1">
        <f t="array" ref="B366">MAX(#REF!,MIN(#REF!,#REF!+SUMPRODUCT(--(FoodData[[#This Row],[Healthy]:[Refined]]="Yes"),#REF!)+FoodData[[#This Row],[Adjust]]))</f>
        <v>#REF!</v>
      </c>
      <c r="C366" s="1" t="e">
        <f>LOOKUP(FoodData[[#This Row],[Score]],#REF!,#REF!)</f>
        <v>#REF!</v>
      </c>
      <c r="D366" t="s">
        <v>342</v>
      </c>
      <c r="E366" t="s">
        <v>28</v>
      </c>
      <c r="F366" t="s">
        <v>22</v>
      </c>
      <c r="G366" t="s">
        <v>23</v>
      </c>
      <c r="H366" t="s">
        <v>765</v>
      </c>
      <c r="I366" s="1" t="s">
        <v>26</v>
      </c>
      <c r="J366" s="1" t="s">
        <v>26</v>
      </c>
      <c r="K366" s="1" t="s">
        <v>25</v>
      </c>
      <c r="L366" s="1" t="s">
        <v>25</v>
      </c>
      <c r="M366" s="1" t="s">
        <v>25</v>
      </c>
      <c r="N366" s="1" t="s">
        <v>25</v>
      </c>
      <c r="O366" s="1" t="s">
        <v>25</v>
      </c>
      <c r="P366" s="1" t="s">
        <v>25</v>
      </c>
      <c r="Q366" s="1" t="s">
        <v>25</v>
      </c>
      <c r="R366" s="1" t="s">
        <v>25</v>
      </c>
      <c r="S366" s="2">
        <v>0</v>
      </c>
    </row>
    <row r="367" spans="1:19" x14ac:dyDescent="0.3">
      <c r="A367" t="s">
        <v>766</v>
      </c>
      <c r="B367" s="5" t="e" cm="1">
        <f t="array" ref="B367">MAX(#REF!,MIN(#REF!,#REF!+SUMPRODUCT(--(FoodData[[#This Row],[Healthy]:[Refined]]="Yes"),#REF!)+FoodData[[#This Row],[Adjust]]))</f>
        <v>#REF!</v>
      </c>
      <c r="C367" s="1" t="e">
        <f>LOOKUP(FoodData[[#This Row],[Score]],#REF!,#REF!)</f>
        <v>#REF!</v>
      </c>
      <c r="D367" t="s">
        <v>342</v>
      </c>
      <c r="E367" t="s">
        <v>28</v>
      </c>
      <c r="F367" t="s">
        <v>22</v>
      </c>
      <c r="G367" t="s">
        <v>29</v>
      </c>
      <c r="H367" t="s">
        <v>767</v>
      </c>
      <c r="I367" s="1" t="s">
        <v>26</v>
      </c>
      <c r="J367" s="1" t="s">
        <v>25</v>
      </c>
      <c r="K367" s="1" t="s">
        <v>25</v>
      </c>
      <c r="L367" s="1" t="s">
        <v>26</v>
      </c>
      <c r="M367" s="1" t="s">
        <v>25</v>
      </c>
      <c r="N367" s="1" t="s">
        <v>26</v>
      </c>
      <c r="O367" s="1" t="s">
        <v>25</v>
      </c>
      <c r="P367" s="1" t="s">
        <v>25</v>
      </c>
      <c r="Q367" s="1" t="s">
        <v>25</v>
      </c>
      <c r="R367" s="1" t="s">
        <v>25</v>
      </c>
      <c r="S367" s="2">
        <v>0</v>
      </c>
    </row>
    <row r="368" spans="1:19" x14ac:dyDescent="0.3">
      <c r="A368" t="s">
        <v>768</v>
      </c>
      <c r="B368" s="5" t="e" cm="1">
        <f t="array" ref="B368">MAX(#REF!,MIN(#REF!,#REF!+SUMPRODUCT(--(FoodData[[#This Row],[Healthy]:[Refined]]="Yes"),#REF!)+FoodData[[#This Row],[Adjust]]))</f>
        <v>#REF!</v>
      </c>
      <c r="C368" s="1" t="e">
        <f>LOOKUP(FoodData[[#This Row],[Score]],#REF!,#REF!)</f>
        <v>#REF!</v>
      </c>
      <c r="D368" t="s">
        <v>342</v>
      </c>
      <c r="E368" t="s">
        <v>28</v>
      </c>
      <c r="F368" t="s">
        <v>22</v>
      </c>
      <c r="G368" t="s">
        <v>29</v>
      </c>
      <c r="H368" t="s">
        <v>769</v>
      </c>
      <c r="I368" s="1" t="s">
        <v>26</v>
      </c>
      <c r="J368" s="1" t="s">
        <v>25</v>
      </c>
      <c r="K368" s="1" t="s">
        <v>25</v>
      </c>
      <c r="L368" s="1" t="s">
        <v>26</v>
      </c>
      <c r="M368" s="1" t="s">
        <v>25</v>
      </c>
      <c r="N368" s="1" t="s">
        <v>26</v>
      </c>
      <c r="O368" s="1" t="s">
        <v>25</v>
      </c>
      <c r="P368" s="1" t="s">
        <v>25</v>
      </c>
      <c r="Q368" s="1" t="s">
        <v>25</v>
      </c>
      <c r="R368" s="1" t="s">
        <v>25</v>
      </c>
      <c r="S368" s="2">
        <v>0</v>
      </c>
    </row>
    <row r="369" spans="1:19" x14ac:dyDescent="0.3">
      <c r="A369" t="s">
        <v>770</v>
      </c>
      <c r="B369" s="5" t="e" cm="1">
        <f t="array" ref="B369">MAX(#REF!,MIN(#REF!,#REF!+SUMPRODUCT(--(FoodData[[#This Row],[Healthy]:[Refined]]="Yes"),#REF!)+FoodData[[#This Row],[Adjust]]))</f>
        <v>#REF!</v>
      </c>
      <c r="C369" s="1" t="e">
        <f>LOOKUP(FoodData[[#This Row],[Score]],#REF!,#REF!)</f>
        <v>#REF!</v>
      </c>
      <c r="D369" t="s">
        <v>342</v>
      </c>
      <c r="E369" t="s">
        <v>28</v>
      </c>
      <c r="F369" t="s">
        <v>22</v>
      </c>
      <c r="G369" t="s">
        <v>29</v>
      </c>
      <c r="H369" t="s">
        <v>771</v>
      </c>
      <c r="I369" s="1" t="s">
        <v>26</v>
      </c>
      <c r="J369" s="1" t="s">
        <v>25</v>
      </c>
      <c r="K369" s="1" t="s">
        <v>25</v>
      </c>
      <c r="L369" s="1" t="s">
        <v>26</v>
      </c>
      <c r="M369" s="1" t="s">
        <v>25</v>
      </c>
      <c r="N369" s="1" t="s">
        <v>26</v>
      </c>
      <c r="O369" s="1" t="s">
        <v>25</v>
      </c>
      <c r="P369" s="1" t="s">
        <v>25</v>
      </c>
      <c r="Q369" s="1" t="s">
        <v>25</v>
      </c>
      <c r="R369" s="1" t="s">
        <v>25</v>
      </c>
      <c r="S369" s="2">
        <v>0</v>
      </c>
    </row>
    <row r="370" spans="1:19" x14ac:dyDescent="0.3">
      <c r="A370" t="s">
        <v>772</v>
      </c>
      <c r="B370" s="5" t="e" cm="1">
        <f t="array" ref="B370">MAX(#REF!,MIN(#REF!,#REF!+SUMPRODUCT(--(FoodData[[#This Row],[Healthy]:[Refined]]="Yes"),#REF!)+FoodData[[#This Row],[Adjust]]))</f>
        <v>#REF!</v>
      </c>
      <c r="C370" s="1" t="e">
        <f>LOOKUP(FoodData[[#This Row],[Score]],#REF!,#REF!)</f>
        <v>#REF!</v>
      </c>
      <c r="D370" t="s">
        <v>342</v>
      </c>
      <c r="E370" t="s">
        <v>28</v>
      </c>
      <c r="F370" t="s">
        <v>22</v>
      </c>
      <c r="G370" t="s">
        <v>23</v>
      </c>
      <c r="H370" t="s">
        <v>773</v>
      </c>
      <c r="I370" s="1" t="s">
        <v>26</v>
      </c>
      <c r="J370" s="1" t="s">
        <v>25</v>
      </c>
      <c r="K370" s="1" t="s">
        <v>26</v>
      </c>
      <c r="L370" s="1" t="s">
        <v>26</v>
      </c>
      <c r="M370" s="1" t="s">
        <v>25</v>
      </c>
      <c r="N370" s="1" t="s">
        <v>25</v>
      </c>
      <c r="O370" s="1" t="s">
        <v>25</v>
      </c>
      <c r="P370" s="1" t="s">
        <v>25</v>
      </c>
      <c r="Q370" s="1" t="s">
        <v>25</v>
      </c>
      <c r="R370" s="1" t="s">
        <v>25</v>
      </c>
      <c r="S370" s="2">
        <v>0</v>
      </c>
    </row>
    <row r="371" spans="1:19" x14ac:dyDescent="0.3">
      <c r="A371" t="s">
        <v>774</v>
      </c>
      <c r="B371" s="5" t="e" cm="1">
        <f t="array" ref="B371">MAX(#REF!,MIN(#REF!,#REF!+SUMPRODUCT(--(FoodData[[#This Row],[Healthy]:[Refined]]="Yes"),#REF!)+FoodData[[#This Row],[Adjust]]))</f>
        <v>#REF!</v>
      </c>
      <c r="C371" s="1" t="e">
        <f>LOOKUP(FoodData[[#This Row],[Score]],#REF!,#REF!)</f>
        <v>#REF!</v>
      </c>
      <c r="D371" t="s">
        <v>342</v>
      </c>
      <c r="E371" t="s">
        <v>28</v>
      </c>
      <c r="F371" t="s">
        <v>22</v>
      </c>
      <c r="G371" t="s">
        <v>23</v>
      </c>
      <c r="H371" t="s">
        <v>775</v>
      </c>
      <c r="I371" s="1" t="s">
        <v>26</v>
      </c>
      <c r="J371" s="1" t="s">
        <v>26</v>
      </c>
      <c r="K371" s="1" t="s">
        <v>26</v>
      </c>
      <c r="L371" s="1" t="s">
        <v>26</v>
      </c>
      <c r="M371" s="1" t="s">
        <v>25</v>
      </c>
      <c r="N371" s="1" t="s">
        <v>25</v>
      </c>
      <c r="O371" s="1" t="s">
        <v>25</v>
      </c>
      <c r="P371" s="1" t="s">
        <v>25</v>
      </c>
      <c r="Q371" s="1" t="s">
        <v>25</v>
      </c>
      <c r="R371" s="1" t="s">
        <v>25</v>
      </c>
      <c r="S371" s="2">
        <v>0</v>
      </c>
    </row>
    <row r="372" spans="1:19" x14ac:dyDescent="0.3">
      <c r="A372" t="s">
        <v>776</v>
      </c>
      <c r="B372" s="5" t="e" cm="1">
        <f t="array" ref="B372">MAX(#REF!,MIN(#REF!,#REF!+SUMPRODUCT(--(FoodData[[#This Row],[Healthy]:[Refined]]="Yes"),#REF!)+FoodData[[#This Row],[Adjust]]))</f>
        <v>#REF!</v>
      </c>
      <c r="C372" s="1" t="e">
        <f>LOOKUP(FoodData[[#This Row],[Score]],#REF!,#REF!)</f>
        <v>#REF!</v>
      </c>
      <c r="D372" t="s">
        <v>342</v>
      </c>
      <c r="E372" t="s">
        <v>28</v>
      </c>
      <c r="F372" t="s">
        <v>22</v>
      </c>
      <c r="G372" t="s">
        <v>23</v>
      </c>
      <c r="H372" t="s">
        <v>777</v>
      </c>
      <c r="I372" s="1" t="s">
        <v>25</v>
      </c>
      <c r="J372" s="1" t="s">
        <v>25</v>
      </c>
      <c r="K372" s="1" t="s">
        <v>26</v>
      </c>
      <c r="L372" s="1" t="s">
        <v>25</v>
      </c>
      <c r="M372" s="1" t="s">
        <v>25</v>
      </c>
      <c r="N372" s="1" t="s">
        <v>25</v>
      </c>
      <c r="O372" s="1" t="s">
        <v>25</v>
      </c>
      <c r="P372" s="1" t="s">
        <v>26</v>
      </c>
      <c r="Q372" s="1" t="s">
        <v>25</v>
      </c>
      <c r="R372" s="1" t="s">
        <v>26</v>
      </c>
      <c r="S372" s="2">
        <v>0</v>
      </c>
    </row>
    <row r="373" spans="1:19" x14ac:dyDescent="0.3">
      <c r="A373" t="s">
        <v>778</v>
      </c>
      <c r="B373" s="5" t="e" cm="1">
        <f t="array" ref="B373">MAX(#REF!,MIN(#REF!,#REF!+SUMPRODUCT(--(FoodData[[#This Row],[Healthy]:[Refined]]="Yes"),#REF!)+FoodData[[#This Row],[Adjust]]))</f>
        <v>#REF!</v>
      </c>
      <c r="C373" s="1" t="e">
        <f>LOOKUP(FoodData[[#This Row],[Score]],#REF!,#REF!)</f>
        <v>#REF!</v>
      </c>
      <c r="D373" t="s">
        <v>342</v>
      </c>
      <c r="E373" t="s">
        <v>28</v>
      </c>
      <c r="F373" t="s">
        <v>22</v>
      </c>
      <c r="G373" t="s">
        <v>29</v>
      </c>
      <c r="H373" t="s">
        <v>779</v>
      </c>
      <c r="I373" s="1" t="s">
        <v>26</v>
      </c>
      <c r="J373" s="1" t="s">
        <v>25</v>
      </c>
      <c r="K373" s="1" t="s">
        <v>25</v>
      </c>
      <c r="L373" s="1" t="s">
        <v>25</v>
      </c>
      <c r="M373" s="1" t="s">
        <v>25</v>
      </c>
      <c r="N373" s="1" t="s">
        <v>25</v>
      </c>
      <c r="O373" s="1" t="s">
        <v>25</v>
      </c>
      <c r="P373" s="1" t="s">
        <v>25</v>
      </c>
      <c r="Q373" s="1" t="s">
        <v>25</v>
      </c>
      <c r="R373" s="1" t="s">
        <v>25</v>
      </c>
      <c r="S373" s="2">
        <v>0</v>
      </c>
    </row>
    <row r="374" spans="1:19" x14ac:dyDescent="0.3">
      <c r="A374" t="s">
        <v>780</v>
      </c>
      <c r="B374" s="5" t="e" cm="1">
        <f t="array" ref="B374">MAX(#REF!,MIN(#REF!,#REF!+SUMPRODUCT(--(FoodData[[#This Row],[Healthy]:[Refined]]="Yes"),#REF!)+FoodData[[#This Row],[Adjust]]))</f>
        <v>#REF!</v>
      </c>
      <c r="C374" s="1" t="e">
        <f>LOOKUP(FoodData[[#This Row],[Score]],#REF!,#REF!)</f>
        <v>#REF!</v>
      </c>
      <c r="D374" t="s">
        <v>342</v>
      </c>
      <c r="E374" t="s">
        <v>28</v>
      </c>
      <c r="F374" t="s">
        <v>22</v>
      </c>
      <c r="G374" t="s">
        <v>23</v>
      </c>
      <c r="H374" t="s">
        <v>781</v>
      </c>
      <c r="I374" s="1" t="s">
        <v>26</v>
      </c>
      <c r="J374" s="1" t="s">
        <v>26</v>
      </c>
      <c r="K374" s="1" t="s">
        <v>25</v>
      </c>
      <c r="L374" s="1" t="s">
        <v>26</v>
      </c>
      <c r="M374" s="1" t="s">
        <v>25</v>
      </c>
      <c r="N374" s="1" t="s">
        <v>25</v>
      </c>
      <c r="O374" s="1" t="s">
        <v>25</v>
      </c>
      <c r="P374" s="1" t="s">
        <v>25</v>
      </c>
      <c r="Q374" s="1" t="s">
        <v>25</v>
      </c>
      <c r="R374" s="1" t="s">
        <v>25</v>
      </c>
      <c r="S374" s="2">
        <v>0</v>
      </c>
    </row>
    <row r="375" spans="1:19" x14ac:dyDescent="0.3">
      <c r="A375" t="s">
        <v>782</v>
      </c>
      <c r="B375" s="5" t="e" cm="1">
        <f t="array" ref="B375">MAX(#REF!,MIN(#REF!,#REF!+SUMPRODUCT(--(FoodData[[#This Row],[Healthy]:[Refined]]="Yes"),#REF!)+FoodData[[#This Row],[Adjust]]))</f>
        <v>#REF!</v>
      </c>
      <c r="C375" s="1" t="e">
        <f>LOOKUP(FoodData[[#This Row],[Score]],#REF!,#REF!)</f>
        <v>#REF!</v>
      </c>
      <c r="D375" t="s">
        <v>342</v>
      </c>
      <c r="E375" t="s">
        <v>28</v>
      </c>
      <c r="F375" t="s">
        <v>22</v>
      </c>
      <c r="G375" t="s">
        <v>23</v>
      </c>
      <c r="H375" t="s">
        <v>783</v>
      </c>
      <c r="I375" s="1" t="s">
        <v>25</v>
      </c>
      <c r="J375" s="1" t="s">
        <v>26</v>
      </c>
      <c r="K375" s="1" t="s">
        <v>25</v>
      </c>
      <c r="L375" s="1" t="s">
        <v>26</v>
      </c>
      <c r="M375" s="1" t="s">
        <v>25</v>
      </c>
      <c r="N375" s="1" t="s">
        <v>25</v>
      </c>
      <c r="O375" s="1" t="s">
        <v>26</v>
      </c>
      <c r="P375" s="1" t="s">
        <v>25</v>
      </c>
      <c r="Q375" s="1" t="s">
        <v>25</v>
      </c>
      <c r="R375" s="1" t="s">
        <v>25</v>
      </c>
      <c r="S375" s="2">
        <v>0</v>
      </c>
    </row>
    <row r="376" spans="1:19" x14ac:dyDescent="0.3">
      <c r="A376" t="s">
        <v>784</v>
      </c>
      <c r="B376" s="5" t="e" cm="1">
        <f t="array" ref="B376">MAX(#REF!,MIN(#REF!,#REF!+SUMPRODUCT(--(FoodData[[#This Row],[Healthy]:[Refined]]="Yes"),#REF!)+FoodData[[#This Row],[Adjust]]))</f>
        <v>#REF!</v>
      </c>
      <c r="C376" s="1" t="e">
        <f>LOOKUP(FoodData[[#This Row],[Score]],#REF!,#REF!)</f>
        <v>#REF!</v>
      </c>
      <c r="D376" t="s">
        <v>342</v>
      </c>
      <c r="E376" t="s">
        <v>28</v>
      </c>
      <c r="F376" t="s">
        <v>22</v>
      </c>
      <c r="G376" t="s">
        <v>23</v>
      </c>
      <c r="H376" t="s">
        <v>785</v>
      </c>
      <c r="I376" s="1" t="s">
        <v>25</v>
      </c>
      <c r="J376" s="1" t="s">
        <v>25</v>
      </c>
      <c r="K376" s="1" t="s">
        <v>25</v>
      </c>
      <c r="L376" s="1" t="s">
        <v>25</v>
      </c>
      <c r="M376" s="1" t="s">
        <v>26</v>
      </c>
      <c r="N376" s="1" t="s">
        <v>25</v>
      </c>
      <c r="O376" s="1" t="s">
        <v>25</v>
      </c>
      <c r="P376" s="1" t="s">
        <v>26</v>
      </c>
      <c r="Q376" s="1" t="s">
        <v>25</v>
      </c>
      <c r="R376" s="1" t="s">
        <v>25</v>
      </c>
      <c r="S376" s="2">
        <v>0</v>
      </c>
    </row>
    <row r="377" spans="1:19" x14ac:dyDescent="0.3">
      <c r="A377" t="s">
        <v>786</v>
      </c>
      <c r="B377" s="5" t="e" cm="1">
        <f t="array" ref="B377">MAX(#REF!,MIN(#REF!,#REF!+SUMPRODUCT(--(FoodData[[#This Row],[Healthy]:[Refined]]="Yes"),#REF!)+FoodData[[#This Row],[Adjust]]))</f>
        <v>#REF!</v>
      </c>
      <c r="C377" s="1" t="e">
        <f>LOOKUP(FoodData[[#This Row],[Score]],#REF!,#REF!)</f>
        <v>#REF!</v>
      </c>
      <c r="D377" t="s">
        <v>342</v>
      </c>
      <c r="E377" t="s">
        <v>28</v>
      </c>
      <c r="F377" t="s">
        <v>22</v>
      </c>
      <c r="G377" t="s">
        <v>23</v>
      </c>
      <c r="H377" t="s">
        <v>787</v>
      </c>
      <c r="I377" s="1" t="s">
        <v>25</v>
      </c>
      <c r="J377" s="1" t="s">
        <v>25</v>
      </c>
      <c r="K377" s="1" t="s">
        <v>25</v>
      </c>
      <c r="L377" s="1" t="s">
        <v>25</v>
      </c>
      <c r="M377" s="1" t="s">
        <v>26</v>
      </c>
      <c r="N377" s="1" t="s">
        <v>25</v>
      </c>
      <c r="O377" s="1" t="s">
        <v>25</v>
      </c>
      <c r="P377" s="1" t="s">
        <v>25</v>
      </c>
      <c r="Q377" s="1" t="s">
        <v>25</v>
      </c>
      <c r="R377" s="1" t="s">
        <v>25</v>
      </c>
      <c r="S377" s="2">
        <v>0</v>
      </c>
    </row>
    <row r="378" spans="1:19" x14ac:dyDescent="0.3">
      <c r="A378" t="s">
        <v>788</v>
      </c>
      <c r="B378" s="5" t="e" cm="1">
        <f t="array" ref="B378">MAX(#REF!,MIN(#REF!,#REF!+SUMPRODUCT(--(FoodData[[#This Row],[Healthy]:[Refined]]="Yes"),#REF!)+FoodData[[#This Row],[Adjust]]))</f>
        <v>#REF!</v>
      </c>
      <c r="C378" s="1" t="e">
        <f>LOOKUP(FoodData[[#This Row],[Score]],#REF!,#REF!)</f>
        <v>#REF!</v>
      </c>
      <c r="D378" t="s">
        <v>342</v>
      </c>
      <c r="E378" t="s">
        <v>28</v>
      </c>
      <c r="F378" t="s">
        <v>22</v>
      </c>
      <c r="G378" t="s">
        <v>23</v>
      </c>
      <c r="H378" t="s">
        <v>789</v>
      </c>
      <c r="I378" s="1" t="s">
        <v>25</v>
      </c>
      <c r="J378" s="1" t="s">
        <v>25</v>
      </c>
      <c r="K378" s="1" t="s">
        <v>25</v>
      </c>
      <c r="L378" s="1" t="s">
        <v>25</v>
      </c>
      <c r="M378" s="1" t="s">
        <v>26</v>
      </c>
      <c r="N378" s="1" t="s">
        <v>25</v>
      </c>
      <c r="O378" s="1" t="s">
        <v>25</v>
      </c>
      <c r="P378" s="1" t="s">
        <v>25</v>
      </c>
      <c r="Q378" s="1" t="s">
        <v>25</v>
      </c>
      <c r="R378" s="1" t="s">
        <v>25</v>
      </c>
      <c r="S378" s="2">
        <v>0</v>
      </c>
    </row>
    <row r="379" spans="1:19" x14ac:dyDescent="0.3">
      <c r="A379" t="s">
        <v>790</v>
      </c>
      <c r="B379" s="5" t="e" cm="1">
        <f t="array" ref="B379">MAX(#REF!,MIN(#REF!,#REF!+SUMPRODUCT(--(FoodData[[#This Row],[Healthy]:[Refined]]="Yes"),#REF!)+FoodData[[#This Row],[Adjust]]))</f>
        <v>#REF!</v>
      </c>
      <c r="C379" s="1" t="e">
        <f>LOOKUP(FoodData[[#This Row],[Score]],#REF!,#REF!)</f>
        <v>#REF!</v>
      </c>
      <c r="D379" t="s">
        <v>342</v>
      </c>
      <c r="E379" t="s">
        <v>28</v>
      </c>
      <c r="F379" t="s">
        <v>22</v>
      </c>
      <c r="G379" t="s">
        <v>23</v>
      </c>
      <c r="H379" t="s">
        <v>791</v>
      </c>
      <c r="I379" s="1" t="s">
        <v>25</v>
      </c>
      <c r="J379" s="1" t="s">
        <v>25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25</v>
      </c>
      <c r="Q379" s="1" t="s">
        <v>25</v>
      </c>
      <c r="R379" s="1" t="s">
        <v>25</v>
      </c>
      <c r="S379" s="2">
        <v>0</v>
      </c>
    </row>
    <row r="380" spans="1:19" x14ac:dyDescent="0.3">
      <c r="A380" t="s">
        <v>792</v>
      </c>
      <c r="B380" s="5" t="e" cm="1">
        <f t="array" ref="B380">MAX(#REF!,MIN(#REF!,#REF!+SUMPRODUCT(--(FoodData[[#This Row],[Healthy]:[Refined]]="Yes"),#REF!)+FoodData[[#This Row],[Adjust]]))</f>
        <v>#REF!</v>
      </c>
      <c r="C380" s="1" t="e">
        <f>LOOKUP(FoodData[[#This Row],[Score]],#REF!,#REF!)</f>
        <v>#REF!</v>
      </c>
      <c r="D380" t="s">
        <v>342</v>
      </c>
      <c r="E380" t="s">
        <v>28</v>
      </c>
      <c r="F380" t="s">
        <v>22</v>
      </c>
      <c r="G380" t="s">
        <v>23</v>
      </c>
      <c r="H380" t="s">
        <v>793</v>
      </c>
      <c r="I380" s="1" t="s">
        <v>26</v>
      </c>
      <c r="J380" s="1" t="s">
        <v>26</v>
      </c>
      <c r="K380" s="1" t="s">
        <v>25</v>
      </c>
      <c r="L380" s="1" t="s">
        <v>26</v>
      </c>
      <c r="M380" s="1" t="s">
        <v>25</v>
      </c>
      <c r="N380" s="1" t="s">
        <v>25</v>
      </c>
      <c r="O380" s="1" t="s">
        <v>25</v>
      </c>
      <c r="P380" s="1" t="s">
        <v>25</v>
      </c>
      <c r="Q380" s="1" t="s">
        <v>25</v>
      </c>
      <c r="R380" s="1" t="s">
        <v>25</v>
      </c>
      <c r="S380" s="2">
        <v>0</v>
      </c>
    </row>
    <row r="381" spans="1:19" x14ac:dyDescent="0.3">
      <c r="A381" t="s">
        <v>794</v>
      </c>
      <c r="B381" s="5" t="e" cm="1">
        <f t="array" ref="B381">MAX(#REF!,MIN(#REF!,#REF!+SUMPRODUCT(--(FoodData[[#This Row],[Healthy]:[Refined]]="Yes"),#REF!)+FoodData[[#This Row],[Adjust]]))</f>
        <v>#REF!</v>
      </c>
      <c r="C381" s="1" t="e">
        <f>LOOKUP(FoodData[[#This Row],[Score]],#REF!,#REF!)</f>
        <v>#REF!</v>
      </c>
      <c r="D381" t="s">
        <v>342</v>
      </c>
      <c r="E381" t="s">
        <v>28</v>
      </c>
      <c r="F381" t="s">
        <v>22</v>
      </c>
      <c r="G381" t="s">
        <v>23</v>
      </c>
      <c r="H381" t="s">
        <v>795</v>
      </c>
      <c r="I381" s="1" t="s">
        <v>25</v>
      </c>
      <c r="J381" s="1" t="s">
        <v>25</v>
      </c>
      <c r="K381" s="1" t="s">
        <v>25</v>
      </c>
      <c r="L381" s="1" t="s">
        <v>25</v>
      </c>
      <c r="M381" s="1" t="s">
        <v>25</v>
      </c>
      <c r="N381" s="1" t="s">
        <v>25</v>
      </c>
      <c r="O381" s="1" t="s">
        <v>25</v>
      </c>
      <c r="P381" s="1" t="s">
        <v>25</v>
      </c>
      <c r="Q381" s="1" t="s">
        <v>25</v>
      </c>
      <c r="R381" s="1" t="s">
        <v>26</v>
      </c>
      <c r="S381" s="2">
        <v>0</v>
      </c>
    </row>
    <row r="382" spans="1:19" x14ac:dyDescent="0.3">
      <c r="A382" t="s">
        <v>796</v>
      </c>
      <c r="B382" s="5" t="e" cm="1">
        <f t="array" ref="B382">MAX(#REF!,MIN(#REF!,#REF!+SUMPRODUCT(--(FoodData[[#This Row],[Healthy]:[Refined]]="Yes"),#REF!)+FoodData[[#This Row],[Adjust]]))</f>
        <v>#REF!</v>
      </c>
      <c r="C382" s="1" t="e">
        <f>LOOKUP(FoodData[[#This Row],[Score]],#REF!,#REF!)</f>
        <v>#REF!</v>
      </c>
      <c r="D382" t="s">
        <v>342</v>
      </c>
      <c r="E382" t="s">
        <v>28</v>
      </c>
      <c r="F382" t="s">
        <v>22</v>
      </c>
      <c r="G382" t="s">
        <v>29</v>
      </c>
      <c r="H382" t="s">
        <v>797</v>
      </c>
      <c r="I382" s="1" t="s">
        <v>26</v>
      </c>
      <c r="J382" s="1" t="s">
        <v>25</v>
      </c>
      <c r="K382" s="1" t="s">
        <v>25</v>
      </c>
      <c r="L382" s="1" t="s">
        <v>26</v>
      </c>
      <c r="M382" s="1" t="s">
        <v>25</v>
      </c>
      <c r="N382" s="1" t="s">
        <v>26</v>
      </c>
      <c r="O382" s="1" t="s">
        <v>25</v>
      </c>
      <c r="P382" s="1" t="s">
        <v>25</v>
      </c>
      <c r="Q382" s="1" t="s">
        <v>25</v>
      </c>
      <c r="R382" s="1" t="s">
        <v>25</v>
      </c>
      <c r="S382" s="2">
        <v>0</v>
      </c>
    </row>
    <row r="383" spans="1:19" x14ac:dyDescent="0.3">
      <c r="A383" t="s">
        <v>798</v>
      </c>
      <c r="B383" s="5" t="e" cm="1">
        <f t="array" ref="B383">MAX(#REF!,MIN(#REF!,#REF!+SUMPRODUCT(--(FoodData[[#This Row],[Healthy]:[Refined]]="Yes"),#REF!)+FoodData[[#This Row],[Adjust]]))</f>
        <v>#REF!</v>
      </c>
      <c r="C383" s="1" t="e">
        <f>LOOKUP(FoodData[[#This Row],[Score]],#REF!,#REF!)</f>
        <v>#REF!</v>
      </c>
      <c r="D383" t="s">
        <v>342</v>
      </c>
      <c r="E383" t="s">
        <v>28</v>
      </c>
      <c r="F383" t="s">
        <v>22</v>
      </c>
      <c r="G383" t="s">
        <v>23</v>
      </c>
      <c r="H383" t="s">
        <v>799</v>
      </c>
      <c r="I383" s="1" t="s">
        <v>26</v>
      </c>
      <c r="J383" s="1" t="s">
        <v>26</v>
      </c>
      <c r="K383" s="1" t="s">
        <v>25</v>
      </c>
      <c r="L383" s="1" t="s">
        <v>25</v>
      </c>
      <c r="M383" s="1" t="s">
        <v>25</v>
      </c>
      <c r="N383" s="1" t="s">
        <v>25</v>
      </c>
      <c r="O383" s="1" t="s">
        <v>25</v>
      </c>
      <c r="P383" s="1" t="s">
        <v>25</v>
      </c>
      <c r="Q383" s="1" t="s">
        <v>25</v>
      </c>
      <c r="R383" s="1" t="s">
        <v>25</v>
      </c>
      <c r="S383" s="2">
        <v>0</v>
      </c>
    </row>
    <row r="384" spans="1:19" x14ac:dyDescent="0.3">
      <c r="A384" t="s">
        <v>800</v>
      </c>
      <c r="B384" s="5" t="e" cm="1">
        <f t="array" ref="B384">MAX(#REF!,MIN(#REF!,#REF!+SUMPRODUCT(--(FoodData[[#This Row],[Healthy]:[Refined]]="Yes"),#REF!)+FoodData[[#This Row],[Adjust]]))</f>
        <v>#REF!</v>
      </c>
      <c r="C384" s="1" t="e">
        <f>LOOKUP(FoodData[[#This Row],[Score]],#REF!,#REF!)</f>
        <v>#REF!</v>
      </c>
      <c r="D384" t="s">
        <v>342</v>
      </c>
      <c r="E384" t="s">
        <v>28</v>
      </c>
      <c r="F384" t="s">
        <v>22</v>
      </c>
      <c r="G384" t="s">
        <v>23</v>
      </c>
      <c r="H384" t="s">
        <v>801</v>
      </c>
      <c r="I384" s="1" t="s">
        <v>26</v>
      </c>
      <c r="J384" s="1" t="s">
        <v>25</v>
      </c>
      <c r="K384" s="1" t="s">
        <v>26</v>
      </c>
      <c r="L384" s="1" t="s">
        <v>26</v>
      </c>
      <c r="M384" s="1" t="s">
        <v>25</v>
      </c>
      <c r="N384" s="1" t="s">
        <v>26</v>
      </c>
      <c r="O384" s="1" t="s">
        <v>25</v>
      </c>
      <c r="P384" s="1" t="s">
        <v>25</v>
      </c>
      <c r="Q384" s="1" t="s">
        <v>25</v>
      </c>
      <c r="R384" s="1" t="s">
        <v>25</v>
      </c>
      <c r="S384" s="2">
        <v>0</v>
      </c>
    </row>
    <row r="385" spans="1:19" x14ac:dyDescent="0.3">
      <c r="A385" t="s">
        <v>802</v>
      </c>
      <c r="B385" s="5" t="e" cm="1">
        <f t="array" ref="B385">MAX(#REF!,MIN(#REF!,#REF!+SUMPRODUCT(--(FoodData[[#This Row],[Healthy]:[Refined]]="Yes"),#REF!)+FoodData[[#This Row],[Adjust]]))</f>
        <v>#REF!</v>
      </c>
      <c r="C385" s="1" t="e">
        <f>LOOKUP(FoodData[[#This Row],[Score]],#REF!,#REF!)</f>
        <v>#REF!</v>
      </c>
      <c r="D385" t="s">
        <v>342</v>
      </c>
      <c r="E385" t="s">
        <v>28</v>
      </c>
      <c r="F385" t="s">
        <v>60</v>
      </c>
      <c r="G385" t="s">
        <v>29</v>
      </c>
      <c r="H385" t="s">
        <v>803</v>
      </c>
      <c r="I385" s="1" t="s">
        <v>25</v>
      </c>
      <c r="J385" s="1" t="s">
        <v>25</v>
      </c>
      <c r="K385" s="1" t="s">
        <v>26</v>
      </c>
      <c r="L385" s="1" t="s">
        <v>25</v>
      </c>
      <c r="M385" s="1" t="s">
        <v>25</v>
      </c>
      <c r="N385" s="1" t="s">
        <v>26</v>
      </c>
      <c r="O385" s="1" t="s">
        <v>25</v>
      </c>
      <c r="P385" s="1" t="s">
        <v>25</v>
      </c>
      <c r="Q385" s="1" t="s">
        <v>26</v>
      </c>
      <c r="R385" s="1" t="s">
        <v>26</v>
      </c>
      <c r="S385" s="2">
        <v>0</v>
      </c>
    </row>
    <row r="386" spans="1:19" x14ac:dyDescent="0.3">
      <c r="A386" t="s">
        <v>804</v>
      </c>
      <c r="B386" s="5" t="e" cm="1">
        <f t="array" ref="B386">MAX(#REF!,MIN(#REF!,#REF!+SUMPRODUCT(--(FoodData[[#This Row],[Healthy]:[Refined]]="Yes"),#REF!)+FoodData[[#This Row],[Adjust]]))</f>
        <v>#REF!</v>
      </c>
      <c r="C386" s="1" t="e">
        <f>LOOKUP(FoodData[[#This Row],[Score]],#REF!,#REF!)</f>
        <v>#REF!</v>
      </c>
      <c r="D386" t="s">
        <v>342</v>
      </c>
      <c r="E386" t="s">
        <v>28</v>
      </c>
      <c r="F386" t="s">
        <v>22</v>
      </c>
      <c r="G386" t="s">
        <v>29</v>
      </c>
      <c r="H386" t="s">
        <v>805</v>
      </c>
      <c r="I386" s="1" t="s">
        <v>26</v>
      </c>
      <c r="J386" s="1" t="s">
        <v>26</v>
      </c>
      <c r="K386" s="1" t="s">
        <v>26</v>
      </c>
      <c r="L386" s="1" t="s">
        <v>26</v>
      </c>
      <c r="M386" s="1" t="s">
        <v>25</v>
      </c>
      <c r="N386" s="1" t="s">
        <v>25</v>
      </c>
      <c r="O386" s="1" t="s">
        <v>25</v>
      </c>
      <c r="P386" s="1" t="s">
        <v>25</v>
      </c>
      <c r="Q386" s="1" t="s">
        <v>25</v>
      </c>
      <c r="R386" s="1" t="s">
        <v>25</v>
      </c>
      <c r="S386" s="2">
        <v>0</v>
      </c>
    </row>
    <row r="387" spans="1:19" x14ac:dyDescent="0.3">
      <c r="A387" t="s">
        <v>806</v>
      </c>
      <c r="B387" s="5" t="e" cm="1">
        <f t="array" ref="B387">MAX(#REF!,MIN(#REF!,#REF!+SUMPRODUCT(--(FoodData[[#This Row],[Healthy]:[Refined]]="Yes"),#REF!)+FoodData[[#This Row],[Adjust]]))</f>
        <v>#REF!</v>
      </c>
      <c r="C387" s="1" t="e">
        <f>LOOKUP(FoodData[[#This Row],[Score]],#REF!,#REF!)</f>
        <v>#REF!</v>
      </c>
      <c r="D387" t="s">
        <v>342</v>
      </c>
      <c r="E387" t="s">
        <v>28</v>
      </c>
      <c r="F387" t="s">
        <v>22</v>
      </c>
      <c r="G387" t="s">
        <v>29</v>
      </c>
      <c r="H387" t="s">
        <v>807</v>
      </c>
      <c r="I387" s="1" t="s">
        <v>26</v>
      </c>
      <c r="J387" s="1" t="s">
        <v>25</v>
      </c>
      <c r="K387" s="1" t="s">
        <v>25</v>
      </c>
      <c r="L387" s="1" t="s">
        <v>26</v>
      </c>
      <c r="M387" s="1" t="s">
        <v>25</v>
      </c>
      <c r="N387" s="1" t="s">
        <v>26</v>
      </c>
      <c r="O387" s="1" t="s">
        <v>25</v>
      </c>
      <c r="P387" s="1" t="s">
        <v>25</v>
      </c>
      <c r="Q387" s="1" t="s">
        <v>25</v>
      </c>
      <c r="R387" s="1" t="s">
        <v>25</v>
      </c>
      <c r="S387" s="2">
        <v>0</v>
      </c>
    </row>
    <row r="388" spans="1:19" x14ac:dyDescent="0.3">
      <c r="A388" t="s">
        <v>808</v>
      </c>
      <c r="B388" s="5" t="e" cm="1">
        <f t="array" ref="B388">MAX(#REF!,MIN(#REF!,#REF!+SUMPRODUCT(--(FoodData[[#This Row],[Healthy]:[Refined]]="Yes"),#REF!)+FoodData[[#This Row],[Adjust]]))</f>
        <v>#REF!</v>
      </c>
      <c r="C388" s="1" t="e">
        <f>LOOKUP(FoodData[[#This Row],[Score]],#REF!,#REF!)</f>
        <v>#REF!</v>
      </c>
      <c r="D388" t="s">
        <v>342</v>
      </c>
      <c r="E388" t="s">
        <v>28</v>
      </c>
      <c r="F388" t="s">
        <v>22</v>
      </c>
      <c r="G388" t="s">
        <v>23</v>
      </c>
      <c r="H388" t="s">
        <v>809</v>
      </c>
      <c r="I388" s="1" t="s">
        <v>26</v>
      </c>
      <c r="J388" s="1" t="s">
        <v>25</v>
      </c>
      <c r="K388" s="1" t="s">
        <v>25</v>
      </c>
      <c r="L388" s="1" t="s">
        <v>26</v>
      </c>
      <c r="M388" s="1" t="s">
        <v>25</v>
      </c>
      <c r="N388" s="1" t="s">
        <v>26</v>
      </c>
      <c r="O388" s="1" t="s">
        <v>25</v>
      </c>
      <c r="P388" s="1" t="s">
        <v>25</v>
      </c>
      <c r="Q388" s="1" t="s">
        <v>25</v>
      </c>
      <c r="R388" s="1" t="s">
        <v>25</v>
      </c>
      <c r="S388" s="2">
        <v>0</v>
      </c>
    </row>
    <row r="389" spans="1:19" x14ac:dyDescent="0.3">
      <c r="A389" t="s">
        <v>810</v>
      </c>
      <c r="B389" s="5" t="e" cm="1">
        <f t="array" ref="B389">MAX(#REF!,MIN(#REF!,#REF!+SUMPRODUCT(--(FoodData[[#This Row],[Healthy]:[Refined]]="Yes"),#REF!)+FoodData[[#This Row],[Adjust]]))</f>
        <v>#REF!</v>
      </c>
      <c r="C389" s="1" t="e">
        <f>LOOKUP(FoodData[[#This Row],[Score]],#REF!,#REF!)</f>
        <v>#REF!</v>
      </c>
      <c r="D389" t="s">
        <v>342</v>
      </c>
      <c r="E389" t="s">
        <v>28</v>
      </c>
      <c r="F389" t="s">
        <v>22</v>
      </c>
      <c r="G389" t="s">
        <v>23</v>
      </c>
      <c r="H389" t="s">
        <v>811</v>
      </c>
      <c r="I389" s="1" t="s">
        <v>26</v>
      </c>
      <c r="J389" s="1" t="s">
        <v>25</v>
      </c>
      <c r="K389" s="1" t="s">
        <v>26</v>
      </c>
      <c r="L389" s="1" t="s">
        <v>26</v>
      </c>
      <c r="M389" s="1" t="s">
        <v>25</v>
      </c>
      <c r="N389" s="1" t="s">
        <v>26</v>
      </c>
      <c r="O389" s="1" t="s">
        <v>25</v>
      </c>
      <c r="P389" s="1" t="s">
        <v>25</v>
      </c>
      <c r="Q389" s="1" t="s">
        <v>25</v>
      </c>
      <c r="R389" s="1" t="s">
        <v>25</v>
      </c>
      <c r="S389" s="2">
        <v>0</v>
      </c>
    </row>
    <row r="390" spans="1:19" x14ac:dyDescent="0.3">
      <c r="A390" t="s">
        <v>812</v>
      </c>
      <c r="B390" s="5" t="e" cm="1">
        <f t="array" ref="B390">MAX(#REF!,MIN(#REF!,#REF!+SUMPRODUCT(--(FoodData[[#This Row],[Healthy]:[Refined]]="Yes"),#REF!)+FoodData[[#This Row],[Adjust]]))</f>
        <v>#REF!</v>
      </c>
      <c r="C390" s="1" t="e">
        <f>LOOKUP(FoodData[[#This Row],[Score]],#REF!,#REF!)</f>
        <v>#REF!</v>
      </c>
      <c r="D390" t="s">
        <v>342</v>
      </c>
      <c r="E390" t="s">
        <v>28</v>
      </c>
      <c r="F390" t="s">
        <v>22</v>
      </c>
      <c r="G390" t="s">
        <v>29</v>
      </c>
      <c r="H390" t="s">
        <v>813</v>
      </c>
      <c r="I390" s="1" t="s">
        <v>26</v>
      </c>
      <c r="J390" s="1" t="s">
        <v>25</v>
      </c>
      <c r="K390" s="1" t="s">
        <v>25</v>
      </c>
      <c r="L390" s="1" t="s">
        <v>26</v>
      </c>
      <c r="M390" s="1" t="s">
        <v>25</v>
      </c>
      <c r="N390" s="1" t="s">
        <v>26</v>
      </c>
      <c r="O390" s="1" t="s">
        <v>25</v>
      </c>
      <c r="P390" s="1" t="s">
        <v>25</v>
      </c>
      <c r="Q390" s="1" t="s">
        <v>25</v>
      </c>
      <c r="R390" s="1" t="s">
        <v>25</v>
      </c>
      <c r="S390" s="2">
        <v>0</v>
      </c>
    </row>
    <row r="391" spans="1:19" x14ac:dyDescent="0.3">
      <c r="A391" t="s">
        <v>814</v>
      </c>
      <c r="B391" s="5" t="e" cm="1">
        <f t="array" ref="B391">MAX(#REF!,MIN(#REF!,#REF!+SUMPRODUCT(--(FoodData[[#This Row],[Healthy]:[Refined]]="Yes"),#REF!)+FoodData[[#This Row],[Adjust]]))</f>
        <v>#REF!</v>
      </c>
      <c r="C391" s="1" t="e">
        <f>LOOKUP(FoodData[[#This Row],[Score]],#REF!,#REF!)</f>
        <v>#REF!</v>
      </c>
      <c r="D391" t="s">
        <v>342</v>
      </c>
      <c r="E391" t="s">
        <v>28</v>
      </c>
      <c r="F391" t="s">
        <v>22</v>
      </c>
      <c r="G391" t="s">
        <v>23</v>
      </c>
      <c r="H391" t="s">
        <v>815</v>
      </c>
      <c r="I391" s="1" t="s">
        <v>26</v>
      </c>
      <c r="J391" s="1" t="s">
        <v>26</v>
      </c>
      <c r="K391" s="1" t="s">
        <v>25</v>
      </c>
      <c r="L391" s="1" t="s">
        <v>26</v>
      </c>
      <c r="M391" s="1" t="s">
        <v>25</v>
      </c>
      <c r="N391" s="1" t="s">
        <v>25</v>
      </c>
      <c r="O391" s="1" t="s">
        <v>25</v>
      </c>
      <c r="P391" s="1" t="s">
        <v>25</v>
      </c>
      <c r="Q391" s="1" t="s">
        <v>25</v>
      </c>
      <c r="R391" s="1" t="s">
        <v>25</v>
      </c>
      <c r="S391" s="2">
        <v>0</v>
      </c>
    </row>
    <row r="392" spans="1:19" x14ac:dyDescent="0.3">
      <c r="A392" t="s">
        <v>816</v>
      </c>
      <c r="B392" s="5" t="e" cm="1">
        <f t="array" ref="B392">MAX(#REF!,MIN(#REF!,#REF!+SUMPRODUCT(--(FoodData[[#This Row],[Healthy]:[Refined]]="Yes"),#REF!)+FoodData[[#This Row],[Adjust]]))</f>
        <v>#REF!</v>
      </c>
      <c r="C392" s="1" t="e">
        <f>LOOKUP(FoodData[[#This Row],[Score]],#REF!,#REF!)</f>
        <v>#REF!</v>
      </c>
      <c r="D392" t="s">
        <v>342</v>
      </c>
      <c r="E392" t="s">
        <v>28</v>
      </c>
      <c r="F392" t="s">
        <v>22</v>
      </c>
      <c r="G392" t="s">
        <v>29</v>
      </c>
      <c r="H392" t="s">
        <v>817</v>
      </c>
      <c r="I392" s="1" t="s">
        <v>26</v>
      </c>
      <c r="J392" s="1" t="s">
        <v>25</v>
      </c>
      <c r="K392" s="1" t="s">
        <v>25</v>
      </c>
      <c r="L392" s="1" t="s">
        <v>26</v>
      </c>
      <c r="M392" s="1" t="s">
        <v>25</v>
      </c>
      <c r="N392" s="1" t="s">
        <v>26</v>
      </c>
      <c r="O392" s="1" t="s">
        <v>25</v>
      </c>
      <c r="P392" s="1" t="s">
        <v>25</v>
      </c>
      <c r="Q392" s="1" t="s">
        <v>25</v>
      </c>
      <c r="R392" s="1" t="s">
        <v>25</v>
      </c>
      <c r="S392" s="2">
        <v>0</v>
      </c>
    </row>
    <row r="393" spans="1:19" x14ac:dyDescent="0.3">
      <c r="A393" t="s">
        <v>818</v>
      </c>
      <c r="B393" s="5" t="e" cm="1">
        <f t="array" ref="B393">MAX(#REF!,MIN(#REF!,#REF!+SUMPRODUCT(--(FoodData[[#This Row],[Healthy]:[Refined]]="Yes"),#REF!)+FoodData[[#This Row],[Adjust]]))</f>
        <v>#REF!</v>
      </c>
      <c r="C393" s="1" t="e">
        <f>LOOKUP(FoodData[[#This Row],[Score]],#REF!,#REF!)</f>
        <v>#REF!</v>
      </c>
      <c r="D393" t="s">
        <v>342</v>
      </c>
      <c r="E393" t="s">
        <v>28</v>
      </c>
      <c r="F393" t="s">
        <v>22</v>
      </c>
      <c r="G393" t="s">
        <v>23</v>
      </c>
      <c r="H393" t="s">
        <v>819</v>
      </c>
      <c r="I393" s="1" t="s">
        <v>26</v>
      </c>
      <c r="J393" s="1" t="s">
        <v>26</v>
      </c>
      <c r="K393" s="1" t="s">
        <v>25</v>
      </c>
      <c r="L393" s="1" t="s">
        <v>26</v>
      </c>
      <c r="M393" s="1" t="s">
        <v>25</v>
      </c>
      <c r="N393" s="1" t="s">
        <v>25</v>
      </c>
      <c r="O393" s="1" t="s">
        <v>25</v>
      </c>
      <c r="P393" s="1" t="s">
        <v>25</v>
      </c>
      <c r="Q393" s="1" t="s">
        <v>25</v>
      </c>
      <c r="R393" s="1" t="s">
        <v>25</v>
      </c>
      <c r="S393" s="2">
        <v>0</v>
      </c>
    </row>
    <row r="394" spans="1:19" x14ac:dyDescent="0.3">
      <c r="A394" t="s">
        <v>820</v>
      </c>
      <c r="B394" s="5" t="e" cm="1">
        <f t="array" ref="B394">MAX(#REF!,MIN(#REF!,#REF!+SUMPRODUCT(--(FoodData[[#This Row],[Healthy]:[Refined]]="Yes"),#REF!)+FoodData[[#This Row],[Adjust]]))</f>
        <v>#REF!</v>
      </c>
      <c r="C394" s="1" t="e">
        <f>LOOKUP(FoodData[[#This Row],[Score]],#REF!,#REF!)</f>
        <v>#REF!</v>
      </c>
      <c r="D394" t="s">
        <v>342</v>
      </c>
      <c r="E394" t="s">
        <v>28</v>
      </c>
      <c r="F394" t="s">
        <v>22</v>
      </c>
      <c r="G394" t="s">
        <v>23</v>
      </c>
      <c r="H394" t="s">
        <v>821</v>
      </c>
      <c r="I394" s="1" t="s">
        <v>25</v>
      </c>
      <c r="J394" s="1" t="s">
        <v>25</v>
      </c>
      <c r="K394" s="1" t="s">
        <v>25</v>
      </c>
      <c r="L394" s="1" t="s">
        <v>26</v>
      </c>
      <c r="M394" s="1" t="s">
        <v>25</v>
      </c>
      <c r="N394" s="1" t="s">
        <v>25</v>
      </c>
      <c r="O394" s="1" t="s">
        <v>25</v>
      </c>
      <c r="P394" s="1" t="s">
        <v>25</v>
      </c>
      <c r="Q394" s="1" t="s">
        <v>25</v>
      </c>
      <c r="R394" s="1" t="s">
        <v>26</v>
      </c>
      <c r="S394" s="2">
        <v>0</v>
      </c>
    </row>
    <row r="395" spans="1:19" x14ac:dyDescent="0.3">
      <c r="A395" t="s">
        <v>822</v>
      </c>
      <c r="B395" s="5" t="e" cm="1">
        <f t="array" ref="B395">MAX(#REF!,MIN(#REF!,#REF!+SUMPRODUCT(--(FoodData[[#This Row],[Healthy]:[Refined]]="Yes"),#REF!)+FoodData[[#This Row],[Adjust]]))</f>
        <v>#REF!</v>
      </c>
      <c r="C395" s="1" t="e">
        <f>LOOKUP(FoodData[[#This Row],[Score]],#REF!,#REF!)</f>
        <v>#REF!</v>
      </c>
      <c r="D395" t="s">
        <v>342</v>
      </c>
      <c r="E395" t="s">
        <v>28</v>
      </c>
      <c r="F395" t="s">
        <v>22</v>
      </c>
      <c r="G395" t="s">
        <v>23</v>
      </c>
      <c r="H395" t="s">
        <v>823</v>
      </c>
      <c r="I395" s="1" t="s">
        <v>26</v>
      </c>
      <c r="J395" s="1" t="s">
        <v>26</v>
      </c>
      <c r="K395" s="1" t="s">
        <v>26</v>
      </c>
      <c r="L395" s="1" t="s">
        <v>26</v>
      </c>
      <c r="M395" s="1" t="s">
        <v>25</v>
      </c>
      <c r="N395" s="1" t="s">
        <v>25</v>
      </c>
      <c r="O395" s="1" t="s">
        <v>25</v>
      </c>
      <c r="P395" s="1" t="s">
        <v>25</v>
      </c>
      <c r="Q395" s="1" t="s">
        <v>25</v>
      </c>
      <c r="R395" s="1" t="s">
        <v>25</v>
      </c>
      <c r="S395" s="2">
        <v>0</v>
      </c>
    </row>
    <row r="396" spans="1:19" x14ac:dyDescent="0.3">
      <c r="A396" t="s">
        <v>824</v>
      </c>
      <c r="B396" s="5" t="e" cm="1">
        <f t="array" ref="B396">MAX(#REF!,MIN(#REF!,#REF!+SUMPRODUCT(--(FoodData[[#This Row],[Healthy]:[Refined]]="Yes"),#REF!)+FoodData[[#This Row],[Adjust]]))</f>
        <v>#REF!</v>
      </c>
      <c r="C396" s="1" t="e">
        <f>LOOKUP(FoodData[[#This Row],[Score]],#REF!,#REF!)</f>
        <v>#REF!</v>
      </c>
      <c r="D396" t="s">
        <v>342</v>
      </c>
      <c r="E396" t="s">
        <v>28</v>
      </c>
      <c r="F396" t="s">
        <v>22</v>
      </c>
      <c r="G396" t="s">
        <v>162</v>
      </c>
      <c r="H396" t="s">
        <v>825</v>
      </c>
      <c r="I396" s="1" t="s">
        <v>26</v>
      </c>
      <c r="J396" s="1" t="s">
        <v>26</v>
      </c>
      <c r="K396" s="1" t="s">
        <v>25</v>
      </c>
      <c r="L396" s="1" t="s">
        <v>25</v>
      </c>
      <c r="M396" s="1" t="s">
        <v>25</v>
      </c>
      <c r="N396" s="1" t="s">
        <v>25</v>
      </c>
      <c r="O396" s="1" t="s">
        <v>25</v>
      </c>
      <c r="P396" s="1" t="s">
        <v>25</v>
      </c>
      <c r="Q396" s="1" t="s">
        <v>25</v>
      </c>
      <c r="R396" s="1" t="s">
        <v>25</v>
      </c>
      <c r="S396" s="2">
        <v>0</v>
      </c>
    </row>
    <row r="397" spans="1:19" x14ac:dyDescent="0.3">
      <c r="A397" t="s">
        <v>826</v>
      </c>
      <c r="B397" s="5" t="e" cm="1">
        <f t="array" ref="B397">MAX(#REF!,MIN(#REF!,#REF!+SUMPRODUCT(--(FoodData[[#This Row],[Healthy]:[Refined]]="Yes"),#REF!)+FoodData[[#This Row],[Adjust]]))</f>
        <v>#REF!</v>
      </c>
      <c r="C397" s="1" t="e">
        <f>LOOKUP(FoodData[[#This Row],[Score]],#REF!,#REF!)</f>
        <v>#REF!</v>
      </c>
      <c r="D397" t="s">
        <v>342</v>
      </c>
      <c r="E397" t="s">
        <v>28</v>
      </c>
      <c r="F397" t="s">
        <v>22</v>
      </c>
      <c r="G397" t="s">
        <v>23</v>
      </c>
      <c r="H397" t="s">
        <v>827</v>
      </c>
      <c r="I397" s="1" t="s">
        <v>26</v>
      </c>
      <c r="J397" s="1" t="s">
        <v>25</v>
      </c>
      <c r="K397" s="1" t="s">
        <v>26</v>
      </c>
      <c r="L397" s="1" t="s">
        <v>26</v>
      </c>
      <c r="M397" s="1" t="s">
        <v>25</v>
      </c>
      <c r="N397" s="1" t="s">
        <v>25</v>
      </c>
      <c r="O397" s="1" t="s">
        <v>26</v>
      </c>
      <c r="P397" s="1" t="s">
        <v>25</v>
      </c>
      <c r="Q397" s="1" t="s">
        <v>25</v>
      </c>
      <c r="R397" s="1" t="s">
        <v>25</v>
      </c>
      <c r="S397" s="2">
        <v>0</v>
      </c>
    </row>
    <row r="398" spans="1:19" x14ac:dyDescent="0.3">
      <c r="A398" t="s">
        <v>828</v>
      </c>
      <c r="B398" s="5" t="e" cm="1">
        <f t="array" ref="B398">MAX(#REF!,MIN(#REF!,#REF!+SUMPRODUCT(--(FoodData[[#This Row],[Healthy]:[Refined]]="Yes"),#REF!)+FoodData[[#This Row],[Adjust]]))</f>
        <v>#REF!</v>
      </c>
      <c r="C398" s="1" t="e">
        <f>LOOKUP(FoodData[[#This Row],[Score]],#REF!,#REF!)</f>
        <v>#REF!</v>
      </c>
      <c r="D398" t="s">
        <v>342</v>
      </c>
      <c r="E398" t="s">
        <v>28</v>
      </c>
      <c r="F398" t="s">
        <v>22</v>
      </c>
      <c r="G398" t="s">
        <v>23</v>
      </c>
      <c r="H398" t="s">
        <v>829</v>
      </c>
      <c r="I398" s="1" t="s">
        <v>25</v>
      </c>
      <c r="J398" s="1" t="s">
        <v>25</v>
      </c>
      <c r="K398" s="1" t="s">
        <v>25</v>
      </c>
      <c r="L398" s="1" t="s">
        <v>26</v>
      </c>
      <c r="M398" s="1" t="s">
        <v>26</v>
      </c>
      <c r="N398" s="1" t="s">
        <v>25</v>
      </c>
      <c r="O398" s="1" t="s">
        <v>25</v>
      </c>
      <c r="P398" s="1" t="s">
        <v>25</v>
      </c>
      <c r="Q398" s="1" t="s">
        <v>25</v>
      </c>
      <c r="R398" s="1" t="s">
        <v>25</v>
      </c>
      <c r="S398" s="2">
        <v>0</v>
      </c>
    </row>
    <row r="399" spans="1:19" x14ac:dyDescent="0.3">
      <c r="A399" t="s">
        <v>830</v>
      </c>
      <c r="B399" s="5" t="e" cm="1">
        <f t="array" ref="B399">MAX(#REF!,MIN(#REF!,#REF!+SUMPRODUCT(--(FoodData[[#This Row],[Healthy]:[Refined]]="Yes"),#REF!)+FoodData[[#This Row],[Adjust]]))</f>
        <v>#REF!</v>
      </c>
      <c r="C399" s="1" t="e">
        <f>LOOKUP(FoodData[[#This Row],[Score]],#REF!,#REF!)</f>
        <v>#REF!</v>
      </c>
      <c r="D399" t="s">
        <v>342</v>
      </c>
      <c r="E399" t="s">
        <v>28</v>
      </c>
      <c r="F399" t="s">
        <v>22</v>
      </c>
      <c r="G399" t="s">
        <v>29</v>
      </c>
      <c r="H399" t="s">
        <v>831</v>
      </c>
      <c r="I399" s="1" t="s">
        <v>26</v>
      </c>
      <c r="J399" s="1" t="s">
        <v>25</v>
      </c>
      <c r="K399" s="1" t="s">
        <v>25</v>
      </c>
      <c r="L399" s="1" t="s">
        <v>26</v>
      </c>
      <c r="M399" s="1" t="s">
        <v>25</v>
      </c>
      <c r="N399" s="1" t="s">
        <v>26</v>
      </c>
      <c r="O399" s="1" t="s">
        <v>25</v>
      </c>
      <c r="P399" s="1" t="s">
        <v>25</v>
      </c>
      <c r="Q399" s="1" t="s">
        <v>25</v>
      </c>
      <c r="R399" s="1" t="s">
        <v>25</v>
      </c>
      <c r="S399" s="2">
        <v>0</v>
      </c>
    </row>
    <row r="400" spans="1:19" x14ac:dyDescent="0.3">
      <c r="A400" t="s">
        <v>832</v>
      </c>
      <c r="B400" s="5" t="e" cm="1">
        <f t="array" ref="B400">MAX(#REF!,MIN(#REF!,#REF!+SUMPRODUCT(--(FoodData[[#This Row],[Healthy]:[Refined]]="Yes"),#REF!)+FoodData[[#This Row],[Adjust]]))</f>
        <v>#REF!</v>
      </c>
      <c r="C400" s="1" t="e">
        <f>LOOKUP(FoodData[[#This Row],[Score]],#REF!,#REF!)</f>
        <v>#REF!</v>
      </c>
      <c r="D400" t="s">
        <v>342</v>
      </c>
      <c r="E400" t="s">
        <v>28</v>
      </c>
      <c r="F400" t="s">
        <v>22</v>
      </c>
      <c r="G400" t="s">
        <v>23</v>
      </c>
      <c r="H400" t="s">
        <v>833</v>
      </c>
      <c r="I400" s="1" t="s">
        <v>26</v>
      </c>
      <c r="J400" s="1" t="s">
        <v>26</v>
      </c>
      <c r="K400" s="1" t="s">
        <v>25</v>
      </c>
      <c r="L400" s="1" t="s">
        <v>26</v>
      </c>
      <c r="M400" s="1" t="s">
        <v>25</v>
      </c>
      <c r="N400" s="1" t="s">
        <v>25</v>
      </c>
      <c r="O400" s="1" t="s">
        <v>25</v>
      </c>
      <c r="P400" s="1" t="s">
        <v>25</v>
      </c>
      <c r="Q400" s="1" t="s">
        <v>25</v>
      </c>
      <c r="R400" s="1" t="s">
        <v>25</v>
      </c>
      <c r="S400" s="2">
        <v>0</v>
      </c>
    </row>
    <row r="401" spans="1:19" x14ac:dyDescent="0.3">
      <c r="A401" t="s">
        <v>834</v>
      </c>
      <c r="B401" s="5" t="e" cm="1">
        <f t="array" ref="B401">MAX(#REF!,MIN(#REF!,#REF!+SUMPRODUCT(--(FoodData[[#This Row],[Healthy]:[Refined]]="Yes"),#REF!)+FoodData[[#This Row],[Adjust]]))</f>
        <v>#REF!</v>
      </c>
      <c r="C401" s="1" t="e">
        <f>LOOKUP(FoodData[[#This Row],[Score]],#REF!,#REF!)</f>
        <v>#REF!</v>
      </c>
      <c r="D401" t="s">
        <v>342</v>
      </c>
      <c r="E401" t="s">
        <v>28</v>
      </c>
      <c r="F401" t="s">
        <v>22</v>
      </c>
      <c r="G401" t="s">
        <v>23</v>
      </c>
      <c r="H401" t="s">
        <v>835</v>
      </c>
      <c r="I401" s="1" t="s">
        <v>26</v>
      </c>
      <c r="J401" s="1" t="s">
        <v>25</v>
      </c>
      <c r="K401" s="1" t="s">
        <v>26</v>
      </c>
      <c r="L401" s="1" t="s">
        <v>26</v>
      </c>
      <c r="M401" s="1" t="s">
        <v>25</v>
      </c>
      <c r="N401" s="1" t="s">
        <v>25</v>
      </c>
      <c r="O401" s="1" t="s">
        <v>26</v>
      </c>
      <c r="P401" s="1" t="s">
        <v>25</v>
      </c>
      <c r="Q401" s="1" t="s">
        <v>25</v>
      </c>
      <c r="R401" s="1" t="s">
        <v>25</v>
      </c>
      <c r="S401" s="2">
        <v>0</v>
      </c>
    </row>
    <row r="402" spans="1:19" x14ac:dyDescent="0.3">
      <c r="A402" t="s">
        <v>836</v>
      </c>
      <c r="B402" s="5" t="e" cm="1">
        <f t="array" ref="B402">MAX(#REF!,MIN(#REF!,#REF!+SUMPRODUCT(--(FoodData[[#This Row],[Healthy]:[Refined]]="Yes"),#REF!)+FoodData[[#This Row],[Adjust]]))</f>
        <v>#REF!</v>
      </c>
      <c r="C402" s="1" t="e">
        <f>LOOKUP(FoodData[[#This Row],[Score]],#REF!,#REF!)</f>
        <v>#REF!</v>
      </c>
      <c r="D402" t="s">
        <v>342</v>
      </c>
      <c r="E402" t="s">
        <v>28</v>
      </c>
      <c r="F402" t="s">
        <v>22</v>
      </c>
      <c r="G402" t="s">
        <v>23</v>
      </c>
      <c r="H402" t="s">
        <v>837</v>
      </c>
      <c r="I402" s="1" t="s">
        <v>25</v>
      </c>
      <c r="J402" s="1" t="s">
        <v>25</v>
      </c>
      <c r="K402" s="1" t="s">
        <v>26</v>
      </c>
      <c r="L402" s="1" t="s">
        <v>26</v>
      </c>
      <c r="M402" s="1" t="s">
        <v>25</v>
      </c>
      <c r="N402" s="1" t="s">
        <v>25</v>
      </c>
      <c r="O402" s="1" t="s">
        <v>26</v>
      </c>
      <c r="P402" s="1" t="s">
        <v>25</v>
      </c>
      <c r="Q402" s="1" t="s">
        <v>25</v>
      </c>
      <c r="R402" s="1" t="s">
        <v>25</v>
      </c>
      <c r="S402" s="2">
        <v>0</v>
      </c>
    </row>
    <row r="403" spans="1:19" x14ac:dyDescent="0.3">
      <c r="A403" t="s">
        <v>838</v>
      </c>
      <c r="B403" s="5" t="e" cm="1">
        <f t="array" ref="B403">MAX(#REF!,MIN(#REF!,#REF!+SUMPRODUCT(--(FoodData[[#This Row],[Healthy]:[Refined]]="Yes"),#REF!)+FoodData[[#This Row],[Adjust]]))</f>
        <v>#REF!</v>
      </c>
      <c r="C403" s="1" t="e">
        <f>LOOKUP(FoodData[[#This Row],[Score]],#REF!,#REF!)</f>
        <v>#REF!</v>
      </c>
      <c r="D403" t="s">
        <v>342</v>
      </c>
      <c r="E403" t="s">
        <v>28</v>
      </c>
      <c r="F403" t="s">
        <v>22</v>
      </c>
      <c r="G403" t="s">
        <v>23</v>
      </c>
      <c r="H403" t="s">
        <v>839</v>
      </c>
      <c r="I403" s="1" t="s">
        <v>26</v>
      </c>
      <c r="J403" s="1" t="s">
        <v>26</v>
      </c>
      <c r="K403" s="1" t="s">
        <v>25</v>
      </c>
      <c r="L403" s="1" t="s">
        <v>26</v>
      </c>
      <c r="M403" s="1" t="s">
        <v>25</v>
      </c>
      <c r="N403" s="1" t="s">
        <v>25</v>
      </c>
      <c r="O403" s="1" t="s">
        <v>25</v>
      </c>
      <c r="P403" s="1" t="s">
        <v>25</v>
      </c>
      <c r="Q403" s="1" t="s">
        <v>25</v>
      </c>
      <c r="R403" s="1" t="s">
        <v>25</v>
      </c>
      <c r="S403" s="2">
        <v>0</v>
      </c>
    </row>
    <row r="404" spans="1:19" x14ac:dyDescent="0.3">
      <c r="A404" t="s">
        <v>840</v>
      </c>
      <c r="B404" s="5" t="e" cm="1">
        <f t="array" ref="B404">MAX(#REF!,MIN(#REF!,#REF!+SUMPRODUCT(--(FoodData[[#This Row],[Healthy]:[Refined]]="Yes"),#REF!)+FoodData[[#This Row],[Adjust]]))</f>
        <v>#REF!</v>
      </c>
      <c r="C404" s="1" t="e">
        <f>LOOKUP(FoodData[[#This Row],[Score]],#REF!,#REF!)</f>
        <v>#REF!</v>
      </c>
      <c r="D404" t="s">
        <v>342</v>
      </c>
      <c r="E404" t="s">
        <v>28</v>
      </c>
      <c r="F404" t="s">
        <v>22</v>
      </c>
      <c r="G404" t="s">
        <v>23</v>
      </c>
      <c r="H404" t="s">
        <v>841</v>
      </c>
      <c r="I404" s="1" t="s">
        <v>25</v>
      </c>
      <c r="J404" s="1" t="s">
        <v>25</v>
      </c>
      <c r="K404" s="1" t="s">
        <v>25</v>
      </c>
      <c r="L404" s="1" t="s">
        <v>26</v>
      </c>
      <c r="M404" s="1" t="s">
        <v>25</v>
      </c>
      <c r="N404" s="1" t="s">
        <v>26</v>
      </c>
      <c r="O404" s="1" t="s">
        <v>26</v>
      </c>
      <c r="P404" s="1" t="s">
        <v>25</v>
      </c>
      <c r="Q404" s="1" t="s">
        <v>25</v>
      </c>
      <c r="R404" s="1" t="s">
        <v>25</v>
      </c>
      <c r="S404" s="2">
        <v>0</v>
      </c>
    </row>
    <row r="405" spans="1:19" x14ac:dyDescent="0.3">
      <c r="A405" t="s">
        <v>842</v>
      </c>
      <c r="B405" s="5" t="e" cm="1">
        <f t="array" ref="B405">MAX(#REF!,MIN(#REF!,#REF!+SUMPRODUCT(--(FoodData[[#This Row],[Healthy]:[Refined]]="Yes"),#REF!)+FoodData[[#This Row],[Adjust]]))</f>
        <v>#REF!</v>
      </c>
      <c r="C405" s="1" t="e">
        <f>LOOKUP(FoodData[[#This Row],[Score]],#REF!,#REF!)</f>
        <v>#REF!</v>
      </c>
      <c r="D405" t="s">
        <v>342</v>
      </c>
      <c r="E405" t="s">
        <v>28</v>
      </c>
      <c r="F405" t="s">
        <v>22</v>
      </c>
      <c r="G405" t="s">
        <v>23</v>
      </c>
      <c r="H405" t="s">
        <v>843</v>
      </c>
      <c r="I405" s="1" t="s">
        <v>26</v>
      </c>
      <c r="J405" s="1" t="s">
        <v>26</v>
      </c>
      <c r="K405" s="1" t="s">
        <v>26</v>
      </c>
      <c r="L405" s="1" t="s">
        <v>26</v>
      </c>
      <c r="M405" s="1" t="s">
        <v>25</v>
      </c>
      <c r="N405" s="1" t="s">
        <v>25</v>
      </c>
      <c r="O405" s="1" t="s">
        <v>25</v>
      </c>
      <c r="P405" s="1" t="s">
        <v>25</v>
      </c>
      <c r="Q405" s="1" t="s">
        <v>25</v>
      </c>
      <c r="R405" s="1" t="s">
        <v>25</v>
      </c>
      <c r="S405" s="2">
        <v>0</v>
      </c>
    </row>
    <row r="406" spans="1:19" x14ac:dyDescent="0.3">
      <c r="A406" t="s">
        <v>844</v>
      </c>
      <c r="B406" s="5" t="e" cm="1">
        <f t="array" ref="B406">MAX(#REF!,MIN(#REF!,#REF!+SUMPRODUCT(--(FoodData[[#This Row],[Healthy]:[Refined]]="Yes"),#REF!)+FoodData[[#This Row],[Adjust]]))</f>
        <v>#REF!</v>
      </c>
      <c r="C406" s="1" t="e">
        <f>LOOKUP(FoodData[[#This Row],[Score]],#REF!,#REF!)</f>
        <v>#REF!</v>
      </c>
      <c r="D406" t="s">
        <v>342</v>
      </c>
      <c r="E406" t="s">
        <v>28</v>
      </c>
      <c r="F406" t="s">
        <v>60</v>
      </c>
      <c r="G406" t="s">
        <v>23</v>
      </c>
      <c r="H406" t="s">
        <v>845</v>
      </c>
      <c r="I406" s="1" t="s">
        <v>26</v>
      </c>
      <c r="J406" s="1" t="s">
        <v>25</v>
      </c>
      <c r="K406" s="1" t="s">
        <v>26</v>
      </c>
      <c r="L406" s="1" t="s">
        <v>26</v>
      </c>
      <c r="M406" s="1" t="s">
        <v>25</v>
      </c>
      <c r="N406" s="1" t="s">
        <v>26</v>
      </c>
      <c r="O406" s="1" t="s">
        <v>25</v>
      </c>
      <c r="P406" s="1" t="s">
        <v>25</v>
      </c>
      <c r="Q406" s="1" t="s">
        <v>25</v>
      </c>
      <c r="R406" s="1" t="s">
        <v>25</v>
      </c>
      <c r="S406" s="2">
        <v>0</v>
      </c>
    </row>
    <row r="407" spans="1:19" x14ac:dyDescent="0.3">
      <c r="A407" t="s">
        <v>846</v>
      </c>
      <c r="B407" s="5" t="e" cm="1">
        <f t="array" ref="B407">MAX(#REF!,MIN(#REF!,#REF!+SUMPRODUCT(--(FoodData[[#This Row],[Healthy]:[Refined]]="Yes"),#REF!)+FoodData[[#This Row],[Adjust]]))</f>
        <v>#REF!</v>
      </c>
      <c r="C407" s="1" t="e">
        <f>LOOKUP(FoodData[[#This Row],[Score]],#REF!,#REF!)</f>
        <v>#REF!</v>
      </c>
      <c r="D407" t="s">
        <v>342</v>
      </c>
      <c r="E407" t="s">
        <v>28</v>
      </c>
      <c r="F407" t="s">
        <v>22</v>
      </c>
      <c r="G407" t="s">
        <v>23</v>
      </c>
      <c r="H407" t="s">
        <v>847</v>
      </c>
      <c r="I407" s="1" t="s">
        <v>26</v>
      </c>
      <c r="J407" s="1" t="s">
        <v>25</v>
      </c>
      <c r="K407" s="1" t="s">
        <v>26</v>
      </c>
      <c r="L407" s="1" t="s">
        <v>26</v>
      </c>
      <c r="M407" s="1" t="s">
        <v>25</v>
      </c>
      <c r="N407" s="1" t="s">
        <v>26</v>
      </c>
      <c r="O407" s="1" t="s">
        <v>25</v>
      </c>
      <c r="P407" s="1" t="s">
        <v>25</v>
      </c>
      <c r="Q407" s="1" t="s">
        <v>25</v>
      </c>
      <c r="R407" s="1" t="s">
        <v>25</v>
      </c>
      <c r="S407" s="2">
        <v>0</v>
      </c>
    </row>
    <row r="408" spans="1:19" x14ac:dyDescent="0.3">
      <c r="A408" t="s">
        <v>848</v>
      </c>
      <c r="B408" s="5" t="e" cm="1">
        <f t="array" ref="B408">MAX(#REF!,MIN(#REF!,#REF!+SUMPRODUCT(--(FoodData[[#This Row],[Healthy]:[Refined]]="Yes"),#REF!)+FoodData[[#This Row],[Adjust]]))</f>
        <v>#REF!</v>
      </c>
      <c r="C408" s="1" t="e">
        <f>LOOKUP(FoodData[[#This Row],[Score]],#REF!,#REF!)</f>
        <v>#REF!</v>
      </c>
      <c r="D408" t="s">
        <v>342</v>
      </c>
      <c r="E408" t="s">
        <v>28</v>
      </c>
      <c r="F408" t="s">
        <v>22</v>
      </c>
      <c r="G408" t="s">
        <v>29</v>
      </c>
      <c r="H408" t="s">
        <v>849</v>
      </c>
      <c r="I408" s="1" t="s">
        <v>26</v>
      </c>
      <c r="J408" s="1" t="s">
        <v>25</v>
      </c>
      <c r="K408" s="1" t="s">
        <v>25</v>
      </c>
      <c r="L408" s="1" t="s">
        <v>26</v>
      </c>
      <c r="M408" s="1" t="s">
        <v>25</v>
      </c>
      <c r="N408" s="1" t="s">
        <v>26</v>
      </c>
      <c r="O408" s="1" t="s">
        <v>25</v>
      </c>
      <c r="P408" s="1" t="s">
        <v>25</v>
      </c>
      <c r="Q408" s="1" t="s">
        <v>25</v>
      </c>
      <c r="R408" s="1" t="s">
        <v>25</v>
      </c>
      <c r="S408" s="2">
        <v>0</v>
      </c>
    </row>
    <row r="409" spans="1:19" x14ac:dyDescent="0.3">
      <c r="A409" t="s">
        <v>850</v>
      </c>
      <c r="B409" s="5" t="e" cm="1">
        <f t="array" ref="B409">MAX(#REF!,MIN(#REF!,#REF!+SUMPRODUCT(--(FoodData[[#This Row],[Healthy]:[Refined]]="Yes"),#REF!)+FoodData[[#This Row],[Adjust]]))</f>
        <v>#REF!</v>
      </c>
      <c r="C409" s="1" t="e">
        <f>LOOKUP(FoodData[[#This Row],[Score]],#REF!,#REF!)</f>
        <v>#REF!</v>
      </c>
      <c r="D409" t="s">
        <v>342</v>
      </c>
      <c r="E409" t="s">
        <v>28</v>
      </c>
      <c r="F409" t="s">
        <v>22</v>
      </c>
      <c r="G409" t="s">
        <v>29</v>
      </c>
      <c r="H409" t="s">
        <v>851</v>
      </c>
      <c r="I409" s="1" t="s">
        <v>26</v>
      </c>
      <c r="J409" s="1" t="s">
        <v>25</v>
      </c>
      <c r="K409" s="1" t="s">
        <v>25</v>
      </c>
      <c r="L409" s="1" t="s">
        <v>26</v>
      </c>
      <c r="M409" s="1" t="s">
        <v>25</v>
      </c>
      <c r="N409" s="1" t="s">
        <v>26</v>
      </c>
      <c r="O409" s="1" t="s">
        <v>25</v>
      </c>
      <c r="P409" s="1" t="s">
        <v>25</v>
      </c>
      <c r="Q409" s="1" t="s">
        <v>25</v>
      </c>
      <c r="R409" s="1" t="s">
        <v>25</v>
      </c>
      <c r="S409" s="2">
        <v>0</v>
      </c>
    </row>
    <row r="410" spans="1:19" x14ac:dyDescent="0.3">
      <c r="A410" t="s">
        <v>852</v>
      </c>
      <c r="B410" s="5" t="e" cm="1">
        <f t="array" ref="B410">MAX(#REF!,MIN(#REF!,#REF!+SUMPRODUCT(--(FoodData[[#This Row],[Healthy]:[Refined]]="Yes"),#REF!)+FoodData[[#This Row],[Adjust]]))</f>
        <v>#REF!</v>
      </c>
      <c r="C410" s="1" t="e">
        <f>LOOKUP(FoodData[[#This Row],[Score]],#REF!,#REF!)</f>
        <v>#REF!</v>
      </c>
      <c r="D410" t="s">
        <v>342</v>
      </c>
      <c r="E410" t="s">
        <v>28</v>
      </c>
      <c r="F410" t="s">
        <v>22</v>
      </c>
      <c r="G410" t="s">
        <v>23</v>
      </c>
      <c r="H410" t="s">
        <v>853</v>
      </c>
      <c r="I410" s="1" t="s">
        <v>25</v>
      </c>
      <c r="J410" s="1" t="s">
        <v>25</v>
      </c>
      <c r="K410" s="1" t="s">
        <v>26</v>
      </c>
      <c r="L410" s="1" t="s">
        <v>25</v>
      </c>
      <c r="M410" s="1" t="s">
        <v>25</v>
      </c>
      <c r="N410" s="1" t="s">
        <v>25</v>
      </c>
      <c r="O410" s="1" t="s">
        <v>25</v>
      </c>
      <c r="P410" s="1" t="s">
        <v>25</v>
      </c>
      <c r="Q410" s="1" t="s">
        <v>25</v>
      </c>
      <c r="R410" s="1" t="s">
        <v>25</v>
      </c>
      <c r="S410" s="2">
        <v>0</v>
      </c>
    </row>
    <row r="411" spans="1:19" x14ac:dyDescent="0.3">
      <c r="A411" t="s">
        <v>854</v>
      </c>
      <c r="B411" s="5" t="e" cm="1">
        <f t="array" ref="B411">MAX(#REF!,MIN(#REF!,#REF!+SUMPRODUCT(--(FoodData[[#This Row],[Healthy]:[Refined]]="Yes"),#REF!)+FoodData[[#This Row],[Adjust]]))</f>
        <v>#REF!</v>
      </c>
      <c r="C411" s="1" t="e">
        <f>LOOKUP(FoodData[[#This Row],[Score]],#REF!,#REF!)</f>
        <v>#REF!</v>
      </c>
      <c r="D411" t="s">
        <v>855</v>
      </c>
      <c r="E411" t="s">
        <v>856</v>
      </c>
      <c r="F411" t="s">
        <v>22</v>
      </c>
      <c r="G411" t="s">
        <v>489</v>
      </c>
      <c r="H411" t="s">
        <v>857</v>
      </c>
      <c r="I411" s="1" t="s">
        <v>26</v>
      </c>
      <c r="J411" s="1" t="s">
        <v>26</v>
      </c>
      <c r="K411" s="1" t="s">
        <v>25</v>
      </c>
      <c r="L411" s="1" t="s">
        <v>25</v>
      </c>
      <c r="M411" s="1" t="s">
        <v>25</v>
      </c>
      <c r="N411" s="1" t="s">
        <v>25</v>
      </c>
      <c r="O411" s="1" t="s">
        <v>25</v>
      </c>
      <c r="P411" s="1" t="s">
        <v>25</v>
      </c>
      <c r="Q411" s="1" t="s">
        <v>25</v>
      </c>
      <c r="R411" s="1" t="s">
        <v>25</v>
      </c>
      <c r="S411" s="2">
        <v>0</v>
      </c>
    </row>
    <row r="412" spans="1:19" x14ac:dyDescent="0.3">
      <c r="A412" t="s">
        <v>858</v>
      </c>
      <c r="B412" s="5" t="e" cm="1">
        <f t="array" ref="B412">MAX(#REF!,MIN(#REF!,#REF!+SUMPRODUCT(--(FoodData[[#This Row],[Healthy]:[Refined]]="Yes"),#REF!)+FoodData[[#This Row],[Adjust]]))</f>
        <v>#REF!</v>
      </c>
      <c r="C412" s="1" t="e">
        <f>LOOKUP(FoodData[[#This Row],[Score]],#REF!,#REF!)</f>
        <v>#REF!</v>
      </c>
      <c r="D412" t="s">
        <v>855</v>
      </c>
      <c r="E412" t="s">
        <v>856</v>
      </c>
      <c r="F412" t="s">
        <v>22</v>
      </c>
      <c r="G412" t="s">
        <v>162</v>
      </c>
      <c r="H412" t="s">
        <v>859</v>
      </c>
      <c r="I412" s="1" t="s">
        <v>25</v>
      </c>
      <c r="J412" s="1" t="s">
        <v>25</v>
      </c>
      <c r="K412" s="1" t="s">
        <v>25</v>
      </c>
      <c r="L412" s="1" t="s">
        <v>25</v>
      </c>
      <c r="M412" s="1" t="s">
        <v>26</v>
      </c>
      <c r="N412" s="1" t="s">
        <v>25</v>
      </c>
      <c r="O412" s="1" t="s">
        <v>25</v>
      </c>
      <c r="P412" s="1" t="s">
        <v>25</v>
      </c>
      <c r="Q412" s="1" t="s">
        <v>25</v>
      </c>
      <c r="R412" s="1" t="s">
        <v>25</v>
      </c>
      <c r="S412" s="2">
        <v>0</v>
      </c>
    </row>
    <row r="413" spans="1:19" x14ac:dyDescent="0.3">
      <c r="A413" t="s">
        <v>860</v>
      </c>
      <c r="B413" s="5" t="e" cm="1">
        <f t="array" ref="B413">MAX(#REF!,MIN(#REF!,#REF!+SUMPRODUCT(--(FoodData[[#This Row],[Healthy]:[Refined]]="Yes"),#REF!)+FoodData[[#This Row],[Adjust]]))</f>
        <v>#REF!</v>
      </c>
      <c r="C413" s="1" t="e">
        <f>LOOKUP(FoodData[[#This Row],[Score]],#REF!,#REF!)</f>
        <v>#REF!</v>
      </c>
      <c r="D413" t="s">
        <v>855</v>
      </c>
      <c r="E413" t="s">
        <v>856</v>
      </c>
      <c r="F413" t="s">
        <v>22</v>
      </c>
      <c r="G413" t="s">
        <v>489</v>
      </c>
      <c r="H413" t="s">
        <v>861</v>
      </c>
      <c r="I413" s="1" t="s">
        <v>25</v>
      </c>
      <c r="J413" s="1" t="s">
        <v>25</v>
      </c>
      <c r="K413" s="1" t="s">
        <v>26</v>
      </c>
      <c r="L413" s="1" t="s">
        <v>25</v>
      </c>
      <c r="M413" s="1" t="s">
        <v>26</v>
      </c>
      <c r="N413" s="1" t="s">
        <v>25</v>
      </c>
      <c r="O413" s="1" t="s">
        <v>25</v>
      </c>
      <c r="P413" s="1" t="s">
        <v>25</v>
      </c>
      <c r="Q413" s="1" t="s">
        <v>25</v>
      </c>
      <c r="R413" s="1" t="s">
        <v>25</v>
      </c>
      <c r="S413" s="2">
        <v>0</v>
      </c>
    </row>
    <row r="414" spans="1:19" x14ac:dyDescent="0.3">
      <c r="A414" t="s">
        <v>862</v>
      </c>
      <c r="B414" s="5" t="e" cm="1">
        <f t="array" ref="B414">MAX(#REF!,MIN(#REF!,#REF!+SUMPRODUCT(--(FoodData[[#This Row],[Healthy]:[Refined]]="Yes"),#REF!)+FoodData[[#This Row],[Adjust]]))</f>
        <v>#REF!</v>
      </c>
      <c r="C414" s="1" t="e">
        <f>LOOKUP(FoodData[[#This Row],[Score]],#REF!,#REF!)</f>
        <v>#REF!</v>
      </c>
      <c r="D414" t="s">
        <v>855</v>
      </c>
      <c r="E414" t="s">
        <v>856</v>
      </c>
      <c r="F414" t="s">
        <v>22</v>
      </c>
      <c r="G414" t="s">
        <v>29</v>
      </c>
      <c r="H414" t="s">
        <v>863</v>
      </c>
      <c r="I414" s="1" t="s">
        <v>26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25</v>
      </c>
      <c r="Q414" s="1" t="s">
        <v>25</v>
      </c>
      <c r="R414" s="1" t="s">
        <v>25</v>
      </c>
      <c r="S414" s="2">
        <v>0</v>
      </c>
    </row>
    <row r="415" spans="1:19" x14ac:dyDescent="0.3">
      <c r="A415" t="s">
        <v>864</v>
      </c>
      <c r="B415" s="5" t="e" cm="1">
        <f t="array" ref="B415">MAX(#REF!,MIN(#REF!,#REF!+SUMPRODUCT(--(FoodData[[#This Row],[Healthy]:[Refined]]="Yes"),#REF!)+FoodData[[#This Row],[Adjust]]))</f>
        <v>#REF!</v>
      </c>
      <c r="C415" s="1" t="e">
        <f>LOOKUP(FoodData[[#This Row],[Score]],#REF!,#REF!)</f>
        <v>#REF!</v>
      </c>
      <c r="D415" t="s">
        <v>855</v>
      </c>
      <c r="E415" t="s">
        <v>856</v>
      </c>
      <c r="F415" t="s">
        <v>22</v>
      </c>
      <c r="G415" t="s">
        <v>349</v>
      </c>
      <c r="H415" t="s">
        <v>865</v>
      </c>
      <c r="I415" s="1" t="s">
        <v>26</v>
      </c>
      <c r="J415" s="1" t="s">
        <v>25</v>
      </c>
      <c r="K415" s="1" t="s">
        <v>25</v>
      </c>
      <c r="L415" s="1" t="s">
        <v>25</v>
      </c>
      <c r="M415" s="1" t="s">
        <v>25</v>
      </c>
      <c r="N415" s="1" t="s">
        <v>25</v>
      </c>
      <c r="O415" s="1" t="s">
        <v>25</v>
      </c>
      <c r="P415" s="1" t="s">
        <v>25</v>
      </c>
      <c r="Q415" s="1" t="s">
        <v>25</v>
      </c>
      <c r="R415" s="1" t="s">
        <v>25</v>
      </c>
      <c r="S415" s="2">
        <v>0</v>
      </c>
    </row>
    <row r="416" spans="1:19" x14ac:dyDescent="0.3">
      <c r="A416" t="s">
        <v>866</v>
      </c>
      <c r="B416" s="5" t="e" cm="1">
        <f t="array" ref="B416">MAX(#REF!,MIN(#REF!,#REF!+SUMPRODUCT(--(FoodData[[#This Row],[Healthy]:[Refined]]="Yes"),#REF!)+FoodData[[#This Row],[Adjust]]))</f>
        <v>#REF!</v>
      </c>
      <c r="C416" s="1" t="e">
        <f>LOOKUP(FoodData[[#This Row],[Score]],#REF!,#REF!)</f>
        <v>#REF!</v>
      </c>
      <c r="D416" t="s">
        <v>855</v>
      </c>
      <c r="E416" t="s">
        <v>856</v>
      </c>
      <c r="F416" t="s">
        <v>22</v>
      </c>
      <c r="G416" t="s">
        <v>489</v>
      </c>
      <c r="H416" t="s">
        <v>867</v>
      </c>
      <c r="I416" s="1" t="s">
        <v>25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25</v>
      </c>
      <c r="Q416" s="1" t="s">
        <v>25</v>
      </c>
      <c r="R416" s="1" t="s">
        <v>25</v>
      </c>
      <c r="S416" s="2">
        <v>0</v>
      </c>
    </row>
    <row r="417" spans="1:19" x14ac:dyDescent="0.3">
      <c r="A417" t="s">
        <v>868</v>
      </c>
      <c r="B417" s="5" t="e" cm="1">
        <f t="array" ref="B417">MAX(#REF!,MIN(#REF!,#REF!+SUMPRODUCT(--(FoodData[[#This Row],[Healthy]:[Refined]]="Yes"),#REF!)+FoodData[[#This Row],[Adjust]]))</f>
        <v>#REF!</v>
      </c>
      <c r="C417" s="1" t="e">
        <f>LOOKUP(FoodData[[#This Row],[Score]],#REF!,#REF!)</f>
        <v>#REF!</v>
      </c>
      <c r="D417" t="s">
        <v>855</v>
      </c>
      <c r="E417" t="s">
        <v>856</v>
      </c>
      <c r="F417" t="s">
        <v>22</v>
      </c>
      <c r="G417" t="s">
        <v>162</v>
      </c>
      <c r="H417" t="s">
        <v>869</v>
      </c>
      <c r="I417" s="1" t="s">
        <v>26</v>
      </c>
      <c r="J417" s="1" t="s">
        <v>26</v>
      </c>
      <c r="K417" s="1" t="s">
        <v>25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25</v>
      </c>
      <c r="Q417" s="1" t="s">
        <v>25</v>
      </c>
      <c r="R417" s="1" t="s">
        <v>25</v>
      </c>
      <c r="S417" s="2">
        <v>0</v>
      </c>
    </row>
    <row r="418" spans="1:19" x14ac:dyDescent="0.3">
      <c r="A418" t="s">
        <v>870</v>
      </c>
      <c r="B418" s="5" t="e" cm="1">
        <f t="array" ref="B418">MAX(#REF!,MIN(#REF!,#REF!+SUMPRODUCT(--(FoodData[[#This Row],[Healthy]:[Refined]]="Yes"),#REF!)+FoodData[[#This Row],[Adjust]]))</f>
        <v>#REF!</v>
      </c>
      <c r="C418" s="1" t="e">
        <f>LOOKUP(FoodData[[#This Row],[Score]],#REF!,#REF!)</f>
        <v>#REF!</v>
      </c>
      <c r="D418" t="s">
        <v>855</v>
      </c>
      <c r="E418" t="s">
        <v>856</v>
      </c>
      <c r="F418" t="s">
        <v>22</v>
      </c>
      <c r="G418" t="s">
        <v>489</v>
      </c>
      <c r="H418" t="s">
        <v>871</v>
      </c>
      <c r="I418" s="1" t="s">
        <v>25</v>
      </c>
      <c r="J418" s="1" t="s">
        <v>25</v>
      </c>
      <c r="K418" s="1" t="s">
        <v>26</v>
      </c>
      <c r="L418" s="1" t="s">
        <v>25</v>
      </c>
      <c r="M418" s="1" t="s">
        <v>26</v>
      </c>
      <c r="N418" s="1" t="s">
        <v>25</v>
      </c>
      <c r="O418" s="1" t="s">
        <v>25</v>
      </c>
      <c r="P418" s="1" t="s">
        <v>25</v>
      </c>
      <c r="Q418" s="1" t="s">
        <v>26</v>
      </c>
      <c r="R418" s="1" t="s">
        <v>25</v>
      </c>
      <c r="S418" s="2">
        <v>0</v>
      </c>
    </row>
    <row r="419" spans="1:19" x14ac:dyDescent="0.3">
      <c r="A419" t="s">
        <v>872</v>
      </c>
      <c r="B419" s="5" t="e" cm="1">
        <f t="array" ref="B419">MAX(#REF!,MIN(#REF!,#REF!+SUMPRODUCT(--(FoodData[[#This Row],[Healthy]:[Refined]]="Yes"),#REF!)+FoodData[[#This Row],[Adjust]]))</f>
        <v>#REF!</v>
      </c>
      <c r="C419" s="1" t="e">
        <f>LOOKUP(FoodData[[#This Row],[Score]],#REF!,#REF!)</f>
        <v>#REF!</v>
      </c>
      <c r="D419" t="s">
        <v>855</v>
      </c>
      <c r="E419" t="s">
        <v>856</v>
      </c>
      <c r="F419" t="s">
        <v>22</v>
      </c>
      <c r="G419" t="s">
        <v>489</v>
      </c>
      <c r="H419" t="s">
        <v>873</v>
      </c>
      <c r="I419" s="1" t="s">
        <v>26</v>
      </c>
      <c r="J419" s="1" t="s">
        <v>26</v>
      </c>
      <c r="K419" s="1" t="s">
        <v>26</v>
      </c>
      <c r="L419" s="1" t="s">
        <v>25</v>
      </c>
      <c r="M419" s="1" t="s">
        <v>25</v>
      </c>
      <c r="N419" s="1" t="s">
        <v>25</v>
      </c>
      <c r="O419" s="1" t="s">
        <v>25</v>
      </c>
      <c r="P419" s="1" t="s">
        <v>25</v>
      </c>
      <c r="Q419" s="1" t="s">
        <v>25</v>
      </c>
      <c r="R419" s="1" t="s">
        <v>25</v>
      </c>
      <c r="S419" s="2">
        <v>0</v>
      </c>
    </row>
    <row r="420" spans="1:19" x14ac:dyDescent="0.3">
      <c r="A420" t="s">
        <v>874</v>
      </c>
      <c r="B420" s="5" t="e" cm="1">
        <f t="array" ref="B420">MAX(#REF!,MIN(#REF!,#REF!+SUMPRODUCT(--(FoodData[[#This Row],[Healthy]:[Refined]]="Yes"),#REF!)+FoodData[[#This Row],[Adjust]]))</f>
        <v>#REF!</v>
      </c>
      <c r="C420" s="1" t="e">
        <f>LOOKUP(FoodData[[#This Row],[Score]],#REF!,#REF!)</f>
        <v>#REF!</v>
      </c>
      <c r="D420" t="s">
        <v>855</v>
      </c>
      <c r="E420" t="s">
        <v>856</v>
      </c>
      <c r="F420" t="s">
        <v>22</v>
      </c>
      <c r="G420" t="s">
        <v>29</v>
      </c>
      <c r="H420" t="s">
        <v>875</v>
      </c>
      <c r="I420" s="1" t="s">
        <v>26</v>
      </c>
      <c r="J420" s="1" t="s">
        <v>26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25</v>
      </c>
      <c r="P420" s="1" t="s">
        <v>25</v>
      </c>
      <c r="Q420" s="1" t="s">
        <v>25</v>
      </c>
      <c r="R420" s="1" t="s">
        <v>25</v>
      </c>
      <c r="S420" s="2">
        <v>0</v>
      </c>
    </row>
    <row r="421" spans="1:19" x14ac:dyDescent="0.3">
      <c r="A421" t="s">
        <v>876</v>
      </c>
      <c r="B421" s="5" t="e" cm="1">
        <f t="array" ref="B421">MAX(#REF!,MIN(#REF!,#REF!+SUMPRODUCT(--(FoodData[[#This Row],[Healthy]:[Refined]]="Yes"),#REF!)+FoodData[[#This Row],[Adjust]]))</f>
        <v>#REF!</v>
      </c>
      <c r="C421" s="1" t="e">
        <f>LOOKUP(FoodData[[#This Row],[Score]],#REF!,#REF!)</f>
        <v>#REF!</v>
      </c>
      <c r="D421" t="s">
        <v>855</v>
      </c>
      <c r="E421" t="s">
        <v>856</v>
      </c>
      <c r="F421" t="s">
        <v>22</v>
      </c>
      <c r="G421" t="s">
        <v>489</v>
      </c>
      <c r="H421" t="s">
        <v>877</v>
      </c>
      <c r="I421" s="1" t="s">
        <v>25</v>
      </c>
      <c r="J421" s="1" t="s">
        <v>25</v>
      </c>
      <c r="K421" s="1" t="s">
        <v>26</v>
      </c>
      <c r="L421" s="1" t="s">
        <v>25</v>
      </c>
      <c r="M421" s="1" t="s">
        <v>26</v>
      </c>
      <c r="N421" s="1" t="s">
        <v>25</v>
      </c>
      <c r="O421" s="1" t="s">
        <v>25</v>
      </c>
      <c r="P421" s="1" t="s">
        <v>25</v>
      </c>
      <c r="Q421" s="1" t="s">
        <v>25</v>
      </c>
      <c r="R421" s="1" t="s">
        <v>25</v>
      </c>
      <c r="S421" s="2">
        <v>0</v>
      </c>
    </row>
    <row r="422" spans="1:19" x14ac:dyDescent="0.3">
      <c r="A422" t="s">
        <v>878</v>
      </c>
      <c r="B422" s="5" t="e" cm="1">
        <f t="array" ref="B422">MAX(#REF!,MIN(#REF!,#REF!+SUMPRODUCT(--(FoodData[[#This Row],[Healthy]:[Refined]]="Yes"),#REF!)+FoodData[[#This Row],[Adjust]]))</f>
        <v>#REF!</v>
      </c>
      <c r="C422" s="1" t="e">
        <f>LOOKUP(FoodData[[#This Row],[Score]],#REF!,#REF!)</f>
        <v>#REF!</v>
      </c>
      <c r="D422" t="s">
        <v>855</v>
      </c>
      <c r="E422" t="s">
        <v>856</v>
      </c>
      <c r="F422" t="s">
        <v>22</v>
      </c>
      <c r="G422" t="s">
        <v>489</v>
      </c>
      <c r="H422" t="s">
        <v>879</v>
      </c>
      <c r="I422" s="1" t="s">
        <v>25</v>
      </c>
      <c r="J422" s="1" t="s">
        <v>25</v>
      </c>
      <c r="K422" s="1" t="s">
        <v>26</v>
      </c>
      <c r="L422" s="1" t="s">
        <v>25</v>
      </c>
      <c r="M422" s="1" t="s">
        <v>26</v>
      </c>
      <c r="N422" s="1" t="s">
        <v>25</v>
      </c>
      <c r="O422" s="1" t="s">
        <v>25</v>
      </c>
      <c r="P422" s="1" t="s">
        <v>25</v>
      </c>
      <c r="Q422" s="1" t="s">
        <v>25</v>
      </c>
      <c r="R422" s="1" t="s">
        <v>25</v>
      </c>
      <c r="S422" s="2">
        <v>0</v>
      </c>
    </row>
    <row r="423" spans="1:19" x14ac:dyDescent="0.3">
      <c r="A423" t="s">
        <v>880</v>
      </c>
      <c r="B423" s="5" t="e" cm="1">
        <f t="array" ref="B423">MAX(#REF!,MIN(#REF!,#REF!+SUMPRODUCT(--(FoodData[[#This Row],[Healthy]:[Refined]]="Yes"),#REF!)+FoodData[[#This Row],[Adjust]]))</f>
        <v>#REF!</v>
      </c>
      <c r="C423" s="1" t="e">
        <f>LOOKUP(FoodData[[#This Row],[Score]],#REF!,#REF!)</f>
        <v>#REF!</v>
      </c>
      <c r="D423" t="s">
        <v>855</v>
      </c>
      <c r="E423" t="s">
        <v>856</v>
      </c>
      <c r="F423" t="s">
        <v>22</v>
      </c>
      <c r="G423" t="s">
        <v>489</v>
      </c>
      <c r="H423" t="s">
        <v>881</v>
      </c>
      <c r="I423" s="1" t="s">
        <v>26</v>
      </c>
      <c r="J423" s="1" t="s">
        <v>26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25</v>
      </c>
      <c r="Q423" s="1" t="s">
        <v>25</v>
      </c>
      <c r="R423" s="1" t="s">
        <v>25</v>
      </c>
      <c r="S423" s="2">
        <v>0</v>
      </c>
    </row>
    <row r="424" spans="1:19" x14ac:dyDescent="0.3">
      <c r="A424" t="s">
        <v>882</v>
      </c>
      <c r="B424" s="5" t="e" cm="1">
        <f t="array" ref="B424">MAX(#REF!,MIN(#REF!,#REF!+SUMPRODUCT(--(FoodData[[#This Row],[Healthy]:[Refined]]="Yes"),#REF!)+FoodData[[#This Row],[Adjust]]))</f>
        <v>#REF!</v>
      </c>
      <c r="C424" s="1" t="e">
        <f>LOOKUP(FoodData[[#This Row],[Score]],#REF!,#REF!)</f>
        <v>#REF!</v>
      </c>
      <c r="D424" t="s">
        <v>855</v>
      </c>
      <c r="E424" t="s">
        <v>856</v>
      </c>
      <c r="F424" t="s">
        <v>22</v>
      </c>
      <c r="G424" t="s">
        <v>489</v>
      </c>
      <c r="H424" t="s">
        <v>883</v>
      </c>
      <c r="I424" s="1" t="s">
        <v>25</v>
      </c>
      <c r="J424" s="1" t="s">
        <v>25</v>
      </c>
      <c r="K424" s="1" t="s">
        <v>26</v>
      </c>
      <c r="L424" s="1" t="s">
        <v>25</v>
      </c>
      <c r="M424" s="1" t="s">
        <v>26</v>
      </c>
      <c r="N424" s="1" t="s">
        <v>25</v>
      </c>
      <c r="O424" s="1" t="s">
        <v>25</v>
      </c>
      <c r="P424" s="1" t="s">
        <v>25</v>
      </c>
      <c r="Q424" s="1" t="s">
        <v>25</v>
      </c>
      <c r="R424" s="1" t="s">
        <v>25</v>
      </c>
      <c r="S424" s="2">
        <v>0</v>
      </c>
    </row>
    <row r="425" spans="1:19" x14ac:dyDescent="0.3">
      <c r="A425" t="s">
        <v>884</v>
      </c>
      <c r="B425" s="5" t="e" cm="1">
        <f t="array" ref="B425">MAX(#REF!,MIN(#REF!,#REF!+SUMPRODUCT(--(FoodData[[#This Row],[Healthy]:[Refined]]="Yes"),#REF!)+FoodData[[#This Row],[Adjust]]))</f>
        <v>#REF!</v>
      </c>
      <c r="C425" s="1" t="e">
        <f>LOOKUP(FoodData[[#This Row],[Score]],#REF!,#REF!)</f>
        <v>#REF!</v>
      </c>
      <c r="D425" t="s">
        <v>855</v>
      </c>
      <c r="E425" t="s">
        <v>856</v>
      </c>
      <c r="F425" t="s">
        <v>22</v>
      </c>
      <c r="G425" t="s">
        <v>489</v>
      </c>
      <c r="H425" t="s">
        <v>885</v>
      </c>
      <c r="I425" s="1" t="s">
        <v>25</v>
      </c>
      <c r="J425" s="1" t="s">
        <v>25</v>
      </c>
      <c r="K425" s="1" t="s">
        <v>26</v>
      </c>
      <c r="L425" s="1" t="s">
        <v>25</v>
      </c>
      <c r="M425" s="1" t="s">
        <v>26</v>
      </c>
      <c r="N425" s="1" t="s">
        <v>25</v>
      </c>
      <c r="O425" s="1" t="s">
        <v>25</v>
      </c>
      <c r="P425" s="1" t="s">
        <v>25</v>
      </c>
      <c r="Q425" s="1" t="s">
        <v>26</v>
      </c>
      <c r="R425" s="1" t="s">
        <v>25</v>
      </c>
      <c r="S425" s="2">
        <v>0</v>
      </c>
    </row>
    <row r="426" spans="1:19" x14ac:dyDescent="0.3">
      <c r="A426" t="s">
        <v>886</v>
      </c>
      <c r="B426" s="5" t="e" cm="1">
        <f t="array" ref="B426">MAX(#REF!,MIN(#REF!,#REF!+SUMPRODUCT(--(FoodData[[#This Row],[Healthy]:[Refined]]="Yes"),#REF!)+FoodData[[#This Row],[Adjust]]))</f>
        <v>#REF!</v>
      </c>
      <c r="C426" s="1" t="e">
        <f>LOOKUP(FoodData[[#This Row],[Score]],#REF!,#REF!)</f>
        <v>#REF!</v>
      </c>
      <c r="D426" t="s">
        <v>855</v>
      </c>
      <c r="E426" t="s">
        <v>856</v>
      </c>
      <c r="F426" t="s">
        <v>22</v>
      </c>
      <c r="G426" t="s">
        <v>489</v>
      </c>
      <c r="H426" t="s">
        <v>887</v>
      </c>
      <c r="I426" s="1" t="s">
        <v>26</v>
      </c>
      <c r="J426" s="1" t="s">
        <v>26</v>
      </c>
      <c r="K426" s="1" t="s">
        <v>26</v>
      </c>
      <c r="L426" s="1" t="s">
        <v>25</v>
      </c>
      <c r="M426" s="1" t="s">
        <v>25</v>
      </c>
      <c r="N426" s="1" t="s">
        <v>25</v>
      </c>
      <c r="O426" s="1" t="s">
        <v>25</v>
      </c>
      <c r="P426" s="1" t="s">
        <v>25</v>
      </c>
      <c r="Q426" s="1" t="s">
        <v>25</v>
      </c>
      <c r="R426" s="1" t="s">
        <v>25</v>
      </c>
      <c r="S426" s="2">
        <v>0</v>
      </c>
    </row>
    <row r="427" spans="1:19" x14ac:dyDescent="0.3">
      <c r="A427" t="s">
        <v>888</v>
      </c>
      <c r="B427" s="5" t="e" cm="1">
        <f t="array" ref="B427">MAX(#REF!,MIN(#REF!,#REF!+SUMPRODUCT(--(FoodData[[#This Row],[Healthy]:[Refined]]="Yes"),#REF!)+FoodData[[#This Row],[Adjust]]))</f>
        <v>#REF!</v>
      </c>
      <c r="C427" s="1" t="e">
        <f>LOOKUP(FoodData[[#This Row],[Score]],#REF!,#REF!)</f>
        <v>#REF!</v>
      </c>
      <c r="D427" t="s">
        <v>855</v>
      </c>
      <c r="E427" t="s">
        <v>856</v>
      </c>
      <c r="F427" t="s">
        <v>22</v>
      </c>
      <c r="G427" t="s">
        <v>349</v>
      </c>
      <c r="H427" t="s">
        <v>889</v>
      </c>
      <c r="I427" s="1" t="s">
        <v>25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25</v>
      </c>
      <c r="Q427" s="1" t="s">
        <v>26</v>
      </c>
      <c r="R427" s="1" t="s">
        <v>25</v>
      </c>
      <c r="S427" s="2">
        <v>0</v>
      </c>
    </row>
    <row r="428" spans="1:19" x14ac:dyDescent="0.3">
      <c r="A428" t="s">
        <v>890</v>
      </c>
      <c r="B428" s="5" t="e" cm="1">
        <f t="array" ref="B428">MAX(#REF!,MIN(#REF!,#REF!+SUMPRODUCT(--(FoodData[[#This Row],[Healthy]:[Refined]]="Yes"),#REF!)+FoodData[[#This Row],[Adjust]]))</f>
        <v>#REF!</v>
      </c>
      <c r="C428" s="1" t="e">
        <f>LOOKUP(FoodData[[#This Row],[Score]],#REF!,#REF!)</f>
        <v>#REF!</v>
      </c>
      <c r="D428" t="s">
        <v>855</v>
      </c>
      <c r="E428" t="s">
        <v>856</v>
      </c>
      <c r="F428" t="s">
        <v>22</v>
      </c>
      <c r="G428" t="s">
        <v>489</v>
      </c>
      <c r="H428" t="s">
        <v>891</v>
      </c>
      <c r="I428" s="1" t="s">
        <v>26</v>
      </c>
      <c r="J428" s="1" t="s">
        <v>26</v>
      </c>
      <c r="K428" s="1" t="s">
        <v>25</v>
      </c>
      <c r="L428" s="1" t="s">
        <v>25</v>
      </c>
      <c r="M428" s="1" t="s">
        <v>25</v>
      </c>
      <c r="N428" s="1" t="s">
        <v>25</v>
      </c>
      <c r="O428" s="1" t="s">
        <v>25</v>
      </c>
      <c r="P428" s="1" t="s">
        <v>25</v>
      </c>
      <c r="Q428" s="1" t="s">
        <v>25</v>
      </c>
      <c r="R428" s="1" t="s">
        <v>25</v>
      </c>
      <c r="S428" s="2">
        <v>0</v>
      </c>
    </row>
    <row r="429" spans="1:19" x14ac:dyDescent="0.3">
      <c r="A429" t="s">
        <v>892</v>
      </c>
      <c r="B429" s="5" t="e" cm="1">
        <f t="array" ref="B429">MAX(#REF!,MIN(#REF!,#REF!+SUMPRODUCT(--(FoodData[[#This Row],[Healthy]:[Refined]]="Yes"),#REF!)+FoodData[[#This Row],[Adjust]]))</f>
        <v>#REF!</v>
      </c>
      <c r="C429" s="1" t="e">
        <f>LOOKUP(FoodData[[#This Row],[Score]],#REF!,#REF!)</f>
        <v>#REF!</v>
      </c>
      <c r="D429" t="s">
        <v>855</v>
      </c>
      <c r="E429" t="s">
        <v>856</v>
      </c>
      <c r="F429" t="s">
        <v>22</v>
      </c>
      <c r="G429" t="s">
        <v>349</v>
      </c>
      <c r="H429" t="s">
        <v>893</v>
      </c>
      <c r="I429" s="1" t="s">
        <v>26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25</v>
      </c>
      <c r="Q429" s="1" t="s">
        <v>25</v>
      </c>
      <c r="R429" s="1" t="s">
        <v>25</v>
      </c>
      <c r="S429" s="2">
        <v>0</v>
      </c>
    </row>
    <row r="430" spans="1:19" x14ac:dyDescent="0.3">
      <c r="A430" t="s">
        <v>894</v>
      </c>
      <c r="B430" s="5" t="e" cm="1">
        <f t="array" ref="B430">MAX(#REF!,MIN(#REF!,#REF!+SUMPRODUCT(--(FoodData[[#This Row],[Healthy]:[Refined]]="Yes"),#REF!)+FoodData[[#This Row],[Adjust]]))</f>
        <v>#REF!</v>
      </c>
      <c r="C430" s="1" t="e">
        <f>LOOKUP(FoodData[[#This Row],[Score]],#REF!,#REF!)</f>
        <v>#REF!</v>
      </c>
      <c r="D430" t="s">
        <v>855</v>
      </c>
      <c r="E430" t="s">
        <v>856</v>
      </c>
      <c r="F430" t="s">
        <v>22</v>
      </c>
      <c r="G430" t="s">
        <v>349</v>
      </c>
      <c r="H430" t="s">
        <v>895</v>
      </c>
      <c r="I430" s="1" t="s">
        <v>26</v>
      </c>
      <c r="J430" s="1" t="s">
        <v>26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25</v>
      </c>
      <c r="Q430" s="1" t="s">
        <v>25</v>
      </c>
      <c r="R430" s="1" t="s">
        <v>25</v>
      </c>
      <c r="S430" s="2">
        <v>0</v>
      </c>
    </row>
    <row r="431" spans="1:19" x14ac:dyDescent="0.3">
      <c r="A431" t="s">
        <v>896</v>
      </c>
      <c r="B431" s="5" t="e" cm="1">
        <f t="array" ref="B431">MAX(#REF!,MIN(#REF!,#REF!+SUMPRODUCT(--(FoodData[[#This Row],[Healthy]:[Refined]]="Yes"),#REF!)+FoodData[[#This Row],[Adjust]]))</f>
        <v>#REF!</v>
      </c>
      <c r="C431" s="1" t="e">
        <f>LOOKUP(FoodData[[#This Row],[Score]],#REF!,#REF!)</f>
        <v>#REF!</v>
      </c>
      <c r="D431" t="s">
        <v>855</v>
      </c>
      <c r="E431" t="s">
        <v>856</v>
      </c>
      <c r="F431" t="s">
        <v>22</v>
      </c>
      <c r="G431" t="s">
        <v>349</v>
      </c>
      <c r="H431" t="s">
        <v>897</v>
      </c>
      <c r="I431" s="1" t="s">
        <v>26</v>
      </c>
      <c r="J431" s="1" t="s">
        <v>26</v>
      </c>
      <c r="K431" s="1" t="s">
        <v>25</v>
      </c>
      <c r="L431" s="1" t="s">
        <v>25</v>
      </c>
      <c r="M431" s="1" t="s">
        <v>25</v>
      </c>
      <c r="N431" s="1" t="s">
        <v>25</v>
      </c>
      <c r="O431" s="1" t="s">
        <v>25</v>
      </c>
      <c r="P431" s="1" t="s">
        <v>25</v>
      </c>
      <c r="Q431" s="1" t="s">
        <v>25</v>
      </c>
      <c r="R431" s="1" t="s">
        <v>25</v>
      </c>
      <c r="S431" s="2">
        <v>0</v>
      </c>
    </row>
    <row r="432" spans="1:19" x14ac:dyDescent="0.3">
      <c r="A432" t="s">
        <v>898</v>
      </c>
      <c r="B432" s="5" t="e" cm="1">
        <f t="array" ref="B432">MAX(#REF!,MIN(#REF!,#REF!+SUMPRODUCT(--(FoodData[[#This Row],[Healthy]:[Refined]]="Yes"),#REF!)+FoodData[[#This Row],[Adjust]]))</f>
        <v>#REF!</v>
      </c>
      <c r="C432" s="1" t="e">
        <f>LOOKUP(FoodData[[#This Row],[Score]],#REF!,#REF!)</f>
        <v>#REF!</v>
      </c>
      <c r="D432" t="s">
        <v>855</v>
      </c>
      <c r="E432" t="s">
        <v>856</v>
      </c>
      <c r="F432" t="s">
        <v>22</v>
      </c>
      <c r="G432" t="s">
        <v>489</v>
      </c>
      <c r="H432" t="s">
        <v>899</v>
      </c>
      <c r="I432" s="1" t="s">
        <v>25</v>
      </c>
      <c r="J432" s="1" t="s">
        <v>25</v>
      </c>
      <c r="K432" s="1" t="s">
        <v>25</v>
      </c>
      <c r="L432" s="1" t="s">
        <v>25</v>
      </c>
      <c r="M432" s="1" t="s">
        <v>26</v>
      </c>
      <c r="N432" s="1" t="s">
        <v>25</v>
      </c>
      <c r="O432" s="1" t="s">
        <v>25</v>
      </c>
      <c r="P432" s="1" t="s">
        <v>25</v>
      </c>
      <c r="Q432" s="1" t="s">
        <v>26</v>
      </c>
      <c r="R432" s="1" t="s">
        <v>25</v>
      </c>
      <c r="S432" s="2">
        <v>0</v>
      </c>
    </row>
    <row r="433" spans="1:19" x14ac:dyDescent="0.3">
      <c r="A433" t="s">
        <v>900</v>
      </c>
      <c r="B433" s="5" t="e" cm="1">
        <f t="array" ref="B433">MAX(#REF!,MIN(#REF!,#REF!+SUMPRODUCT(--(FoodData[[#This Row],[Healthy]:[Refined]]="Yes"),#REF!)+FoodData[[#This Row],[Adjust]]))</f>
        <v>#REF!</v>
      </c>
      <c r="C433" s="1" t="e">
        <f>LOOKUP(FoodData[[#This Row],[Score]],#REF!,#REF!)</f>
        <v>#REF!</v>
      </c>
      <c r="D433" t="s">
        <v>855</v>
      </c>
      <c r="E433" t="s">
        <v>856</v>
      </c>
      <c r="F433" t="s">
        <v>22</v>
      </c>
      <c r="G433" t="s">
        <v>489</v>
      </c>
      <c r="H433" t="s">
        <v>901</v>
      </c>
      <c r="I433" s="1" t="s">
        <v>26</v>
      </c>
      <c r="J433" s="1" t="s">
        <v>26</v>
      </c>
      <c r="K433" s="1" t="s">
        <v>26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25</v>
      </c>
      <c r="Q433" s="1" t="s">
        <v>25</v>
      </c>
      <c r="R433" s="1" t="s">
        <v>25</v>
      </c>
      <c r="S433" s="2">
        <v>0</v>
      </c>
    </row>
    <row r="434" spans="1:19" x14ac:dyDescent="0.3">
      <c r="A434" t="s">
        <v>902</v>
      </c>
      <c r="B434" s="5" t="e" cm="1">
        <f t="array" ref="B434">MAX(#REF!,MIN(#REF!,#REF!+SUMPRODUCT(--(FoodData[[#This Row],[Healthy]:[Refined]]="Yes"),#REF!)+FoodData[[#This Row],[Adjust]]))</f>
        <v>#REF!</v>
      </c>
      <c r="C434" s="1" t="e">
        <f>LOOKUP(FoodData[[#This Row],[Score]],#REF!,#REF!)</f>
        <v>#REF!</v>
      </c>
      <c r="D434" t="s">
        <v>855</v>
      </c>
      <c r="E434" t="s">
        <v>856</v>
      </c>
      <c r="F434" t="s">
        <v>22</v>
      </c>
      <c r="G434" t="s">
        <v>489</v>
      </c>
      <c r="H434" t="s">
        <v>903</v>
      </c>
      <c r="I434" s="1" t="s">
        <v>25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25</v>
      </c>
      <c r="O434" s="1" t="s">
        <v>25</v>
      </c>
      <c r="P434" s="1" t="s">
        <v>25</v>
      </c>
      <c r="Q434" s="1" t="s">
        <v>25</v>
      </c>
      <c r="R434" s="1" t="s">
        <v>25</v>
      </c>
      <c r="S434" s="2">
        <v>0</v>
      </c>
    </row>
    <row r="435" spans="1:19" x14ac:dyDescent="0.3">
      <c r="A435" t="s">
        <v>904</v>
      </c>
      <c r="B435" s="5" t="e" cm="1">
        <f t="array" ref="B435">MAX(#REF!,MIN(#REF!,#REF!+SUMPRODUCT(--(FoodData[[#This Row],[Healthy]:[Refined]]="Yes"),#REF!)+FoodData[[#This Row],[Adjust]]))</f>
        <v>#REF!</v>
      </c>
      <c r="C435" s="1" t="e">
        <f>LOOKUP(FoodData[[#This Row],[Score]],#REF!,#REF!)</f>
        <v>#REF!</v>
      </c>
      <c r="D435" t="s">
        <v>855</v>
      </c>
      <c r="E435" t="s">
        <v>856</v>
      </c>
      <c r="F435" t="s">
        <v>22</v>
      </c>
      <c r="G435" t="s">
        <v>489</v>
      </c>
      <c r="H435" t="s">
        <v>905</v>
      </c>
      <c r="I435" s="1" t="s">
        <v>25</v>
      </c>
      <c r="J435" s="1" t="s">
        <v>25</v>
      </c>
      <c r="K435" s="1" t="s">
        <v>26</v>
      </c>
      <c r="L435" s="1" t="s">
        <v>25</v>
      </c>
      <c r="M435" s="1" t="s">
        <v>26</v>
      </c>
      <c r="N435" s="1" t="s">
        <v>25</v>
      </c>
      <c r="O435" s="1" t="s">
        <v>25</v>
      </c>
      <c r="P435" s="1" t="s">
        <v>25</v>
      </c>
      <c r="Q435" s="1" t="s">
        <v>25</v>
      </c>
      <c r="R435" s="1" t="s">
        <v>25</v>
      </c>
      <c r="S435" s="2">
        <v>0</v>
      </c>
    </row>
    <row r="436" spans="1:19" x14ac:dyDescent="0.3">
      <c r="A436" t="s">
        <v>906</v>
      </c>
      <c r="B436" s="5" t="e" cm="1">
        <f t="array" ref="B436">MAX(#REF!,MIN(#REF!,#REF!+SUMPRODUCT(--(FoodData[[#This Row],[Healthy]:[Refined]]="Yes"),#REF!)+FoodData[[#This Row],[Adjust]]))</f>
        <v>#REF!</v>
      </c>
      <c r="C436" s="1" t="e">
        <f>LOOKUP(FoodData[[#This Row],[Score]],#REF!,#REF!)</f>
        <v>#REF!</v>
      </c>
      <c r="D436" t="s">
        <v>855</v>
      </c>
      <c r="E436" t="s">
        <v>856</v>
      </c>
      <c r="F436" t="s">
        <v>22</v>
      </c>
      <c r="G436" t="s">
        <v>162</v>
      </c>
      <c r="H436" t="s">
        <v>907</v>
      </c>
      <c r="I436" s="1" t="s">
        <v>26</v>
      </c>
      <c r="J436" s="1" t="s">
        <v>25</v>
      </c>
      <c r="K436" s="1" t="s">
        <v>26</v>
      </c>
      <c r="L436" s="1" t="s">
        <v>25</v>
      </c>
      <c r="M436" s="1" t="s">
        <v>25</v>
      </c>
      <c r="N436" s="1" t="s">
        <v>25</v>
      </c>
      <c r="O436" s="1" t="s">
        <v>25</v>
      </c>
      <c r="P436" s="1" t="s">
        <v>25</v>
      </c>
      <c r="Q436" s="1" t="s">
        <v>25</v>
      </c>
      <c r="R436" s="1" t="s">
        <v>25</v>
      </c>
      <c r="S436" s="2">
        <v>0</v>
      </c>
    </row>
    <row r="437" spans="1:19" x14ac:dyDescent="0.3">
      <c r="A437" t="s">
        <v>908</v>
      </c>
      <c r="B437" s="5" t="e" cm="1">
        <f t="array" ref="B437">MAX(#REF!,MIN(#REF!,#REF!+SUMPRODUCT(--(FoodData[[#This Row],[Healthy]:[Refined]]="Yes"),#REF!)+FoodData[[#This Row],[Adjust]]))</f>
        <v>#REF!</v>
      </c>
      <c r="C437" s="1" t="e">
        <f>LOOKUP(FoodData[[#This Row],[Score]],#REF!,#REF!)</f>
        <v>#REF!</v>
      </c>
      <c r="D437" t="s">
        <v>855</v>
      </c>
      <c r="E437" t="s">
        <v>856</v>
      </c>
      <c r="F437" t="s">
        <v>22</v>
      </c>
      <c r="G437" t="s">
        <v>489</v>
      </c>
      <c r="H437" t="s">
        <v>909</v>
      </c>
      <c r="I437" s="1" t="s">
        <v>25</v>
      </c>
      <c r="J437" s="1" t="s">
        <v>25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25</v>
      </c>
      <c r="P437" s="1" t="s">
        <v>25</v>
      </c>
      <c r="Q437" s="1" t="s">
        <v>25</v>
      </c>
      <c r="R437" s="1" t="s">
        <v>25</v>
      </c>
      <c r="S437" s="2">
        <v>0</v>
      </c>
    </row>
    <row r="438" spans="1:19" x14ac:dyDescent="0.3">
      <c r="A438" t="s">
        <v>910</v>
      </c>
      <c r="B438" s="5" t="e" cm="1">
        <f t="array" ref="B438">MAX(#REF!,MIN(#REF!,#REF!+SUMPRODUCT(--(FoodData[[#This Row],[Healthy]:[Refined]]="Yes"),#REF!)+FoodData[[#This Row],[Adjust]]))</f>
        <v>#REF!</v>
      </c>
      <c r="C438" s="1" t="e">
        <f>LOOKUP(FoodData[[#This Row],[Score]],#REF!,#REF!)</f>
        <v>#REF!</v>
      </c>
      <c r="D438" t="s">
        <v>855</v>
      </c>
      <c r="E438" t="s">
        <v>856</v>
      </c>
      <c r="F438" t="s">
        <v>22</v>
      </c>
      <c r="G438" t="s">
        <v>489</v>
      </c>
      <c r="H438" t="s">
        <v>911</v>
      </c>
      <c r="I438" s="1" t="s">
        <v>26</v>
      </c>
      <c r="J438" s="1" t="s">
        <v>26</v>
      </c>
      <c r="K438" s="1" t="s">
        <v>25</v>
      </c>
      <c r="L438" s="1" t="s">
        <v>25</v>
      </c>
      <c r="M438" s="1" t="s">
        <v>25</v>
      </c>
      <c r="N438" s="1" t="s">
        <v>25</v>
      </c>
      <c r="O438" s="1" t="s">
        <v>25</v>
      </c>
      <c r="P438" s="1" t="s">
        <v>25</v>
      </c>
      <c r="Q438" s="1" t="s">
        <v>25</v>
      </c>
      <c r="R438" s="1" t="s">
        <v>25</v>
      </c>
      <c r="S438" s="2">
        <v>0</v>
      </c>
    </row>
    <row r="439" spans="1:19" x14ac:dyDescent="0.3">
      <c r="A439" t="s">
        <v>912</v>
      </c>
      <c r="B439" s="5" t="e" cm="1">
        <f t="array" ref="B439">MAX(#REF!,MIN(#REF!,#REF!+SUMPRODUCT(--(FoodData[[#This Row],[Healthy]:[Refined]]="Yes"),#REF!)+FoodData[[#This Row],[Adjust]]))</f>
        <v>#REF!</v>
      </c>
      <c r="C439" s="1" t="e">
        <f>LOOKUP(FoodData[[#This Row],[Score]],#REF!,#REF!)</f>
        <v>#REF!</v>
      </c>
      <c r="D439" t="s">
        <v>855</v>
      </c>
      <c r="E439" t="s">
        <v>856</v>
      </c>
      <c r="F439" t="s">
        <v>22</v>
      </c>
      <c r="G439" t="s">
        <v>162</v>
      </c>
      <c r="H439" t="s">
        <v>913</v>
      </c>
      <c r="I439" s="1" t="s">
        <v>26</v>
      </c>
      <c r="J439" s="1" t="s">
        <v>26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25</v>
      </c>
      <c r="Q439" s="1" t="s">
        <v>25</v>
      </c>
      <c r="R439" s="1" t="s">
        <v>25</v>
      </c>
      <c r="S439" s="2">
        <v>0</v>
      </c>
    </row>
    <row r="440" spans="1:19" x14ac:dyDescent="0.3">
      <c r="A440" t="s">
        <v>914</v>
      </c>
      <c r="B440" s="5" t="e" cm="1">
        <f t="array" ref="B440">MAX(#REF!,MIN(#REF!,#REF!+SUMPRODUCT(--(FoodData[[#This Row],[Healthy]:[Refined]]="Yes"),#REF!)+FoodData[[#This Row],[Adjust]]))</f>
        <v>#REF!</v>
      </c>
      <c r="C440" s="1" t="e">
        <f>LOOKUP(FoodData[[#This Row],[Score]],#REF!,#REF!)</f>
        <v>#REF!</v>
      </c>
      <c r="D440" t="s">
        <v>855</v>
      </c>
      <c r="E440" t="s">
        <v>856</v>
      </c>
      <c r="F440" t="s">
        <v>22</v>
      </c>
      <c r="G440" t="s">
        <v>489</v>
      </c>
      <c r="H440" t="s">
        <v>915</v>
      </c>
      <c r="I440" s="1" t="s">
        <v>25</v>
      </c>
      <c r="J440" s="1" t="s">
        <v>25</v>
      </c>
      <c r="K440" s="1" t="s">
        <v>26</v>
      </c>
      <c r="L440" s="1" t="s">
        <v>25</v>
      </c>
      <c r="M440" s="1" t="s">
        <v>26</v>
      </c>
      <c r="N440" s="1" t="s">
        <v>25</v>
      </c>
      <c r="O440" s="1" t="s">
        <v>25</v>
      </c>
      <c r="P440" s="1" t="s">
        <v>25</v>
      </c>
      <c r="Q440" s="1" t="s">
        <v>26</v>
      </c>
      <c r="R440" s="1" t="s">
        <v>25</v>
      </c>
      <c r="S440" s="2">
        <v>0</v>
      </c>
    </row>
    <row r="441" spans="1:19" x14ac:dyDescent="0.3">
      <c r="A441" t="s">
        <v>916</v>
      </c>
      <c r="B441" s="5" t="e" cm="1">
        <f t="array" ref="B441">MAX(#REF!,MIN(#REF!,#REF!+SUMPRODUCT(--(FoodData[[#This Row],[Healthy]:[Refined]]="Yes"),#REF!)+FoodData[[#This Row],[Adjust]]))</f>
        <v>#REF!</v>
      </c>
      <c r="C441" s="1" t="e">
        <f>LOOKUP(FoodData[[#This Row],[Score]],#REF!,#REF!)</f>
        <v>#REF!</v>
      </c>
      <c r="D441" t="s">
        <v>855</v>
      </c>
      <c r="E441" t="s">
        <v>856</v>
      </c>
      <c r="F441" t="s">
        <v>22</v>
      </c>
      <c r="G441" t="s">
        <v>489</v>
      </c>
      <c r="H441" t="s">
        <v>917</v>
      </c>
      <c r="I441" s="1" t="s">
        <v>25</v>
      </c>
      <c r="J441" s="1" t="s">
        <v>25</v>
      </c>
      <c r="K441" s="1" t="s">
        <v>26</v>
      </c>
      <c r="L441" s="1" t="s">
        <v>25</v>
      </c>
      <c r="M441" s="1" t="s">
        <v>26</v>
      </c>
      <c r="N441" s="1" t="s">
        <v>25</v>
      </c>
      <c r="O441" s="1" t="s">
        <v>25</v>
      </c>
      <c r="P441" s="1" t="s">
        <v>25</v>
      </c>
      <c r="Q441" s="1" t="s">
        <v>26</v>
      </c>
      <c r="R441" s="1" t="s">
        <v>25</v>
      </c>
      <c r="S441" s="2">
        <v>0</v>
      </c>
    </row>
    <row r="442" spans="1:19" x14ac:dyDescent="0.3">
      <c r="A442" t="s">
        <v>918</v>
      </c>
      <c r="B442" s="5" t="e" cm="1">
        <f t="array" ref="B442">MAX(#REF!,MIN(#REF!,#REF!+SUMPRODUCT(--(FoodData[[#This Row],[Healthy]:[Refined]]="Yes"),#REF!)+FoodData[[#This Row],[Adjust]]))</f>
        <v>#REF!</v>
      </c>
      <c r="C442" s="1" t="e">
        <f>LOOKUP(FoodData[[#This Row],[Score]],#REF!,#REF!)</f>
        <v>#REF!</v>
      </c>
      <c r="D442" t="s">
        <v>855</v>
      </c>
      <c r="E442" t="s">
        <v>856</v>
      </c>
      <c r="F442" t="s">
        <v>22</v>
      </c>
      <c r="G442" t="s">
        <v>489</v>
      </c>
      <c r="H442" t="s">
        <v>918</v>
      </c>
      <c r="I442" s="1" t="s">
        <v>26</v>
      </c>
      <c r="J442" s="1" t="s">
        <v>26</v>
      </c>
      <c r="K442" s="1" t="s">
        <v>25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25</v>
      </c>
      <c r="Q442" s="1" t="s">
        <v>25</v>
      </c>
      <c r="R442" s="1" t="s">
        <v>25</v>
      </c>
      <c r="S442" s="2">
        <v>0</v>
      </c>
    </row>
    <row r="443" spans="1:19" x14ac:dyDescent="0.3">
      <c r="A443" t="s">
        <v>919</v>
      </c>
      <c r="B443" s="5" t="e" cm="1">
        <f t="array" ref="B443">MAX(#REF!,MIN(#REF!,#REF!+SUMPRODUCT(--(FoodData[[#This Row],[Healthy]:[Refined]]="Yes"),#REF!)+FoodData[[#This Row],[Adjust]]))</f>
        <v>#REF!</v>
      </c>
      <c r="C443" s="1" t="e">
        <f>LOOKUP(FoodData[[#This Row],[Score]],#REF!,#REF!)</f>
        <v>#REF!</v>
      </c>
      <c r="D443" t="s">
        <v>855</v>
      </c>
      <c r="E443" t="s">
        <v>856</v>
      </c>
      <c r="F443" t="s">
        <v>22</v>
      </c>
      <c r="G443" t="s">
        <v>489</v>
      </c>
      <c r="H443" t="s">
        <v>920</v>
      </c>
      <c r="I443" s="1" t="s">
        <v>25</v>
      </c>
      <c r="J443" s="1" t="s">
        <v>25</v>
      </c>
      <c r="K443" s="1" t="s">
        <v>25</v>
      </c>
      <c r="L443" s="1" t="s">
        <v>25</v>
      </c>
      <c r="M443" s="1" t="s">
        <v>26</v>
      </c>
      <c r="N443" s="1" t="s">
        <v>25</v>
      </c>
      <c r="O443" s="1" t="s">
        <v>25</v>
      </c>
      <c r="P443" s="1" t="s">
        <v>25</v>
      </c>
      <c r="Q443" s="1" t="s">
        <v>26</v>
      </c>
      <c r="R443" s="1" t="s">
        <v>25</v>
      </c>
      <c r="S443" s="2">
        <v>0</v>
      </c>
    </row>
    <row r="444" spans="1:19" x14ac:dyDescent="0.3">
      <c r="A444" t="s">
        <v>921</v>
      </c>
      <c r="B444" s="5" t="e" cm="1">
        <f t="array" ref="B444">MAX(#REF!,MIN(#REF!,#REF!+SUMPRODUCT(--(FoodData[[#This Row],[Healthy]:[Refined]]="Yes"),#REF!)+FoodData[[#This Row],[Adjust]]))</f>
        <v>#REF!</v>
      </c>
      <c r="C444" s="1" t="e">
        <f>LOOKUP(FoodData[[#This Row],[Score]],#REF!,#REF!)</f>
        <v>#REF!</v>
      </c>
      <c r="D444" t="s">
        <v>855</v>
      </c>
      <c r="E444" t="s">
        <v>856</v>
      </c>
      <c r="F444" t="s">
        <v>22</v>
      </c>
      <c r="G444" t="s">
        <v>489</v>
      </c>
      <c r="H444" t="s">
        <v>922</v>
      </c>
      <c r="I444" s="1" t="s">
        <v>25</v>
      </c>
      <c r="J444" s="1" t="s">
        <v>25</v>
      </c>
      <c r="K444" s="1" t="s">
        <v>26</v>
      </c>
      <c r="L444" s="1" t="s">
        <v>25</v>
      </c>
      <c r="M444" s="1" t="s">
        <v>26</v>
      </c>
      <c r="N444" s="1" t="s">
        <v>25</v>
      </c>
      <c r="O444" s="1" t="s">
        <v>25</v>
      </c>
      <c r="P444" s="1" t="s">
        <v>25</v>
      </c>
      <c r="Q444" s="1" t="s">
        <v>26</v>
      </c>
      <c r="R444" s="1" t="s">
        <v>25</v>
      </c>
      <c r="S444" s="2">
        <v>0</v>
      </c>
    </row>
    <row r="445" spans="1:19" x14ac:dyDescent="0.3">
      <c r="A445" t="s">
        <v>923</v>
      </c>
      <c r="B445" s="5" t="e" cm="1">
        <f t="array" ref="B445">MAX(#REF!,MIN(#REF!,#REF!+SUMPRODUCT(--(FoodData[[#This Row],[Healthy]:[Refined]]="Yes"),#REF!)+FoodData[[#This Row],[Adjust]]))</f>
        <v>#REF!</v>
      </c>
      <c r="C445" s="1" t="e">
        <f>LOOKUP(FoodData[[#This Row],[Score]],#REF!,#REF!)</f>
        <v>#REF!</v>
      </c>
      <c r="D445" t="s">
        <v>855</v>
      </c>
      <c r="E445" t="s">
        <v>856</v>
      </c>
      <c r="F445" t="s">
        <v>22</v>
      </c>
      <c r="G445" t="s">
        <v>489</v>
      </c>
      <c r="H445" t="s">
        <v>924</v>
      </c>
      <c r="I445" s="1" t="s">
        <v>25</v>
      </c>
      <c r="J445" s="1" t="s">
        <v>25</v>
      </c>
      <c r="K445" s="1" t="s">
        <v>26</v>
      </c>
      <c r="L445" s="1" t="s">
        <v>25</v>
      </c>
      <c r="M445" s="1" t="s">
        <v>26</v>
      </c>
      <c r="N445" s="1" t="s">
        <v>25</v>
      </c>
      <c r="O445" s="1" t="s">
        <v>25</v>
      </c>
      <c r="P445" s="1" t="s">
        <v>25</v>
      </c>
      <c r="Q445" s="1" t="s">
        <v>26</v>
      </c>
      <c r="R445" s="1" t="s">
        <v>25</v>
      </c>
      <c r="S445" s="2">
        <v>0</v>
      </c>
    </row>
    <row r="446" spans="1:19" x14ac:dyDescent="0.3">
      <c r="A446" t="s">
        <v>925</v>
      </c>
      <c r="B446" s="5" t="e" cm="1">
        <f t="array" ref="B446">MAX(#REF!,MIN(#REF!,#REF!+SUMPRODUCT(--(FoodData[[#This Row],[Healthy]:[Refined]]="Yes"),#REF!)+FoodData[[#This Row],[Adjust]]))</f>
        <v>#REF!</v>
      </c>
      <c r="C446" s="1" t="e">
        <f>LOOKUP(FoodData[[#This Row],[Score]],#REF!,#REF!)</f>
        <v>#REF!</v>
      </c>
      <c r="D446" t="s">
        <v>855</v>
      </c>
      <c r="E446" t="s">
        <v>856</v>
      </c>
      <c r="F446" t="s">
        <v>22</v>
      </c>
      <c r="G446" t="s">
        <v>489</v>
      </c>
      <c r="H446" t="s">
        <v>926</v>
      </c>
      <c r="I446" s="1" t="s">
        <v>26</v>
      </c>
      <c r="J446" s="1" t="s">
        <v>25</v>
      </c>
      <c r="K446" s="1" t="s">
        <v>26</v>
      </c>
      <c r="L446" s="1" t="s">
        <v>25</v>
      </c>
      <c r="M446" s="1" t="s">
        <v>25</v>
      </c>
      <c r="N446" s="1" t="s">
        <v>25</v>
      </c>
      <c r="O446" s="1" t="s">
        <v>25</v>
      </c>
      <c r="P446" s="1" t="s">
        <v>25</v>
      </c>
      <c r="Q446" s="1" t="s">
        <v>25</v>
      </c>
      <c r="R446" s="1" t="s">
        <v>25</v>
      </c>
      <c r="S446" s="2">
        <v>0</v>
      </c>
    </row>
    <row r="447" spans="1:19" x14ac:dyDescent="0.3">
      <c r="A447" t="s">
        <v>927</v>
      </c>
      <c r="B447" s="5" t="e" cm="1">
        <f t="array" ref="B447">MAX(#REF!,MIN(#REF!,#REF!+SUMPRODUCT(--(FoodData[[#This Row],[Healthy]:[Refined]]="Yes"),#REF!)+FoodData[[#This Row],[Adjust]]))</f>
        <v>#REF!</v>
      </c>
      <c r="C447" s="1" t="e">
        <f>LOOKUP(FoodData[[#This Row],[Score]],#REF!,#REF!)</f>
        <v>#REF!</v>
      </c>
      <c r="D447" t="s">
        <v>855</v>
      </c>
      <c r="E447" t="s">
        <v>856</v>
      </c>
      <c r="F447" t="s">
        <v>22</v>
      </c>
      <c r="G447" t="s">
        <v>29</v>
      </c>
      <c r="H447" t="s">
        <v>928</v>
      </c>
      <c r="I447" s="1" t="s">
        <v>26</v>
      </c>
      <c r="J447" s="1" t="s">
        <v>26</v>
      </c>
      <c r="K447" s="1" t="s">
        <v>25</v>
      </c>
      <c r="L447" s="1" t="s">
        <v>25</v>
      </c>
      <c r="M447" s="1" t="s">
        <v>25</v>
      </c>
      <c r="N447" s="1" t="s">
        <v>25</v>
      </c>
      <c r="O447" s="1" t="s">
        <v>25</v>
      </c>
      <c r="P447" s="1" t="s">
        <v>25</v>
      </c>
      <c r="Q447" s="1" t="s">
        <v>25</v>
      </c>
      <c r="R447" s="1" t="s">
        <v>25</v>
      </c>
      <c r="S447" s="2">
        <v>0</v>
      </c>
    </row>
    <row r="448" spans="1:19" x14ac:dyDescent="0.3">
      <c r="A448" t="s">
        <v>929</v>
      </c>
      <c r="B448" s="5" t="e" cm="1">
        <f t="array" ref="B448">MAX(#REF!,MIN(#REF!,#REF!+SUMPRODUCT(--(FoodData[[#This Row],[Healthy]:[Refined]]="Yes"),#REF!)+FoodData[[#This Row],[Adjust]]))</f>
        <v>#REF!</v>
      </c>
      <c r="C448" s="1" t="e">
        <f>LOOKUP(FoodData[[#This Row],[Score]],#REF!,#REF!)</f>
        <v>#REF!</v>
      </c>
      <c r="D448" t="s">
        <v>855</v>
      </c>
      <c r="E448" t="s">
        <v>856</v>
      </c>
      <c r="F448" t="s">
        <v>22</v>
      </c>
      <c r="G448" t="s">
        <v>489</v>
      </c>
      <c r="H448" t="s">
        <v>930</v>
      </c>
      <c r="I448" s="1" t="s">
        <v>25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25</v>
      </c>
      <c r="Q448" s="1" t="s">
        <v>26</v>
      </c>
      <c r="R448" s="1" t="s">
        <v>25</v>
      </c>
      <c r="S448" s="2">
        <v>0</v>
      </c>
    </row>
    <row r="449" spans="1:19" x14ac:dyDescent="0.3">
      <c r="A449" t="s">
        <v>931</v>
      </c>
      <c r="B449" s="5" t="e" cm="1">
        <f t="array" ref="B449">MAX(#REF!,MIN(#REF!,#REF!+SUMPRODUCT(--(FoodData[[#This Row],[Healthy]:[Refined]]="Yes"),#REF!)+FoodData[[#This Row],[Adjust]]))</f>
        <v>#REF!</v>
      </c>
      <c r="C449" s="1" t="e">
        <f>LOOKUP(FoodData[[#This Row],[Score]],#REF!,#REF!)</f>
        <v>#REF!</v>
      </c>
      <c r="D449" t="s">
        <v>855</v>
      </c>
      <c r="E449" t="s">
        <v>856</v>
      </c>
      <c r="F449" t="s">
        <v>22</v>
      </c>
      <c r="G449" t="s">
        <v>489</v>
      </c>
      <c r="H449" t="s">
        <v>932</v>
      </c>
      <c r="I449" s="1" t="s">
        <v>25</v>
      </c>
      <c r="J449" s="1" t="s">
        <v>25</v>
      </c>
      <c r="K449" s="1" t="s">
        <v>26</v>
      </c>
      <c r="L449" s="1" t="s">
        <v>25</v>
      </c>
      <c r="M449" s="1" t="s">
        <v>26</v>
      </c>
      <c r="N449" s="1" t="s">
        <v>25</v>
      </c>
      <c r="O449" s="1" t="s">
        <v>25</v>
      </c>
      <c r="P449" s="1" t="s">
        <v>25</v>
      </c>
      <c r="Q449" s="1" t="s">
        <v>25</v>
      </c>
      <c r="R449" s="1" t="s">
        <v>25</v>
      </c>
      <c r="S449" s="2">
        <v>0</v>
      </c>
    </row>
    <row r="450" spans="1:19" x14ac:dyDescent="0.3">
      <c r="A450" t="s">
        <v>933</v>
      </c>
      <c r="B450" s="5" t="e" cm="1">
        <f t="array" ref="B450">MAX(#REF!,MIN(#REF!,#REF!+SUMPRODUCT(--(FoodData[[#This Row],[Healthy]:[Refined]]="Yes"),#REF!)+FoodData[[#This Row],[Adjust]]))</f>
        <v>#REF!</v>
      </c>
      <c r="C450" s="1" t="e">
        <f>LOOKUP(FoodData[[#This Row],[Score]],#REF!,#REF!)</f>
        <v>#REF!</v>
      </c>
      <c r="D450" t="s">
        <v>855</v>
      </c>
      <c r="E450" t="s">
        <v>856</v>
      </c>
      <c r="F450" t="s">
        <v>22</v>
      </c>
      <c r="G450" t="s">
        <v>489</v>
      </c>
      <c r="H450" t="s">
        <v>934</v>
      </c>
      <c r="I450" s="1" t="s">
        <v>25</v>
      </c>
      <c r="J450" s="1" t="s">
        <v>25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25</v>
      </c>
      <c r="Q450" s="1" t="s">
        <v>25</v>
      </c>
      <c r="R450" s="1" t="s">
        <v>25</v>
      </c>
      <c r="S450" s="2">
        <v>0</v>
      </c>
    </row>
    <row r="451" spans="1:19" x14ac:dyDescent="0.3">
      <c r="A451" t="s">
        <v>935</v>
      </c>
      <c r="B451" s="5" t="e" cm="1">
        <f t="array" ref="B451">MAX(#REF!,MIN(#REF!,#REF!+SUMPRODUCT(--(FoodData[[#This Row],[Healthy]:[Refined]]="Yes"),#REF!)+FoodData[[#This Row],[Adjust]]))</f>
        <v>#REF!</v>
      </c>
      <c r="C451" s="1" t="e">
        <f>LOOKUP(FoodData[[#This Row],[Score]],#REF!,#REF!)</f>
        <v>#REF!</v>
      </c>
      <c r="D451" t="s">
        <v>855</v>
      </c>
      <c r="E451" t="s">
        <v>856</v>
      </c>
      <c r="F451" t="s">
        <v>22</v>
      </c>
      <c r="G451" t="s">
        <v>489</v>
      </c>
      <c r="H451" t="s">
        <v>936</v>
      </c>
      <c r="I451" s="1" t="s">
        <v>26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25</v>
      </c>
      <c r="P451" s="1" t="s">
        <v>25</v>
      </c>
      <c r="Q451" s="1" t="s">
        <v>25</v>
      </c>
      <c r="R451" s="1" t="s">
        <v>25</v>
      </c>
      <c r="S451" s="2">
        <v>0</v>
      </c>
    </row>
    <row r="452" spans="1:19" x14ac:dyDescent="0.3">
      <c r="A452" t="s">
        <v>937</v>
      </c>
      <c r="B452" s="5" t="e" cm="1">
        <f t="array" ref="B452">MAX(#REF!,MIN(#REF!,#REF!+SUMPRODUCT(--(FoodData[[#This Row],[Healthy]:[Refined]]="Yes"),#REF!)+FoodData[[#This Row],[Adjust]]))</f>
        <v>#REF!</v>
      </c>
      <c r="C452" s="1" t="e">
        <f>LOOKUP(FoodData[[#This Row],[Score]],#REF!,#REF!)</f>
        <v>#REF!</v>
      </c>
      <c r="D452" t="s">
        <v>855</v>
      </c>
      <c r="E452" t="s">
        <v>856</v>
      </c>
      <c r="F452" t="s">
        <v>22</v>
      </c>
      <c r="G452" t="s">
        <v>489</v>
      </c>
      <c r="H452" t="s">
        <v>938</v>
      </c>
      <c r="I452" s="1" t="s">
        <v>25</v>
      </c>
      <c r="J452" s="1" t="s">
        <v>25</v>
      </c>
      <c r="K452" s="1" t="s">
        <v>25</v>
      </c>
      <c r="L452" s="1" t="s">
        <v>25</v>
      </c>
      <c r="M452" s="1" t="s">
        <v>26</v>
      </c>
      <c r="N452" s="1" t="s">
        <v>25</v>
      </c>
      <c r="O452" s="1" t="s">
        <v>25</v>
      </c>
      <c r="P452" s="1" t="s">
        <v>25</v>
      </c>
      <c r="Q452" s="1" t="s">
        <v>26</v>
      </c>
      <c r="R452" s="1" t="s">
        <v>25</v>
      </c>
      <c r="S452" s="2">
        <v>0</v>
      </c>
    </row>
    <row r="453" spans="1:19" x14ac:dyDescent="0.3">
      <c r="A453" t="s">
        <v>939</v>
      </c>
      <c r="B453" s="5" t="e" cm="1">
        <f t="array" ref="B453">MAX(#REF!,MIN(#REF!,#REF!+SUMPRODUCT(--(FoodData[[#This Row],[Healthy]:[Refined]]="Yes"),#REF!)+FoodData[[#This Row],[Adjust]]))</f>
        <v>#REF!</v>
      </c>
      <c r="C453" s="1" t="e">
        <f>LOOKUP(FoodData[[#This Row],[Score]],#REF!,#REF!)</f>
        <v>#REF!</v>
      </c>
      <c r="D453" t="s">
        <v>855</v>
      </c>
      <c r="E453" t="s">
        <v>856</v>
      </c>
      <c r="F453" t="s">
        <v>22</v>
      </c>
      <c r="G453" t="s">
        <v>489</v>
      </c>
      <c r="H453" t="s">
        <v>940</v>
      </c>
      <c r="I453" s="1" t="s">
        <v>25</v>
      </c>
      <c r="J453" s="1" t="s">
        <v>25</v>
      </c>
      <c r="K453" s="1" t="s">
        <v>25</v>
      </c>
      <c r="L453" s="1" t="s">
        <v>25</v>
      </c>
      <c r="M453" s="1" t="s">
        <v>25</v>
      </c>
      <c r="N453" s="1" t="s">
        <v>25</v>
      </c>
      <c r="O453" s="1" t="s">
        <v>25</v>
      </c>
      <c r="P453" s="1" t="s">
        <v>25</v>
      </c>
      <c r="Q453" s="1" t="s">
        <v>25</v>
      </c>
      <c r="R453" s="1" t="s">
        <v>25</v>
      </c>
      <c r="S453" s="2">
        <v>0</v>
      </c>
    </row>
    <row r="454" spans="1:19" x14ac:dyDescent="0.3">
      <c r="A454" t="s">
        <v>941</v>
      </c>
      <c r="B454" s="5" t="e" cm="1">
        <f t="array" ref="B454">MAX(#REF!,MIN(#REF!,#REF!+SUMPRODUCT(--(FoodData[[#This Row],[Healthy]:[Refined]]="Yes"),#REF!)+FoodData[[#This Row],[Adjust]]))</f>
        <v>#REF!</v>
      </c>
      <c r="C454" s="1" t="e">
        <f>LOOKUP(FoodData[[#This Row],[Score]],#REF!,#REF!)</f>
        <v>#REF!</v>
      </c>
      <c r="D454" t="s">
        <v>855</v>
      </c>
      <c r="E454" t="s">
        <v>856</v>
      </c>
      <c r="F454" t="s">
        <v>22</v>
      </c>
      <c r="G454" t="s">
        <v>489</v>
      </c>
      <c r="H454" t="s">
        <v>942</v>
      </c>
      <c r="I454" s="1" t="s">
        <v>25</v>
      </c>
      <c r="J454" s="1" t="s">
        <v>25</v>
      </c>
      <c r="K454" s="1" t="s">
        <v>25</v>
      </c>
      <c r="L454" s="1" t="s">
        <v>25</v>
      </c>
      <c r="M454" s="1" t="s">
        <v>26</v>
      </c>
      <c r="N454" s="1" t="s">
        <v>25</v>
      </c>
      <c r="O454" s="1" t="s">
        <v>25</v>
      </c>
      <c r="P454" s="1" t="s">
        <v>25</v>
      </c>
      <c r="Q454" s="1" t="s">
        <v>26</v>
      </c>
      <c r="R454" s="1" t="s">
        <v>25</v>
      </c>
      <c r="S454" s="2">
        <v>0</v>
      </c>
    </row>
    <row r="455" spans="1:19" x14ac:dyDescent="0.3">
      <c r="A455" t="s">
        <v>943</v>
      </c>
      <c r="B455" s="5" t="e" cm="1">
        <f t="array" ref="B455">MAX(#REF!,MIN(#REF!,#REF!+SUMPRODUCT(--(FoodData[[#This Row],[Healthy]:[Refined]]="Yes"),#REF!)+FoodData[[#This Row],[Adjust]]))</f>
        <v>#REF!</v>
      </c>
      <c r="C455" s="1" t="e">
        <f>LOOKUP(FoodData[[#This Row],[Score]],#REF!,#REF!)</f>
        <v>#REF!</v>
      </c>
      <c r="D455" t="s">
        <v>855</v>
      </c>
      <c r="E455" t="s">
        <v>856</v>
      </c>
      <c r="F455" t="s">
        <v>22</v>
      </c>
      <c r="G455" t="s">
        <v>489</v>
      </c>
      <c r="H455" t="s">
        <v>944</v>
      </c>
      <c r="I455" s="1" t="s">
        <v>25</v>
      </c>
      <c r="J455" s="1" t="s">
        <v>25</v>
      </c>
      <c r="K455" s="1" t="s">
        <v>26</v>
      </c>
      <c r="L455" s="1" t="s">
        <v>25</v>
      </c>
      <c r="M455" s="1" t="s">
        <v>26</v>
      </c>
      <c r="N455" s="1" t="s">
        <v>25</v>
      </c>
      <c r="O455" s="1" t="s">
        <v>25</v>
      </c>
      <c r="P455" s="1" t="s">
        <v>25</v>
      </c>
      <c r="Q455" s="1" t="s">
        <v>25</v>
      </c>
      <c r="R455" s="1" t="s">
        <v>25</v>
      </c>
      <c r="S455" s="2">
        <v>0</v>
      </c>
    </row>
    <row r="456" spans="1:19" x14ac:dyDescent="0.3">
      <c r="A456" t="s">
        <v>945</v>
      </c>
      <c r="B456" s="5" t="e" cm="1">
        <f t="array" ref="B456">MAX(#REF!,MIN(#REF!,#REF!+SUMPRODUCT(--(FoodData[[#This Row],[Healthy]:[Refined]]="Yes"),#REF!)+FoodData[[#This Row],[Adjust]]))</f>
        <v>#REF!</v>
      </c>
      <c r="C456" s="1" t="e">
        <f>LOOKUP(FoodData[[#This Row],[Score]],#REF!,#REF!)</f>
        <v>#REF!</v>
      </c>
      <c r="D456" t="s">
        <v>855</v>
      </c>
      <c r="E456" t="s">
        <v>856</v>
      </c>
      <c r="F456" t="s">
        <v>22</v>
      </c>
      <c r="G456" t="s">
        <v>489</v>
      </c>
      <c r="H456" t="s">
        <v>946</v>
      </c>
      <c r="I456" s="1" t="s">
        <v>25</v>
      </c>
      <c r="J456" s="1" t="s">
        <v>25</v>
      </c>
      <c r="K456" s="1" t="s">
        <v>26</v>
      </c>
      <c r="L456" s="1" t="s">
        <v>25</v>
      </c>
      <c r="M456" s="1" t="s">
        <v>26</v>
      </c>
      <c r="N456" s="1" t="s">
        <v>25</v>
      </c>
      <c r="O456" s="1" t="s">
        <v>25</v>
      </c>
      <c r="P456" s="1" t="s">
        <v>25</v>
      </c>
      <c r="Q456" s="1" t="s">
        <v>25</v>
      </c>
      <c r="R456" s="1" t="s">
        <v>25</v>
      </c>
      <c r="S456" s="2">
        <v>0</v>
      </c>
    </row>
    <row r="457" spans="1:19" x14ac:dyDescent="0.3">
      <c r="A457" t="s">
        <v>947</v>
      </c>
      <c r="B457" s="5" t="e" cm="1">
        <f t="array" ref="B457">MAX(#REF!,MIN(#REF!,#REF!+SUMPRODUCT(--(FoodData[[#This Row],[Healthy]:[Refined]]="Yes"),#REF!)+FoodData[[#This Row],[Adjust]]))</f>
        <v>#REF!</v>
      </c>
      <c r="C457" s="1" t="e">
        <f>LOOKUP(FoodData[[#This Row],[Score]],#REF!,#REF!)</f>
        <v>#REF!</v>
      </c>
      <c r="D457" t="s">
        <v>855</v>
      </c>
      <c r="E457" t="s">
        <v>856</v>
      </c>
      <c r="F457" t="s">
        <v>22</v>
      </c>
      <c r="G457" t="s">
        <v>489</v>
      </c>
      <c r="H457" t="s">
        <v>948</v>
      </c>
      <c r="I457" s="1" t="s">
        <v>25</v>
      </c>
      <c r="J457" s="1" t="s">
        <v>25</v>
      </c>
      <c r="K457" s="1" t="s">
        <v>26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25</v>
      </c>
      <c r="Q457" s="1" t="s">
        <v>26</v>
      </c>
      <c r="R457" s="1" t="s">
        <v>25</v>
      </c>
      <c r="S457" s="2">
        <v>0</v>
      </c>
    </row>
    <row r="458" spans="1:19" x14ac:dyDescent="0.3">
      <c r="A458" t="s">
        <v>949</v>
      </c>
      <c r="B458" s="5" t="e" cm="1">
        <f t="array" ref="B458">MAX(#REF!,MIN(#REF!,#REF!+SUMPRODUCT(--(FoodData[[#This Row],[Healthy]:[Refined]]="Yes"),#REF!)+FoodData[[#This Row],[Adjust]]))</f>
        <v>#REF!</v>
      </c>
      <c r="C458" s="1" t="e">
        <f>LOOKUP(FoodData[[#This Row],[Score]],#REF!,#REF!)</f>
        <v>#REF!</v>
      </c>
      <c r="D458" t="s">
        <v>855</v>
      </c>
      <c r="E458" t="s">
        <v>856</v>
      </c>
      <c r="F458" t="s">
        <v>22</v>
      </c>
      <c r="G458" t="s">
        <v>489</v>
      </c>
      <c r="H458" t="s">
        <v>950</v>
      </c>
      <c r="I458" s="1" t="s">
        <v>26</v>
      </c>
      <c r="J458" s="1" t="s">
        <v>25</v>
      </c>
      <c r="K458" s="1" t="s">
        <v>25</v>
      </c>
      <c r="L458" s="1" t="s">
        <v>25</v>
      </c>
      <c r="M458" s="1" t="s">
        <v>26</v>
      </c>
      <c r="N458" s="1" t="s">
        <v>25</v>
      </c>
      <c r="O458" s="1" t="s">
        <v>25</v>
      </c>
      <c r="P458" s="1" t="s">
        <v>25</v>
      </c>
      <c r="Q458" s="1" t="s">
        <v>25</v>
      </c>
      <c r="R458" s="1" t="s">
        <v>25</v>
      </c>
      <c r="S458" s="2">
        <v>0</v>
      </c>
    </row>
    <row r="459" spans="1:19" x14ac:dyDescent="0.3">
      <c r="A459" t="s">
        <v>951</v>
      </c>
      <c r="B459" s="5" t="e" cm="1">
        <f t="array" ref="B459">MAX(#REF!,MIN(#REF!,#REF!+SUMPRODUCT(--(FoodData[[#This Row],[Healthy]:[Refined]]="Yes"),#REF!)+FoodData[[#This Row],[Adjust]]))</f>
        <v>#REF!</v>
      </c>
      <c r="C459" s="1" t="e">
        <f>LOOKUP(FoodData[[#This Row],[Score]],#REF!,#REF!)</f>
        <v>#REF!</v>
      </c>
      <c r="D459" t="s">
        <v>855</v>
      </c>
      <c r="E459" t="s">
        <v>856</v>
      </c>
      <c r="F459" t="s">
        <v>22</v>
      </c>
      <c r="G459" t="s">
        <v>489</v>
      </c>
      <c r="H459" t="s">
        <v>952</v>
      </c>
      <c r="I459" s="1" t="s">
        <v>26</v>
      </c>
      <c r="J459" s="1" t="s">
        <v>25</v>
      </c>
      <c r="K459" s="1" t="s">
        <v>25</v>
      </c>
      <c r="L459" s="1" t="s">
        <v>25</v>
      </c>
      <c r="M459" s="1" t="s">
        <v>26</v>
      </c>
      <c r="N459" s="1" t="s">
        <v>25</v>
      </c>
      <c r="O459" s="1" t="s">
        <v>25</v>
      </c>
      <c r="P459" s="1" t="s">
        <v>25</v>
      </c>
      <c r="Q459" s="1" t="s">
        <v>25</v>
      </c>
      <c r="R459" s="1" t="s">
        <v>25</v>
      </c>
      <c r="S459" s="2">
        <v>0</v>
      </c>
    </row>
    <row r="460" spans="1:19" x14ac:dyDescent="0.3">
      <c r="A460" t="s">
        <v>953</v>
      </c>
      <c r="B460" s="5" t="e" cm="1">
        <f t="array" ref="B460">MAX(#REF!,MIN(#REF!,#REF!+SUMPRODUCT(--(FoodData[[#This Row],[Healthy]:[Refined]]="Yes"),#REF!)+FoodData[[#This Row],[Adjust]]))</f>
        <v>#REF!</v>
      </c>
      <c r="C460" s="1" t="e">
        <f>LOOKUP(FoodData[[#This Row],[Score]],#REF!,#REF!)</f>
        <v>#REF!</v>
      </c>
      <c r="D460" t="s">
        <v>855</v>
      </c>
      <c r="E460" t="s">
        <v>856</v>
      </c>
      <c r="F460" t="s">
        <v>22</v>
      </c>
      <c r="G460" t="s">
        <v>489</v>
      </c>
      <c r="H460" t="s">
        <v>954</v>
      </c>
      <c r="I460" s="1" t="s">
        <v>26</v>
      </c>
      <c r="J460" s="1" t="s">
        <v>25</v>
      </c>
      <c r="K460" s="1" t="s">
        <v>25</v>
      </c>
      <c r="L460" s="1" t="s">
        <v>25</v>
      </c>
      <c r="M460" s="1" t="s">
        <v>26</v>
      </c>
      <c r="N460" s="1" t="s">
        <v>25</v>
      </c>
      <c r="O460" s="1" t="s">
        <v>25</v>
      </c>
      <c r="P460" s="1" t="s">
        <v>25</v>
      </c>
      <c r="Q460" s="1" t="s">
        <v>25</v>
      </c>
      <c r="R460" s="1" t="s">
        <v>25</v>
      </c>
      <c r="S460" s="2">
        <v>0</v>
      </c>
    </row>
    <row r="461" spans="1:19" x14ac:dyDescent="0.3">
      <c r="A461" t="s">
        <v>955</v>
      </c>
      <c r="B461" s="5" t="e" cm="1">
        <f t="array" ref="B461">MAX(#REF!,MIN(#REF!,#REF!+SUMPRODUCT(--(FoodData[[#This Row],[Healthy]:[Refined]]="Yes"),#REF!)+FoodData[[#This Row],[Adjust]]))</f>
        <v>#REF!</v>
      </c>
      <c r="C461" s="1" t="e">
        <f>LOOKUP(FoodData[[#This Row],[Score]],#REF!,#REF!)</f>
        <v>#REF!</v>
      </c>
      <c r="D461" t="s">
        <v>855</v>
      </c>
      <c r="E461" t="s">
        <v>856</v>
      </c>
      <c r="F461" t="s">
        <v>22</v>
      </c>
      <c r="G461" t="s">
        <v>489</v>
      </c>
      <c r="H461" t="s">
        <v>956</v>
      </c>
      <c r="I461" s="1" t="s">
        <v>26</v>
      </c>
      <c r="J461" s="1" t="s">
        <v>25</v>
      </c>
      <c r="K461" s="1" t="s">
        <v>25</v>
      </c>
      <c r="L461" s="1" t="s">
        <v>25</v>
      </c>
      <c r="M461" s="1" t="s">
        <v>26</v>
      </c>
      <c r="N461" s="1" t="s">
        <v>25</v>
      </c>
      <c r="O461" s="1" t="s">
        <v>25</v>
      </c>
      <c r="P461" s="1" t="s">
        <v>25</v>
      </c>
      <c r="Q461" s="1" t="s">
        <v>25</v>
      </c>
      <c r="R461" s="1" t="s">
        <v>25</v>
      </c>
      <c r="S461" s="2">
        <v>0</v>
      </c>
    </row>
    <row r="462" spans="1:19" x14ac:dyDescent="0.3">
      <c r="A462" t="s">
        <v>957</v>
      </c>
      <c r="B462" s="5" t="e" cm="1">
        <f t="array" ref="B462">MAX(#REF!,MIN(#REF!,#REF!+SUMPRODUCT(--(FoodData[[#This Row],[Healthy]:[Refined]]="Yes"),#REF!)+FoodData[[#This Row],[Adjust]]))</f>
        <v>#REF!</v>
      </c>
      <c r="C462" s="1" t="e">
        <f>LOOKUP(FoodData[[#This Row],[Score]],#REF!,#REF!)</f>
        <v>#REF!</v>
      </c>
      <c r="D462" t="s">
        <v>855</v>
      </c>
      <c r="E462" t="s">
        <v>856</v>
      </c>
      <c r="F462" t="s">
        <v>22</v>
      </c>
      <c r="G462" t="s">
        <v>489</v>
      </c>
      <c r="H462" t="s">
        <v>958</v>
      </c>
      <c r="I462" s="1" t="s">
        <v>26</v>
      </c>
      <c r="J462" s="1" t="s">
        <v>25</v>
      </c>
      <c r="K462" s="1" t="s">
        <v>25</v>
      </c>
      <c r="L462" s="1" t="s">
        <v>25</v>
      </c>
      <c r="M462" s="1" t="s">
        <v>26</v>
      </c>
      <c r="N462" s="1" t="s">
        <v>25</v>
      </c>
      <c r="O462" s="1" t="s">
        <v>25</v>
      </c>
      <c r="P462" s="1" t="s">
        <v>25</v>
      </c>
      <c r="Q462" s="1" t="s">
        <v>25</v>
      </c>
      <c r="R462" s="1" t="s">
        <v>25</v>
      </c>
      <c r="S462" s="2">
        <v>0</v>
      </c>
    </row>
    <row r="463" spans="1:19" x14ac:dyDescent="0.3">
      <c r="A463" t="s">
        <v>959</v>
      </c>
      <c r="B463" s="5" t="e" cm="1">
        <f t="array" ref="B463">MAX(#REF!,MIN(#REF!,#REF!+SUMPRODUCT(--(FoodData[[#This Row],[Healthy]:[Refined]]="Yes"),#REF!)+FoodData[[#This Row],[Adjust]]))</f>
        <v>#REF!</v>
      </c>
      <c r="C463" s="1" t="e">
        <f>LOOKUP(FoodData[[#This Row],[Score]],#REF!,#REF!)</f>
        <v>#REF!</v>
      </c>
      <c r="D463" t="s">
        <v>855</v>
      </c>
      <c r="E463" t="s">
        <v>856</v>
      </c>
      <c r="F463" t="s">
        <v>22</v>
      </c>
      <c r="G463" t="s">
        <v>489</v>
      </c>
      <c r="H463" t="s">
        <v>960</v>
      </c>
      <c r="I463" s="1" t="s">
        <v>26</v>
      </c>
      <c r="J463" s="1" t="s">
        <v>25</v>
      </c>
      <c r="K463" s="1" t="s">
        <v>25</v>
      </c>
      <c r="L463" s="1" t="s">
        <v>25</v>
      </c>
      <c r="M463" s="1" t="s">
        <v>26</v>
      </c>
      <c r="N463" s="1" t="s">
        <v>25</v>
      </c>
      <c r="O463" s="1" t="s">
        <v>25</v>
      </c>
      <c r="P463" s="1" t="s">
        <v>25</v>
      </c>
      <c r="Q463" s="1" t="s">
        <v>25</v>
      </c>
      <c r="R463" s="1" t="s">
        <v>25</v>
      </c>
      <c r="S463" s="2">
        <v>0</v>
      </c>
    </row>
    <row r="464" spans="1:19" x14ac:dyDescent="0.3">
      <c r="A464" t="s">
        <v>961</v>
      </c>
      <c r="B464" s="5" t="e" cm="1">
        <f t="array" ref="B464">MAX(#REF!,MIN(#REF!,#REF!+SUMPRODUCT(--(FoodData[[#This Row],[Healthy]:[Refined]]="Yes"),#REF!)+FoodData[[#This Row],[Adjust]]))</f>
        <v>#REF!</v>
      </c>
      <c r="C464" s="1" t="e">
        <f>LOOKUP(FoodData[[#This Row],[Score]],#REF!,#REF!)</f>
        <v>#REF!</v>
      </c>
      <c r="D464" t="s">
        <v>855</v>
      </c>
      <c r="E464" t="s">
        <v>856</v>
      </c>
      <c r="F464" t="s">
        <v>22</v>
      </c>
      <c r="G464" t="s">
        <v>489</v>
      </c>
      <c r="H464" t="s">
        <v>962</v>
      </c>
      <c r="I464" s="1" t="s">
        <v>26</v>
      </c>
      <c r="J464" s="1" t="s">
        <v>25</v>
      </c>
      <c r="K464" s="1" t="s">
        <v>25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25</v>
      </c>
      <c r="Q464" s="1" t="s">
        <v>25</v>
      </c>
      <c r="R464" s="1" t="s">
        <v>25</v>
      </c>
      <c r="S464" s="2">
        <v>0</v>
      </c>
    </row>
    <row r="465" spans="1:19" x14ac:dyDescent="0.3">
      <c r="A465" t="s">
        <v>963</v>
      </c>
      <c r="B465" s="5" t="e" cm="1">
        <f t="array" ref="B465">MAX(#REF!,MIN(#REF!,#REF!+SUMPRODUCT(--(FoodData[[#This Row],[Healthy]:[Refined]]="Yes"),#REF!)+FoodData[[#This Row],[Adjust]]))</f>
        <v>#REF!</v>
      </c>
      <c r="C465" s="1" t="e">
        <f>LOOKUP(FoodData[[#This Row],[Score]],#REF!,#REF!)</f>
        <v>#REF!</v>
      </c>
      <c r="D465" t="s">
        <v>855</v>
      </c>
      <c r="E465" t="s">
        <v>856</v>
      </c>
      <c r="F465" t="s">
        <v>22</v>
      </c>
      <c r="G465" t="s">
        <v>489</v>
      </c>
      <c r="H465" t="s">
        <v>964</v>
      </c>
      <c r="I465" s="1" t="s">
        <v>26</v>
      </c>
      <c r="J465" s="1" t="s">
        <v>25</v>
      </c>
      <c r="K465" s="1" t="s">
        <v>25</v>
      </c>
      <c r="L465" s="1" t="s">
        <v>25</v>
      </c>
      <c r="M465" s="1" t="s">
        <v>26</v>
      </c>
      <c r="N465" s="1" t="s">
        <v>25</v>
      </c>
      <c r="O465" s="1" t="s">
        <v>25</v>
      </c>
      <c r="P465" s="1" t="s">
        <v>25</v>
      </c>
      <c r="Q465" s="1" t="s">
        <v>25</v>
      </c>
      <c r="R465" s="1" t="s">
        <v>25</v>
      </c>
      <c r="S465" s="2">
        <v>0</v>
      </c>
    </row>
    <row r="466" spans="1:19" x14ac:dyDescent="0.3">
      <c r="A466" t="s">
        <v>965</v>
      </c>
      <c r="B466" s="5" t="e" cm="1">
        <f t="array" ref="B466">MAX(#REF!,MIN(#REF!,#REF!+SUMPRODUCT(--(FoodData[[#This Row],[Healthy]:[Refined]]="Yes"),#REF!)+FoodData[[#This Row],[Adjust]]))</f>
        <v>#REF!</v>
      </c>
      <c r="C466" s="1" t="e">
        <f>LOOKUP(FoodData[[#This Row],[Score]],#REF!,#REF!)</f>
        <v>#REF!</v>
      </c>
      <c r="D466" t="s">
        <v>855</v>
      </c>
      <c r="E466" t="s">
        <v>856</v>
      </c>
      <c r="F466" t="s">
        <v>22</v>
      </c>
      <c r="G466" t="s">
        <v>489</v>
      </c>
      <c r="H466" t="s">
        <v>966</v>
      </c>
      <c r="I466" s="1" t="s">
        <v>26</v>
      </c>
      <c r="J466" s="1" t="s">
        <v>25</v>
      </c>
      <c r="K466" s="1" t="s">
        <v>25</v>
      </c>
      <c r="L466" s="1" t="s">
        <v>25</v>
      </c>
      <c r="M466" s="1" t="s">
        <v>26</v>
      </c>
      <c r="N466" s="1" t="s">
        <v>25</v>
      </c>
      <c r="O466" s="1" t="s">
        <v>25</v>
      </c>
      <c r="P466" s="1" t="s">
        <v>25</v>
      </c>
      <c r="Q466" s="1" t="s">
        <v>25</v>
      </c>
      <c r="R466" s="1" t="s">
        <v>25</v>
      </c>
      <c r="S466" s="2">
        <v>0</v>
      </c>
    </row>
    <row r="467" spans="1:19" x14ac:dyDescent="0.3">
      <c r="A467" t="s">
        <v>967</v>
      </c>
      <c r="B467" s="5" t="e" cm="1">
        <f t="array" ref="B467">MAX(#REF!,MIN(#REF!,#REF!+SUMPRODUCT(--(FoodData[[#This Row],[Healthy]:[Refined]]="Yes"),#REF!)+FoodData[[#This Row],[Adjust]]))</f>
        <v>#REF!</v>
      </c>
      <c r="C467" s="1" t="e">
        <f>LOOKUP(FoodData[[#This Row],[Score]],#REF!,#REF!)</f>
        <v>#REF!</v>
      </c>
      <c r="D467" t="s">
        <v>855</v>
      </c>
      <c r="E467" t="s">
        <v>856</v>
      </c>
      <c r="F467" t="s">
        <v>22</v>
      </c>
      <c r="G467" t="s">
        <v>489</v>
      </c>
      <c r="H467" t="s">
        <v>968</v>
      </c>
      <c r="I467" s="1" t="s">
        <v>26</v>
      </c>
      <c r="J467" s="1" t="s">
        <v>25</v>
      </c>
      <c r="K467" s="1" t="s">
        <v>25</v>
      </c>
      <c r="L467" s="1" t="s">
        <v>25</v>
      </c>
      <c r="M467" s="1" t="s">
        <v>26</v>
      </c>
      <c r="N467" s="1" t="s">
        <v>25</v>
      </c>
      <c r="O467" s="1" t="s">
        <v>25</v>
      </c>
      <c r="P467" s="1" t="s">
        <v>25</v>
      </c>
      <c r="Q467" s="1" t="s">
        <v>25</v>
      </c>
      <c r="R467" s="1" t="s">
        <v>25</v>
      </c>
      <c r="S467" s="2">
        <v>0</v>
      </c>
    </row>
    <row r="468" spans="1:19" x14ac:dyDescent="0.3">
      <c r="A468" t="s">
        <v>969</v>
      </c>
      <c r="B468" s="5" t="e" cm="1">
        <f t="array" ref="B468">MAX(#REF!,MIN(#REF!,#REF!+SUMPRODUCT(--(FoodData[[#This Row],[Healthy]:[Refined]]="Yes"),#REF!)+FoodData[[#This Row],[Adjust]]))</f>
        <v>#REF!</v>
      </c>
      <c r="C468" s="1" t="e">
        <f>LOOKUP(FoodData[[#This Row],[Score]],#REF!,#REF!)</f>
        <v>#REF!</v>
      </c>
      <c r="D468" t="s">
        <v>855</v>
      </c>
      <c r="E468" t="s">
        <v>856</v>
      </c>
      <c r="F468" t="s">
        <v>22</v>
      </c>
      <c r="G468" t="s">
        <v>489</v>
      </c>
      <c r="H468" t="s">
        <v>970</v>
      </c>
      <c r="I468" s="1" t="s">
        <v>26</v>
      </c>
      <c r="J468" s="1" t="s">
        <v>25</v>
      </c>
      <c r="K468" s="1" t="s">
        <v>25</v>
      </c>
      <c r="L468" s="1" t="s">
        <v>25</v>
      </c>
      <c r="M468" s="1" t="s">
        <v>26</v>
      </c>
      <c r="N468" s="1" t="s">
        <v>25</v>
      </c>
      <c r="O468" s="1" t="s">
        <v>25</v>
      </c>
      <c r="P468" s="1" t="s">
        <v>25</v>
      </c>
      <c r="Q468" s="1" t="s">
        <v>25</v>
      </c>
      <c r="R468" s="1" t="s">
        <v>25</v>
      </c>
      <c r="S468" s="2">
        <v>0</v>
      </c>
    </row>
    <row r="469" spans="1:19" x14ac:dyDescent="0.3">
      <c r="A469" t="s">
        <v>971</v>
      </c>
      <c r="B469" s="5" t="e" cm="1">
        <f t="array" ref="B469">MAX(#REF!,MIN(#REF!,#REF!+SUMPRODUCT(--(FoodData[[#This Row],[Healthy]:[Refined]]="Yes"),#REF!)+FoodData[[#This Row],[Adjust]]))</f>
        <v>#REF!</v>
      </c>
      <c r="C469" s="1" t="e">
        <f>LOOKUP(FoodData[[#This Row],[Score]],#REF!,#REF!)</f>
        <v>#REF!</v>
      </c>
      <c r="D469" t="s">
        <v>855</v>
      </c>
      <c r="E469" t="s">
        <v>856</v>
      </c>
      <c r="F469" t="s">
        <v>22</v>
      </c>
      <c r="G469" t="s">
        <v>489</v>
      </c>
      <c r="H469" t="s">
        <v>972</v>
      </c>
      <c r="I469" s="1" t="s">
        <v>26</v>
      </c>
      <c r="J469" s="1" t="s">
        <v>25</v>
      </c>
      <c r="K469" s="1" t="s">
        <v>25</v>
      </c>
      <c r="L469" s="1" t="s">
        <v>25</v>
      </c>
      <c r="M469" s="1" t="s">
        <v>26</v>
      </c>
      <c r="N469" s="1" t="s">
        <v>25</v>
      </c>
      <c r="O469" s="1" t="s">
        <v>25</v>
      </c>
      <c r="P469" s="1" t="s">
        <v>25</v>
      </c>
      <c r="Q469" s="1" t="s">
        <v>25</v>
      </c>
      <c r="R469" s="1" t="s">
        <v>25</v>
      </c>
      <c r="S469" s="2">
        <v>0</v>
      </c>
    </row>
    <row r="470" spans="1:19" x14ac:dyDescent="0.3">
      <c r="A470" t="s">
        <v>973</v>
      </c>
      <c r="B470" s="5" t="e" cm="1">
        <f t="array" ref="B470">MAX(#REF!,MIN(#REF!,#REF!+SUMPRODUCT(--(FoodData[[#This Row],[Healthy]:[Refined]]="Yes"),#REF!)+FoodData[[#This Row],[Adjust]]))</f>
        <v>#REF!</v>
      </c>
      <c r="C470" s="1" t="e">
        <f>LOOKUP(FoodData[[#This Row],[Score]],#REF!,#REF!)</f>
        <v>#REF!</v>
      </c>
      <c r="D470" t="s">
        <v>855</v>
      </c>
      <c r="E470" t="s">
        <v>856</v>
      </c>
      <c r="F470" t="s">
        <v>22</v>
      </c>
      <c r="G470" t="s">
        <v>489</v>
      </c>
      <c r="H470" t="s">
        <v>974</v>
      </c>
      <c r="I470" s="1" t="s">
        <v>26</v>
      </c>
      <c r="J470" s="1" t="s">
        <v>26</v>
      </c>
      <c r="K470" s="1" t="s">
        <v>25</v>
      </c>
      <c r="L470" s="1" t="s">
        <v>25</v>
      </c>
      <c r="M470" s="1" t="s">
        <v>25</v>
      </c>
      <c r="N470" s="1" t="s">
        <v>25</v>
      </c>
      <c r="O470" s="1" t="s">
        <v>25</v>
      </c>
      <c r="P470" s="1" t="s">
        <v>25</v>
      </c>
      <c r="Q470" s="1" t="s">
        <v>25</v>
      </c>
      <c r="R470" s="1" t="s">
        <v>25</v>
      </c>
      <c r="S470" s="2">
        <v>0</v>
      </c>
    </row>
    <row r="471" spans="1:19" x14ac:dyDescent="0.3">
      <c r="A471" t="s">
        <v>975</v>
      </c>
      <c r="B471" s="5" t="e" cm="1">
        <f t="array" ref="B471">MAX(#REF!,MIN(#REF!,#REF!+SUMPRODUCT(--(FoodData[[#This Row],[Healthy]:[Refined]]="Yes"),#REF!)+FoodData[[#This Row],[Adjust]]))</f>
        <v>#REF!</v>
      </c>
      <c r="C471" s="1" t="e">
        <f>LOOKUP(FoodData[[#This Row],[Score]],#REF!,#REF!)</f>
        <v>#REF!</v>
      </c>
      <c r="D471" t="s">
        <v>855</v>
      </c>
      <c r="E471" t="s">
        <v>856</v>
      </c>
      <c r="F471" t="s">
        <v>22</v>
      </c>
      <c r="G471" t="s">
        <v>489</v>
      </c>
      <c r="H471" t="s">
        <v>976</v>
      </c>
      <c r="I471" s="1" t="s">
        <v>26</v>
      </c>
      <c r="J471" s="1" t="s">
        <v>25</v>
      </c>
      <c r="K471" s="1" t="s">
        <v>25</v>
      </c>
      <c r="L471" s="1" t="s">
        <v>25</v>
      </c>
      <c r="M471" s="1" t="s">
        <v>26</v>
      </c>
      <c r="N471" s="1" t="s">
        <v>25</v>
      </c>
      <c r="O471" s="1" t="s">
        <v>25</v>
      </c>
      <c r="P471" s="1" t="s">
        <v>25</v>
      </c>
      <c r="Q471" s="1" t="s">
        <v>25</v>
      </c>
      <c r="R471" s="1" t="s">
        <v>25</v>
      </c>
      <c r="S471" s="2">
        <v>0</v>
      </c>
    </row>
    <row r="472" spans="1:19" x14ac:dyDescent="0.3">
      <c r="A472" t="s">
        <v>977</v>
      </c>
      <c r="B472" s="5" t="e" cm="1">
        <f t="array" ref="B472">MAX(#REF!,MIN(#REF!,#REF!+SUMPRODUCT(--(FoodData[[#This Row],[Healthy]:[Refined]]="Yes"),#REF!)+FoodData[[#This Row],[Adjust]]))</f>
        <v>#REF!</v>
      </c>
      <c r="C472" s="1" t="e">
        <f>LOOKUP(FoodData[[#This Row],[Score]],#REF!,#REF!)</f>
        <v>#REF!</v>
      </c>
      <c r="D472" t="s">
        <v>855</v>
      </c>
      <c r="E472" t="s">
        <v>856</v>
      </c>
      <c r="F472" t="s">
        <v>22</v>
      </c>
      <c r="G472" t="s">
        <v>489</v>
      </c>
      <c r="H472" t="s">
        <v>978</v>
      </c>
      <c r="I472" s="1" t="s">
        <v>26</v>
      </c>
      <c r="J472" s="1" t="s">
        <v>25</v>
      </c>
      <c r="K472" s="1" t="s">
        <v>25</v>
      </c>
      <c r="L472" s="1" t="s">
        <v>25</v>
      </c>
      <c r="M472" s="1" t="s">
        <v>26</v>
      </c>
      <c r="N472" s="1" t="s">
        <v>25</v>
      </c>
      <c r="O472" s="1" t="s">
        <v>25</v>
      </c>
      <c r="P472" s="1" t="s">
        <v>25</v>
      </c>
      <c r="Q472" s="1" t="s">
        <v>25</v>
      </c>
      <c r="R472" s="1" t="s">
        <v>25</v>
      </c>
      <c r="S472" s="2">
        <v>0</v>
      </c>
    </row>
    <row r="473" spans="1:19" x14ac:dyDescent="0.3">
      <c r="A473" t="s">
        <v>979</v>
      </c>
      <c r="B473" s="5" t="e" cm="1">
        <f t="array" ref="B473">MAX(#REF!,MIN(#REF!,#REF!+SUMPRODUCT(--(FoodData[[#This Row],[Healthy]:[Refined]]="Yes"),#REF!)+FoodData[[#This Row],[Adjust]]))</f>
        <v>#REF!</v>
      </c>
      <c r="C473" s="1" t="e">
        <f>LOOKUP(FoodData[[#This Row],[Score]],#REF!,#REF!)</f>
        <v>#REF!</v>
      </c>
      <c r="D473" t="s">
        <v>855</v>
      </c>
      <c r="E473" t="s">
        <v>856</v>
      </c>
      <c r="F473" t="s">
        <v>22</v>
      </c>
      <c r="G473" t="s">
        <v>489</v>
      </c>
      <c r="H473" t="s">
        <v>980</v>
      </c>
      <c r="I473" s="1" t="s">
        <v>26</v>
      </c>
      <c r="J473" s="1" t="s">
        <v>25</v>
      </c>
      <c r="K473" s="1" t="s">
        <v>25</v>
      </c>
      <c r="L473" s="1" t="s">
        <v>25</v>
      </c>
      <c r="M473" s="1" t="s">
        <v>26</v>
      </c>
      <c r="N473" s="1" t="s">
        <v>25</v>
      </c>
      <c r="O473" s="1" t="s">
        <v>25</v>
      </c>
      <c r="P473" s="1" t="s">
        <v>25</v>
      </c>
      <c r="Q473" s="1" t="s">
        <v>25</v>
      </c>
      <c r="R473" s="1" t="s">
        <v>25</v>
      </c>
      <c r="S473" s="2">
        <v>0</v>
      </c>
    </row>
    <row r="474" spans="1:19" x14ac:dyDescent="0.3">
      <c r="A474" t="s">
        <v>981</v>
      </c>
      <c r="B474" s="5" t="e" cm="1">
        <f t="array" ref="B474">MAX(#REF!,MIN(#REF!,#REF!+SUMPRODUCT(--(FoodData[[#This Row],[Healthy]:[Refined]]="Yes"),#REF!)+FoodData[[#This Row],[Adjust]]))</f>
        <v>#REF!</v>
      </c>
      <c r="C474" s="1" t="e">
        <f>LOOKUP(FoodData[[#This Row],[Score]],#REF!,#REF!)</f>
        <v>#REF!</v>
      </c>
      <c r="D474" t="s">
        <v>855</v>
      </c>
      <c r="E474" t="s">
        <v>856</v>
      </c>
      <c r="F474" t="s">
        <v>22</v>
      </c>
      <c r="G474" t="s">
        <v>489</v>
      </c>
      <c r="H474" t="s">
        <v>982</v>
      </c>
      <c r="I474" s="1" t="s">
        <v>26</v>
      </c>
      <c r="J474" s="1" t="s">
        <v>25</v>
      </c>
      <c r="K474" s="1" t="s">
        <v>25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25</v>
      </c>
      <c r="Q474" s="1" t="s">
        <v>25</v>
      </c>
      <c r="R474" s="1" t="s">
        <v>25</v>
      </c>
      <c r="S474" s="2">
        <v>0</v>
      </c>
    </row>
    <row r="475" spans="1:19" x14ac:dyDescent="0.3">
      <c r="A475" t="s">
        <v>983</v>
      </c>
      <c r="B475" s="5" t="e" cm="1">
        <f t="array" ref="B475">MAX(#REF!,MIN(#REF!,#REF!+SUMPRODUCT(--(FoodData[[#This Row],[Healthy]:[Refined]]="Yes"),#REF!)+FoodData[[#This Row],[Adjust]]))</f>
        <v>#REF!</v>
      </c>
      <c r="C475" s="1" t="e">
        <f>LOOKUP(FoodData[[#This Row],[Score]],#REF!,#REF!)</f>
        <v>#REF!</v>
      </c>
      <c r="D475" t="s">
        <v>855</v>
      </c>
      <c r="E475" t="s">
        <v>856</v>
      </c>
      <c r="F475" t="s">
        <v>22</v>
      </c>
      <c r="G475" t="s">
        <v>489</v>
      </c>
      <c r="H475" t="s">
        <v>984</v>
      </c>
      <c r="I475" s="1" t="s">
        <v>26</v>
      </c>
      <c r="J475" s="1" t="s">
        <v>25</v>
      </c>
      <c r="K475" s="1" t="s">
        <v>25</v>
      </c>
      <c r="L475" s="1" t="s">
        <v>25</v>
      </c>
      <c r="M475" s="1" t="s">
        <v>26</v>
      </c>
      <c r="N475" s="1" t="s">
        <v>25</v>
      </c>
      <c r="O475" s="1" t="s">
        <v>25</v>
      </c>
      <c r="P475" s="1" t="s">
        <v>25</v>
      </c>
      <c r="Q475" s="1" t="s">
        <v>25</v>
      </c>
      <c r="R475" s="1" t="s">
        <v>25</v>
      </c>
      <c r="S475" s="2">
        <v>0</v>
      </c>
    </row>
    <row r="476" spans="1:19" x14ac:dyDescent="0.3">
      <c r="A476" t="s">
        <v>985</v>
      </c>
      <c r="B476" s="5" t="e" cm="1">
        <f t="array" ref="B476">MAX(#REF!,MIN(#REF!,#REF!+SUMPRODUCT(--(FoodData[[#This Row],[Healthy]:[Refined]]="Yes"),#REF!)+FoodData[[#This Row],[Adjust]]))</f>
        <v>#REF!</v>
      </c>
      <c r="C476" s="1" t="e">
        <f>LOOKUP(FoodData[[#This Row],[Score]],#REF!,#REF!)</f>
        <v>#REF!</v>
      </c>
      <c r="D476" t="s">
        <v>855</v>
      </c>
      <c r="E476" t="s">
        <v>856</v>
      </c>
      <c r="F476" t="s">
        <v>22</v>
      </c>
      <c r="G476" t="s">
        <v>489</v>
      </c>
      <c r="H476" t="s">
        <v>986</v>
      </c>
      <c r="I476" s="1" t="s">
        <v>26</v>
      </c>
      <c r="J476" s="1" t="s">
        <v>25</v>
      </c>
      <c r="K476" s="1" t="s">
        <v>25</v>
      </c>
      <c r="L476" s="1" t="s">
        <v>25</v>
      </c>
      <c r="M476" s="1" t="s">
        <v>26</v>
      </c>
      <c r="N476" s="1" t="s">
        <v>25</v>
      </c>
      <c r="O476" s="1" t="s">
        <v>25</v>
      </c>
      <c r="P476" s="1" t="s">
        <v>25</v>
      </c>
      <c r="Q476" s="1" t="s">
        <v>25</v>
      </c>
      <c r="R476" s="1" t="s">
        <v>25</v>
      </c>
      <c r="S476" s="2">
        <v>0</v>
      </c>
    </row>
    <row r="477" spans="1:19" x14ac:dyDescent="0.3">
      <c r="A477" t="s">
        <v>987</v>
      </c>
      <c r="B477" s="5" t="e" cm="1">
        <f t="array" ref="B477">MAX(#REF!,MIN(#REF!,#REF!+SUMPRODUCT(--(FoodData[[#This Row],[Healthy]:[Refined]]="Yes"),#REF!)+FoodData[[#This Row],[Adjust]]))</f>
        <v>#REF!</v>
      </c>
      <c r="C477" s="1" t="e">
        <f>LOOKUP(FoodData[[#This Row],[Score]],#REF!,#REF!)</f>
        <v>#REF!</v>
      </c>
      <c r="D477" t="s">
        <v>855</v>
      </c>
      <c r="E477" t="s">
        <v>856</v>
      </c>
      <c r="F477" t="s">
        <v>22</v>
      </c>
      <c r="G477" t="s">
        <v>489</v>
      </c>
      <c r="H477" t="s">
        <v>988</v>
      </c>
      <c r="I477" s="1" t="s">
        <v>26</v>
      </c>
      <c r="J477" s="1" t="s">
        <v>25</v>
      </c>
      <c r="K477" s="1" t="s">
        <v>25</v>
      </c>
      <c r="L477" s="1" t="s">
        <v>25</v>
      </c>
      <c r="M477" s="1" t="s">
        <v>26</v>
      </c>
      <c r="N477" s="1" t="s">
        <v>25</v>
      </c>
      <c r="O477" s="1" t="s">
        <v>25</v>
      </c>
      <c r="P477" s="1" t="s">
        <v>25</v>
      </c>
      <c r="Q477" s="1" t="s">
        <v>25</v>
      </c>
      <c r="R477" s="1" t="s">
        <v>25</v>
      </c>
      <c r="S477" s="2">
        <v>0</v>
      </c>
    </row>
    <row r="478" spans="1:19" x14ac:dyDescent="0.3">
      <c r="A478" t="s">
        <v>989</v>
      </c>
      <c r="B478" s="5" t="e" cm="1">
        <f t="array" ref="B478">MAX(#REF!,MIN(#REF!,#REF!+SUMPRODUCT(--(FoodData[[#This Row],[Healthy]:[Refined]]="Yes"),#REF!)+FoodData[[#This Row],[Adjust]]))</f>
        <v>#REF!</v>
      </c>
      <c r="C478" s="1" t="e">
        <f>LOOKUP(FoodData[[#This Row],[Score]],#REF!,#REF!)</f>
        <v>#REF!</v>
      </c>
      <c r="D478" t="s">
        <v>855</v>
      </c>
      <c r="E478" t="s">
        <v>856</v>
      </c>
      <c r="F478" t="s">
        <v>22</v>
      </c>
      <c r="G478" t="s">
        <v>489</v>
      </c>
      <c r="H478" t="s">
        <v>990</v>
      </c>
      <c r="I478" s="1" t="s">
        <v>25</v>
      </c>
      <c r="J478" s="1" t="s">
        <v>25</v>
      </c>
      <c r="K478" s="1" t="s">
        <v>25</v>
      </c>
      <c r="L478" s="1" t="s">
        <v>25</v>
      </c>
      <c r="M478" s="1" t="s">
        <v>26</v>
      </c>
      <c r="N478" s="1" t="s">
        <v>25</v>
      </c>
      <c r="O478" s="1" t="s">
        <v>25</v>
      </c>
      <c r="P478" s="1" t="s">
        <v>25</v>
      </c>
      <c r="Q478" s="1" t="s">
        <v>26</v>
      </c>
      <c r="R478" s="1" t="s">
        <v>25</v>
      </c>
      <c r="S478" s="2">
        <v>0</v>
      </c>
    </row>
    <row r="479" spans="1:19" x14ac:dyDescent="0.3">
      <c r="A479" t="s">
        <v>991</v>
      </c>
      <c r="B479" s="5" t="e" cm="1">
        <f t="array" ref="B479">MAX(#REF!,MIN(#REF!,#REF!+SUMPRODUCT(--(FoodData[[#This Row],[Healthy]:[Refined]]="Yes"),#REF!)+FoodData[[#This Row],[Adjust]]))</f>
        <v>#REF!</v>
      </c>
      <c r="C479" s="1" t="e">
        <f>LOOKUP(FoodData[[#This Row],[Score]],#REF!,#REF!)</f>
        <v>#REF!</v>
      </c>
      <c r="D479" t="s">
        <v>855</v>
      </c>
      <c r="E479" t="s">
        <v>856</v>
      </c>
      <c r="F479" t="s">
        <v>22</v>
      </c>
      <c r="G479" t="s">
        <v>489</v>
      </c>
      <c r="H479" t="s">
        <v>992</v>
      </c>
      <c r="I479" s="1" t="s">
        <v>26</v>
      </c>
      <c r="J479" s="1" t="s">
        <v>26</v>
      </c>
      <c r="K479" s="1" t="s">
        <v>26</v>
      </c>
      <c r="L479" s="1" t="s">
        <v>26</v>
      </c>
      <c r="M479" s="1" t="s">
        <v>25</v>
      </c>
      <c r="N479" s="1" t="s">
        <v>25</v>
      </c>
      <c r="O479" s="1" t="s">
        <v>25</v>
      </c>
      <c r="P479" s="1" t="s">
        <v>25</v>
      </c>
      <c r="Q479" s="1" t="s">
        <v>25</v>
      </c>
      <c r="R479" s="1" t="s">
        <v>25</v>
      </c>
      <c r="S479" s="2">
        <v>0</v>
      </c>
    </row>
    <row r="480" spans="1:19" x14ac:dyDescent="0.3">
      <c r="A480" t="s">
        <v>993</v>
      </c>
      <c r="B480" s="5" t="e" cm="1">
        <f t="array" ref="B480">MAX(#REF!,MIN(#REF!,#REF!+SUMPRODUCT(--(FoodData[[#This Row],[Healthy]:[Refined]]="Yes"),#REF!)+FoodData[[#This Row],[Adjust]]))</f>
        <v>#REF!</v>
      </c>
      <c r="C480" s="1" t="e">
        <f>LOOKUP(FoodData[[#This Row],[Score]],#REF!,#REF!)</f>
        <v>#REF!</v>
      </c>
      <c r="D480" t="s">
        <v>855</v>
      </c>
      <c r="E480" t="s">
        <v>856</v>
      </c>
      <c r="F480" t="s">
        <v>22</v>
      </c>
      <c r="G480" t="s">
        <v>349</v>
      </c>
      <c r="H480" t="s">
        <v>994</v>
      </c>
      <c r="I480" s="1" t="s">
        <v>26</v>
      </c>
      <c r="J480" s="1" t="s">
        <v>26</v>
      </c>
      <c r="K480" s="1" t="s">
        <v>25</v>
      </c>
      <c r="L480" s="1" t="s">
        <v>25</v>
      </c>
      <c r="M480" s="1" t="s">
        <v>25</v>
      </c>
      <c r="N480" s="1" t="s">
        <v>25</v>
      </c>
      <c r="O480" s="1" t="s">
        <v>25</v>
      </c>
      <c r="P480" s="1" t="s">
        <v>25</v>
      </c>
      <c r="Q480" s="1" t="s">
        <v>25</v>
      </c>
      <c r="R480" s="1" t="s">
        <v>25</v>
      </c>
      <c r="S480" s="2">
        <v>0</v>
      </c>
    </row>
    <row r="481" spans="1:19" x14ac:dyDescent="0.3">
      <c r="A481" t="s">
        <v>995</v>
      </c>
      <c r="B481" s="5" t="e" cm="1">
        <f t="array" ref="B481">MAX(#REF!,MIN(#REF!,#REF!+SUMPRODUCT(--(FoodData[[#This Row],[Healthy]:[Refined]]="Yes"),#REF!)+FoodData[[#This Row],[Adjust]]))</f>
        <v>#REF!</v>
      </c>
      <c r="C481" s="1" t="e">
        <f>LOOKUP(FoodData[[#This Row],[Score]],#REF!,#REF!)</f>
        <v>#REF!</v>
      </c>
      <c r="D481" t="s">
        <v>855</v>
      </c>
      <c r="E481" t="s">
        <v>856</v>
      </c>
      <c r="F481" t="s">
        <v>22</v>
      </c>
      <c r="G481" t="s">
        <v>489</v>
      </c>
      <c r="H481" t="s">
        <v>903</v>
      </c>
      <c r="I481" s="1" t="s">
        <v>25</v>
      </c>
      <c r="J481" s="1" t="s">
        <v>25</v>
      </c>
      <c r="K481" s="1" t="s">
        <v>26</v>
      </c>
      <c r="L481" s="1" t="s">
        <v>25</v>
      </c>
      <c r="M481" s="1" t="s">
        <v>26</v>
      </c>
      <c r="N481" s="1" t="s">
        <v>25</v>
      </c>
      <c r="O481" s="1" t="s">
        <v>25</v>
      </c>
      <c r="P481" s="1" t="s">
        <v>25</v>
      </c>
      <c r="Q481" s="1" t="s">
        <v>25</v>
      </c>
      <c r="R481" s="1" t="s">
        <v>25</v>
      </c>
      <c r="S481" s="2">
        <v>0</v>
      </c>
    </row>
    <row r="482" spans="1:19" x14ac:dyDescent="0.3">
      <c r="A482" t="s">
        <v>996</v>
      </c>
      <c r="B482" s="5" t="e" cm="1">
        <f t="array" ref="B482">MAX(#REF!,MIN(#REF!,#REF!+SUMPRODUCT(--(FoodData[[#This Row],[Healthy]:[Refined]]="Yes"),#REF!)+FoodData[[#This Row],[Adjust]]))</f>
        <v>#REF!</v>
      </c>
      <c r="C482" s="1" t="e">
        <f>LOOKUP(FoodData[[#This Row],[Score]],#REF!,#REF!)</f>
        <v>#REF!</v>
      </c>
      <c r="D482" t="s">
        <v>855</v>
      </c>
      <c r="E482" t="s">
        <v>856</v>
      </c>
      <c r="F482" t="s">
        <v>22</v>
      </c>
      <c r="G482" t="s">
        <v>489</v>
      </c>
      <c r="H482" t="s">
        <v>997</v>
      </c>
      <c r="I482" s="1" t="s">
        <v>25</v>
      </c>
      <c r="J482" s="1" t="s">
        <v>25</v>
      </c>
      <c r="K482" s="1" t="s">
        <v>26</v>
      </c>
      <c r="L482" s="1" t="s">
        <v>25</v>
      </c>
      <c r="M482" s="1" t="s">
        <v>26</v>
      </c>
      <c r="N482" s="1" t="s">
        <v>25</v>
      </c>
      <c r="O482" s="1" t="s">
        <v>25</v>
      </c>
      <c r="P482" s="1" t="s">
        <v>25</v>
      </c>
      <c r="Q482" s="1" t="s">
        <v>25</v>
      </c>
      <c r="R482" s="1" t="s">
        <v>25</v>
      </c>
      <c r="S482" s="2">
        <v>0</v>
      </c>
    </row>
    <row r="483" spans="1:19" x14ac:dyDescent="0.3">
      <c r="A483" t="s">
        <v>998</v>
      </c>
      <c r="B483" s="5" t="e" cm="1">
        <f t="array" ref="B483">MAX(#REF!,MIN(#REF!,#REF!+SUMPRODUCT(--(FoodData[[#This Row],[Healthy]:[Refined]]="Yes"),#REF!)+FoodData[[#This Row],[Adjust]]))</f>
        <v>#REF!</v>
      </c>
      <c r="C483" s="1" t="e">
        <f>LOOKUP(FoodData[[#This Row],[Score]],#REF!,#REF!)</f>
        <v>#REF!</v>
      </c>
      <c r="D483" t="s">
        <v>855</v>
      </c>
      <c r="E483" t="s">
        <v>856</v>
      </c>
      <c r="F483" t="s">
        <v>22</v>
      </c>
      <c r="G483" t="s">
        <v>489</v>
      </c>
      <c r="H483" t="s">
        <v>999</v>
      </c>
      <c r="I483" s="1" t="s">
        <v>25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25</v>
      </c>
      <c r="O483" s="1" t="s">
        <v>25</v>
      </c>
      <c r="P483" s="1" t="s">
        <v>25</v>
      </c>
      <c r="Q483" s="1" t="s">
        <v>25</v>
      </c>
      <c r="R483" s="1" t="s">
        <v>25</v>
      </c>
      <c r="S483" s="2">
        <v>0</v>
      </c>
    </row>
    <row r="484" spans="1:19" x14ac:dyDescent="0.3">
      <c r="A484" t="s">
        <v>1000</v>
      </c>
      <c r="B484" s="5" t="e" cm="1">
        <f t="array" ref="B484">MAX(#REF!,MIN(#REF!,#REF!+SUMPRODUCT(--(FoodData[[#This Row],[Healthy]:[Refined]]="Yes"),#REF!)+FoodData[[#This Row],[Adjust]]))</f>
        <v>#REF!</v>
      </c>
      <c r="C484" s="1" t="e">
        <f>LOOKUP(FoodData[[#This Row],[Score]],#REF!,#REF!)</f>
        <v>#REF!</v>
      </c>
      <c r="D484" t="s">
        <v>855</v>
      </c>
      <c r="E484" t="s">
        <v>856</v>
      </c>
      <c r="F484" t="s">
        <v>22</v>
      </c>
      <c r="G484" t="s">
        <v>489</v>
      </c>
      <c r="H484" t="s">
        <v>1001</v>
      </c>
      <c r="I484" s="1" t="s">
        <v>25</v>
      </c>
      <c r="J484" s="1" t="s">
        <v>25</v>
      </c>
      <c r="K484" s="1" t="s">
        <v>25</v>
      </c>
      <c r="L484" s="1" t="s">
        <v>25</v>
      </c>
      <c r="M484" s="1" t="s">
        <v>26</v>
      </c>
      <c r="N484" s="1" t="s">
        <v>25</v>
      </c>
      <c r="O484" s="1" t="s">
        <v>25</v>
      </c>
      <c r="P484" s="1" t="s">
        <v>25</v>
      </c>
      <c r="Q484" s="1" t="s">
        <v>26</v>
      </c>
      <c r="R484" s="1" t="s">
        <v>25</v>
      </c>
      <c r="S484" s="2">
        <v>0</v>
      </c>
    </row>
    <row r="485" spans="1:19" x14ac:dyDescent="0.3">
      <c r="A485" t="s">
        <v>1002</v>
      </c>
      <c r="B485" s="5" t="e" cm="1">
        <f t="array" ref="B485">MAX(#REF!,MIN(#REF!,#REF!+SUMPRODUCT(--(FoodData[[#This Row],[Healthy]:[Refined]]="Yes"),#REF!)+FoodData[[#This Row],[Adjust]]))</f>
        <v>#REF!</v>
      </c>
      <c r="C485" s="1" t="e">
        <f>LOOKUP(FoodData[[#This Row],[Score]],#REF!,#REF!)</f>
        <v>#REF!</v>
      </c>
      <c r="D485" t="s">
        <v>855</v>
      </c>
      <c r="E485" t="s">
        <v>856</v>
      </c>
      <c r="F485" t="s">
        <v>22</v>
      </c>
      <c r="G485" t="s">
        <v>489</v>
      </c>
      <c r="H485" t="s">
        <v>1003</v>
      </c>
      <c r="I485" s="1" t="s">
        <v>25</v>
      </c>
      <c r="J485" s="1" t="s">
        <v>25</v>
      </c>
      <c r="K485" s="1" t="s">
        <v>25</v>
      </c>
      <c r="L485" s="1" t="s">
        <v>25</v>
      </c>
      <c r="M485" s="1" t="s">
        <v>26</v>
      </c>
      <c r="N485" s="1" t="s">
        <v>25</v>
      </c>
      <c r="O485" s="1" t="s">
        <v>25</v>
      </c>
      <c r="P485" s="1" t="s">
        <v>25</v>
      </c>
      <c r="Q485" s="1" t="s">
        <v>25</v>
      </c>
      <c r="R485" s="1" t="s">
        <v>25</v>
      </c>
      <c r="S485" s="2">
        <v>0</v>
      </c>
    </row>
    <row r="486" spans="1:19" x14ac:dyDescent="0.3">
      <c r="A486" t="s">
        <v>1004</v>
      </c>
      <c r="B486" s="5" t="e" cm="1">
        <f t="array" ref="B486">MAX(#REF!,MIN(#REF!,#REF!+SUMPRODUCT(--(FoodData[[#This Row],[Healthy]:[Refined]]="Yes"),#REF!)+FoodData[[#This Row],[Adjust]]))</f>
        <v>#REF!</v>
      </c>
      <c r="C486" s="1" t="e">
        <f>LOOKUP(FoodData[[#This Row],[Score]],#REF!,#REF!)</f>
        <v>#REF!</v>
      </c>
      <c r="D486" t="s">
        <v>855</v>
      </c>
      <c r="E486" t="s">
        <v>856</v>
      </c>
      <c r="F486" t="s">
        <v>22</v>
      </c>
      <c r="G486" t="s">
        <v>489</v>
      </c>
      <c r="H486" t="s">
        <v>1005</v>
      </c>
      <c r="I486" s="1" t="s">
        <v>25</v>
      </c>
      <c r="J486" s="1" t="s">
        <v>25</v>
      </c>
      <c r="K486" s="1" t="s">
        <v>26</v>
      </c>
      <c r="L486" s="1" t="s">
        <v>25</v>
      </c>
      <c r="M486" s="1" t="s">
        <v>26</v>
      </c>
      <c r="N486" s="1" t="s">
        <v>25</v>
      </c>
      <c r="O486" s="1" t="s">
        <v>25</v>
      </c>
      <c r="P486" s="1" t="s">
        <v>25</v>
      </c>
      <c r="Q486" s="1" t="s">
        <v>25</v>
      </c>
      <c r="R486" s="1" t="s">
        <v>25</v>
      </c>
      <c r="S486" s="2">
        <v>0</v>
      </c>
    </row>
    <row r="487" spans="1:19" x14ac:dyDescent="0.3">
      <c r="A487" t="s">
        <v>1006</v>
      </c>
      <c r="B487" s="5" t="e" cm="1">
        <f t="array" ref="B487">MAX(#REF!,MIN(#REF!,#REF!+SUMPRODUCT(--(FoodData[[#This Row],[Healthy]:[Refined]]="Yes"),#REF!)+FoodData[[#This Row],[Adjust]]))</f>
        <v>#REF!</v>
      </c>
      <c r="C487" s="1" t="e">
        <f>LOOKUP(FoodData[[#This Row],[Score]],#REF!,#REF!)</f>
        <v>#REF!</v>
      </c>
      <c r="D487" t="s">
        <v>855</v>
      </c>
      <c r="E487" t="s">
        <v>856</v>
      </c>
      <c r="F487" t="s">
        <v>22</v>
      </c>
      <c r="G487" t="s">
        <v>489</v>
      </c>
      <c r="H487" t="s">
        <v>1007</v>
      </c>
      <c r="I487" s="1" t="s">
        <v>25</v>
      </c>
      <c r="J487" s="1" t="s">
        <v>25</v>
      </c>
      <c r="K487" s="1" t="s">
        <v>26</v>
      </c>
      <c r="L487" s="1" t="s">
        <v>25</v>
      </c>
      <c r="M487" s="1" t="s">
        <v>26</v>
      </c>
      <c r="N487" s="1" t="s">
        <v>25</v>
      </c>
      <c r="O487" s="1" t="s">
        <v>25</v>
      </c>
      <c r="P487" s="1" t="s">
        <v>25</v>
      </c>
      <c r="Q487" s="1" t="s">
        <v>25</v>
      </c>
      <c r="R487" s="1" t="s">
        <v>25</v>
      </c>
      <c r="S487" s="2">
        <v>0</v>
      </c>
    </row>
    <row r="488" spans="1:19" x14ac:dyDescent="0.3">
      <c r="A488" t="s">
        <v>1008</v>
      </c>
      <c r="B488" s="5" t="e" cm="1">
        <f t="array" ref="B488">MAX(#REF!,MIN(#REF!,#REF!+SUMPRODUCT(--(FoodData[[#This Row],[Healthy]:[Refined]]="Yes"),#REF!)+FoodData[[#This Row],[Adjust]]))</f>
        <v>#REF!</v>
      </c>
      <c r="C488" s="1" t="e">
        <f>LOOKUP(FoodData[[#This Row],[Score]],#REF!,#REF!)</f>
        <v>#REF!</v>
      </c>
      <c r="D488" t="s">
        <v>855</v>
      </c>
      <c r="E488" t="s">
        <v>856</v>
      </c>
      <c r="F488" t="s">
        <v>22</v>
      </c>
      <c r="G488" t="s">
        <v>162</v>
      </c>
      <c r="H488" t="s">
        <v>1009</v>
      </c>
      <c r="I488" s="1" t="s">
        <v>26</v>
      </c>
      <c r="J488" s="1" t="s">
        <v>26</v>
      </c>
      <c r="K488" s="1" t="s">
        <v>25</v>
      </c>
      <c r="L488" s="1" t="s">
        <v>25</v>
      </c>
      <c r="M488" s="1" t="s">
        <v>25</v>
      </c>
      <c r="N488" s="1" t="s">
        <v>25</v>
      </c>
      <c r="O488" s="1" t="s">
        <v>25</v>
      </c>
      <c r="P488" s="1" t="s">
        <v>25</v>
      </c>
      <c r="Q488" s="1" t="s">
        <v>25</v>
      </c>
      <c r="R488" s="1" t="s">
        <v>25</v>
      </c>
      <c r="S488" s="2">
        <v>0</v>
      </c>
    </row>
    <row r="489" spans="1:19" x14ac:dyDescent="0.3">
      <c r="A489" t="s">
        <v>1010</v>
      </c>
      <c r="B489" s="5" t="e" cm="1">
        <f t="array" ref="B489">MAX(#REF!,MIN(#REF!,#REF!+SUMPRODUCT(--(FoodData[[#This Row],[Healthy]:[Refined]]="Yes"),#REF!)+FoodData[[#This Row],[Adjust]]))</f>
        <v>#REF!</v>
      </c>
      <c r="C489" s="1" t="e">
        <f>LOOKUP(FoodData[[#This Row],[Score]],#REF!,#REF!)</f>
        <v>#REF!</v>
      </c>
      <c r="D489" t="s">
        <v>855</v>
      </c>
      <c r="E489" t="s">
        <v>856</v>
      </c>
      <c r="F489" t="s">
        <v>22</v>
      </c>
      <c r="G489" t="s">
        <v>29</v>
      </c>
      <c r="H489" t="s">
        <v>1011</v>
      </c>
      <c r="I489" s="1" t="s">
        <v>26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25</v>
      </c>
      <c r="Q489" s="1" t="s">
        <v>25</v>
      </c>
      <c r="R489" s="1" t="s">
        <v>25</v>
      </c>
      <c r="S489" s="2">
        <v>0</v>
      </c>
    </row>
    <row r="490" spans="1:19" x14ac:dyDescent="0.3">
      <c r="A490" t="s">
        <v>1012</v>
      </c>
      <c r="B490" s="5" t="e" cm="1">
        <f t="array" ref="B490">MAX(#REF!,MIN(#REF!,#REF!+SUMPRODUCT(--(FoodData[[#This Row],[Healthy]:[Refined]]="Yes"),#REF!)+FoodData[[#This Row],[Adjust]]))</f>
        <v>#REF!</v>
      </c>
      <c r="C490" s="1" t="e">
        <f>LOOKUP(FoodData[[#This Row],[Score]],#REF!,#REF!)</f>
        <v>#REF!</v>
      </c>
      <c r="D490" t="s">
        <v>855</v>
      </c>
      <c r="E490" t="s">
        <v>856</v>
      </c>
      <c r="F490" t="s">
        <v>22</v>
      </c>
      <c r="G490" t="s">
        <v>489</v>
      </c>
      <c r="H490" t="s">
        <v>1013</v>
      </c>
      <c r="I490" s="1" t="s">
        <v>26</v>
      </c>
      <c r="J490" s="1" t="s">
        <v>26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25</v>
      </c>
      <c r="Q490" s="1" t="s">
        <v>25</v>
      </c>
      <c r="R490" s="1" t="s">
        <v>25</v>
      </c>
      <c r="S490" s="2">
        <v>0</v>
      </c>
    </row>
    <row r="491" spans="1:19" x14ac:dyDescent="0.3">
      <c r="A491" t="s">
        <v>1014</v>
      </c>
      <c r="B491" s="5" t="e" cm="1">
        <f t="array" ref="B491">MAX(#REF!,MIN(#REF!,#REF!+SUMPRODUCT(--(FoodData[[#This Row],[Healthy]:[Refined]]="Yes"),#REF!)+FoodData[[#This Row],[Adjust]]))</f>
        <v>#REF!</v>
      </c>
      <c r="C491" s="1" t="e">
        <f>LOOKUP(FoodData[[#This Row],[Score]],#REF!,#REF!)</f>
        <v>#REF!</v>
      </c>
      <c r="D491" t="s">
        <v>855</v>
      </c>
      <c r="E491" t="s">
        <v>856</v>
      </c>
      <c r="F491" t="s">
        <v>22</v>
      </c>
      <c r="G491" t="s">
        <v>489</v>
      </c>
      <c r="H491" t="s">
        <v>1015</v>
      </c>
      <c r="I491" s="1" t="s">
        <v>25</v>
      </c>
      <c r="J491" s="1" t="s">
        <v>25</v>
      </c>
      <c r="K491" s="1" t="s">
        <v>26</v>
      </c>
      <c r="L491" s="1" t="s">
        <v>25</v>
      </c>
      <c r="M491" s="1" t="s">
        <v>26</v>
      </c>
      <c r="N491" s="1" t="s">
        <v>25</v>
      </c>
      <c r="O491" s="1" t="s">
        <v>25</v>
      </c>
      <c r="P491" s="1" t="s">
        <v>25</v>
      </c>
      <c r="Q491" s="1" t="s">
        <v>25</v>
      </c>
      <c r="R491" s="1" t="s">
        <v>25</v>
      </c>
      <c r="S491" s="2">
        <v>0</v>
      </c>
    </row>
    <row r="492" spans="1:19" x14ac:dyDescent="0.3">
      <c r="A492" t="s">
        <v>1016</v>
      </c>
      <c r="B492" s="5" t="e" cm="1">
        <f t="array" ref="B492">MAX(#REF!,MIN(#REF!,#REF!+SUMPRODUCT(--(FoodData[[#This Row],[Healthy]:[Refined]]="Yes"),#REF!)+FoodData[[#This Row],[Adjust]]))</f>
        <v>#REF!</v>
      </c>
      <c r="C492" s="1" t="e">
        <f>LOOKUP(FoodData[[#This Row],[Score]],#REF!,#REF!)</f>
        <v>#REF!</v>
      </c>
      <c r="D492" t="s">
        <v>855</v>
      </c>
      <c r="E492" t="s">
        <v>856</v>
      </c>
      <c r="F492" t="s">
        <v>22</v>
      </c>
      <c r="G492" t="s">
        <v>489</v>
      </c>
      <c r="H492" t="s">
        <v>1017</v>
      </c>
      <c r="I492" s="1" t="s">
        <v>25</v>
      </c>
      <c r="J492" s="1" t="s">
        <v>25</v>
      </c>
      <c r="K492" s="1" t="s">
        <v>26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25</v>
      </c>
      <c r="Q492" s="1" t="s">
        <v>26</v>
      </c>
      <c r="R492" s="1" t="s">
        <v>25</v>
      </c>
      <c r="S492" s="2">
        <v>0</v>
      </c>
    </row>
    <row r="493" spans="1:19" x14ac:dyDescent="0.3">
      <c r="A493" t="s">
        <v>1018</v>
      </c>
      <c r="B493" s="5" t="e" cm="1">
        <f t="array" ref="B493">MAX(#REF!,MIN(#REF!,#REF!+SUMPRODUCT(--(FoodData[[#This Row],[Healthy]:[Refined]]="Yes"),#REF!)+FoodData[[#This Row],[Adjust]]))</f>
        <v>#REF!</v>
      </c>
      <c r="C493" s="1" t="e">
        <f>LOOKUP(FoodData[[#This Row],[Score]],#REF!,#REF!)</f>
        <v>#REF!</v>
      </c>
      <c r="D493" t="s">
        <v>855</v>
      </c>
      <c r="E493" t="s">
        <v>856</v>
      </c>
      <c r="F493" t="s">
        <v>22</v>
      </c>
      <c r="G493" t="s">
        <v>162</v>
      </c>
      <c r="H493" t="s">
        <v>1019</v>
      </c>
      <c r="I493" s="1" t="s">
        <v>25</v>
      </c>
      <c r="J493" s="1" t="s">
        <v>25</v>
      </c>
      <c r="K493" s="1" t="s">
        <v>25</v>
      </c>
      <c r="L493" s="1" t="s">
        <v>25</v>
      </c>
      <c r="M493" s="1" t="s">
        <v>26</v>
      </c>
      <c r="N493" s="1" t="s">
        <v>25</v>
      </c>
      <c r="O493" s="1" t="s">
        <v>25</v>
      </c>
      <c r="P493" s="1" t="s">
        <v>25</v>
      </c>
      <c r="Q493" s="1" t="s">
        <v>25</v>
      </c>
      <c r="R493" s="1" t="s">
        <v>25</v>
      </c>
      <c r="S493" s="2">
        <v>0</v>
      </c>
    </row>
    <row r="494" spans="1:19" x14ac:dyDescent="0.3">
      <c r="A494" t="s">
        <v>1020</v>
      </c>
      <c r="B494" s="5" t="e" cm="1">
        <f t="array" ref="B494">MAX(#REF!,MIN(#REF!,#REF!+SUMPRODUCT(--(FoodData[[#This Row],[Healthy]:[Refined]]="Yes"),#REF!)+FoodData[[#This Row],[Adjust]]))</f>
        <v>#REF!</v>
      </c>
      <c r="C494" s="1" t="e">
        <f>LOOKUP(FoodData[[#This Row],[Score]],#REF!,#REF!)</f>
        <v>#REF!</v>
      </c>
      <c r="D494" t="s">
        <v>855</v>
      </c>
      <c r="E494" t="s">
        <v>856</v>
      </c>
      <c r="F494" t="s">
        <v>22</v>
      </c>
      <c r="G494" t="s">
        <v>162</v>
      </c>
      <c r="H494" t="s">
        <v>1021</v>
      </c>
      <c r="I494" s="1" t="s">
        <v>26</v>
      </c>
      <c r="J494" s="1" t="s">
        <v>25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25</v>
      </c>
      <c r="Q494" s="1" t="s">
        <v>25</v>
      </c>
      <c r="R494" s="1" t="s">
        <v>25</v>
      </c>
      <c r="S494" s="2">
        <v>0</v>
      </c>
    </row>
    <row r="495" spans="1:19" x14ac:dyDescent="0.3">
      <c r="A495" t="s">
        <v>1022</v>
      </c>
      <c r="B495" s="5" t="e" cm="1">
        <f t="array" ref="B495">MAX(#REF!,MIN(#REF!,#REF!+SUMPRODUCT(--(FoodData[[#This Row],[Healthy]:[Refined]]="Yes"),#REF!)+FoodData[[#This Row],[Adjust]]))</f>
        <v>#REF!</v>
      </c>
      <c r="C495" s="1" t="e">
        <f>LOOKUP(FoodData[[#This Row],[Score]],#REF!,#REF!)</f>
        <v>#REF!</v>
      </c>
      <c r="D495" t="s">
        <v>855</v>
      </c>
      <c r="E495" t="s">
        <v>856</v>
      </c>
      <c r="F495" t="s">
        <v>22</v>
      </c>
      <c r="G495" t="s">
        <v>489</v>
      </c>
      <c r="H495" t="s">
        <v>909</v>
      </c>
      <c r="I495" s="1" t="s">
        <v>25</v>
      </c>
      <c r="J495" s="1" t="s">
        <v>25</v>
      </c>
      <c r="K495" s="1" t="s">
        <v>26</v>
      </c>
      <c r="L495" s="1" t="s">
        <v>25</v>
      </c>
      <c r="M495" s="1" t="s">
        <v>25</v>
      </c>
      <c r="N495" s="1" t="s">
        <v>25</v>
      </c>
      <c r="O495" s="1" t="s">
        <v>25</v>
      </c>
      <c r="P495" s="1" t="s">
        <v>25</v>
      </c>
      <c r="Q495" s="1" t="s">
        <v>25</v>
      </c>
      <c r="R495" s="1" t="s">
        <v>25</v>
      </c>
      <c r="S495" s="2">
        <v>0</v>
      </c>
    </row>
    <row r="496" spans="1:19" x14ac:dyDescent="0.3">
      <c r="A496" t="s">
        <v>1023</v>
      </c>
      <c r="B496" s="5" t="e" cm="1">
        <f t="array" ref="B496">MAX(#REF!,MIN(#REF!,#REF!+SUMPRODUCT(--(FoodData[[#This Row],[Healthy]:[Refined]]="Yes"),#REF!)+FoodData[[#This Row],[Adjust]]))</f>
        <v>#REF!</v>
      </c>
      <c r="C496" s="1" t="e">
        <f>LOOKUP(FoodData[[#This Row],[Score]],#REF!,#REF!)</f>
        <v>#REF!</v>
      </c>
      <c r="D496" t="s">
        <v>855</v>
      </c>
      <c r="E496" t="s">
        <v>856</v>
      </c>
      <c r="F496" t="s">
        <v>22</v>
      </c>
      <c r="G496" t="s">
        <v>162</v>
      </c>
      <c r="H496" t="s">
        <v>1024</v>
      </c>
      <c r="I496" s="1" t="s">
        <v>25</v>
      </c>
      <c r="J496" s="1" t="s">
        <v>25</v>
      </c>
      <c r="K496" s="1" t="s">
        <v>25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 t="s">
        <v>25</v>
      </c>
      <c r="Q496" s="1" t="s">
        <v>25</v>
      </c>
      <c r="R496" s="1" t="s">
        <v>25</v>
      </c>
      <c r="S496" s="2">
        <v>0</v>
      </c>
    </row>
    <row r="497" spans="1:19" x14ac:dyDescent="0.3">
      <c r="A497" t="s">
        <v>1025</v>
      </c>
      <c r="B497" s="5" t="e" cm="1">
        <f t="array" ref="B497">MAX(#REF!,MIN(#REF!,#REF!+SUMPRODUCT(--(FoodData[[#This Row],[Healthy]:[Refined]]="Yes"),#REF!)+FoodData[[#This Row],[Adjust]]))</f>
        <v>#REF!</v>
      </c>
      <c r="C497" s="1" t="e">
        <f>LOOKUP(FoodData[[#This Row],[Score]],#REF!,#REF!)</f>
        <v>#REF!</v>
      </c>
      <c r="D497" t="s">
        <v>855</v>
      </c>
      <c r="E497" t="s">
        <v>856</v>
      </c>
      <c r="F497" t="s">
        <v>22</v>
      </c>
      <c r="G497" t="s">
        <v>489</v>
      </c>
      <c r="H497" t="s">
        <v>1026</v>
      </c>
      <c r="I497" s="1" t="s">
        <v>25</v>
      </c>
      <c r="J497" s="1" t="s">
        <v>25</v>
      </c>
      <c r="K497" s="1" t="s">
        <v>25</v>
      </c>
      <c r="L497" s="1" t="s">
        <v>25</v>
      </c>
      <c r="M497" s="1" t="s">
        <v>26</v>
      </c>
      <c r="N497" s="1" t="s">
        <v>25</v>
      </c>
      <c r="O497" s="1" t="s">
        <v>25</v>
      </c>
      <c r="P497" s="1" t="s">
        <v>25</v>
      </c>
      <c r="Q497" s="1" t="s">
        <v>25</v>
      </c>
      <c r="R497" s="1" t="s">
        <v>25</v>
      </c>
      <c r="S497" s="2">
        <v>0</v>
      </c>
    </row>
    <row r="498" spans="1:19" x14ac:dyDescent="0.3">
      <c r="A498" t="s">
        <v>1027</v>
      </c>
      <c r="B498" s="5" t="e" cm="1">
        <f t="array" ref="B498">MAX(#REF!,MIN(#REF!,#REF!+SUMPRODUCT(--(FoodData[[#This Row],[Healthy]:[Refined]]="Yes"),#REF!)+FoodData[[#This Row],[Adjust]]))</f>
        <v>#REF!</v>
      </c>
      <c r="C498" s="1" t="e">
        <f>LOOKUP(FoodData[[#This Row],[Score]],#REF!,#REF!)</f>
        <v>#REF!</v>
      </c>
      <c r="D498" t="s">
        <v>855</v>
      </c>
      <c r="E498" t="s">
        <v>856</v>
      </c>
      <c r="F498" t="s">
        <v>22</v>
      </c>
      <c r="G498" t="s">
        <v>162</v>
      </c>
      <c r="H498" t="s">
        <v>1028</v>
      </c>
      <c r="I498" s="1" t="s">
        <v>25</v>
      </c>
      <c r="J498" s="1" t="s">
        <v>25</v>
      </c>
      <c r="K498" s="1" t="s">
        <v>25</v>
      </c>
      <c r="L498" s="1" t="s">
        <v>25</v>
      </c>
      <c r="M498" s="1" t="s">
        <v>26</v>
      </c>
      <c r="N498" s="1" t="s">
        <v>25</v>
      </c>
      <c r="O498" s="1" t="s">
        <v>25</v>
      </c>
      <c r="P498" s="1" t="s">
        <v>25</v>
      </c>
      <c r="Q498" s="1" t="s">
        <v>25</v>
      </c>
      <c r="R498" s="1" t="s">
        <v>25</v>
      </c>
      <c r="S498" s="2">
        <v>0</v>
      </c>
    </row>
    <row r="499" spans="1:19" x14ac:dyDescent="0.3">
      <c r="A499" t="s">
        <v>1029</v>
      </c>
      <c r="B499" s="5" t="e" cm="1">
        <f t="array" ref="B499">MAX(#REF!,MIN(#REF!,#REF!+SUMPRODUCT(--(FoodData[[#This Row],[Healthy]:[Refined]]="Yes"),#REF!)+FoodData[[#This Row],[Adjust]]))</f>
        <v>#REF!</v>
      </c>
      <c r="C499" s="1" t="e">
        <f>LOOKUP(FoodData[[#This Row],[Score]],#REF!,#REF!)</f>
        <v>#REF!</v>
      </c>
      <c r="D499" t="s">
        <v>855</v>
      </c>
      <c r="E499" t="s">
        <v>856</v>
      </c>
      <c r="F499" t="s">
        <v>22</v>
      </c>
      <c r="G499" t="s">
        <v>489</v>
      </c>
      <c r="H499" t="s">
        <v>1030</v>
      </c>
      <c r="I499" s="1" t="s">
        <v>25</v>
      </c>
      <c r="J499" s="1" t="s">
        <v>25</v>
      </c>
      <c r="K499" s="1" t="s">
        <v>25</v>
      </c>
      <c r="L499" s="1" t="s">
        <v>25</v>
      </c>
      <c r="M499" s="1" t="s">
        <v>26</v>
      </c>
      <c r="N499" s="1" t="s">
        <v>25</v>
      </c>
      <c r="O499" s="1" t="s">
        <v>25</v>
      </c>
      <c r="P499" s="1" t="s">
        <v>25</v>
      </c>
      <c r="Q499" s="1" t="s">
        <v>26</v>
      </c>
      <c r="R499" s="1" t="s">
        <v>25</v>
      </c>
      <c r="S499" s="2">
        <v>0</v>
      </c>
    </row>
    <row r="500" spans="1:19" x14ac:dyDescent="0.3">
      <c r="A500" t="s">
        <v>1031</v>
      </c>
      <c r="B500" s="5" t="e" cm="1">
        <f t="array" ref="B500">MAX(#REF!,MIN(#REF!,#REF!+SUMPRODUCT(--(FoodData[[#This Row],[Healthy]:[Refined]]="Yes"),#REF!)+FoodData[[#This Row],[Adjust]]))</f>
        <v>#REF!</v>
      </c>
      <c r="C500" s="1" t="e">
        <f>LOOKUP(FoodData[[#This Row],[Score]],#REF!,#REF!)</f>
        <v>#REF!</v>
      </c>
      <c r="D500" t="s">
        <v>855</v>
      </c>
      <c r="E500" t="s">
        <v>856</v>
      </c>
      <c r="F500" t="s">
        <v>22</v>
      </c>
      <c r="G500" t="s">
        <v>489</v>
      </c>
      <c r="H500" t="s">
        <v>990</v>
      </c>
      <c r="I500" s="1" t="s">
        <v>25</v>
      </c>
      <c r="J500" s="1" t="s">
        <v>25</v>
      </c>
      <c r="K500" s="1" t="s">
        <v>25</v>
      </c>
      <c r="L500" s="1" t="s">
        <v>25</v>
      </c>
      <c r="M500" s="1" t="s">
        <v>26</v>
      </c>
      <c r="N500" s="1" t="s">
        <v>25</v>
      </c>
      <c r="O500" s="1" t="s">
        <v>25</v>
      </c>
      <c r="P500" s="1" t="s">
        <v>25</v>
      </c>
      <c r="Q500" s="1" t="s">
        <v>26</v>
      </c>
      <c r="R500" s="1" t="s">
        <v>25</v>
      </c>
      <c r="S500" s="2">
        <v>0</v>
      </c>
    </row>
    <row r="501" spans="1:19" x14ac:dyDescent="0.3">
      <c r="A501" t="s">
        <v>1032</v>
      </c>
      <c r="B501" s="5" t="e" cm="1">
        <f t="array" ref="B501">MAX(#REF!,MIN(#REF!,#REF!+SUMPRODUCT(--(FoodData[[#This Row],[Healthy]:[Refined]]="Yes"),#REF!)+FoodData[[#This Row],[Adjust]]))</f>
        <v>#REF!</v>
      </c>
      <c r="C501" s="1" t="e">
        <f>LOOKUP(FoodData[[#This Row],[Score]],#REF!,#REF!)</f>
        <v>#REF!</v>
      </c>
      <c r="D501" t="s">
        <v>855</v>
      </c>
      <c r="E501" t="s">
        <v>856</v>
      </c>
      <c r="F501" t="s">
        <v>22</v>
      </c>
      <c r="G501" t="s">
        <v>489</v>
      </c>
      <c r="H501" t="s">
        <v>1033</v>
      </c>
      <c r="I501" s="1" t="s">
        <v>25</v>
      </c>
      <c r="J501" s="1" t="s">
        <v>25</v>
      </c>
      <c r="K501" s="1" t="s">
        <v>26</v>
      </c>
      <c r="L501" s="1" t="s">
        <v>25</v>
      </c>
      <c r="M501" s="1" t="s">
        <v>26</v>
      </c>
      <c r="N501" s="1" t="s">
        <v>25</v>
      </c>
      <c r="O501" s="1" t="s">
        <v>25</v>
      </c>
      <c r="P501" s="1" t="s">
        <v>25</v>
      </c>
      <c r="Q501" s="1" t="s">
        <v>25</v>
      </c>
      <c r="R501" s="1" t="s">
        <v>25</v>
      </c>
      <c r="S501" s="2">
        <v>0</v>
      </c>
    </row>
    <row r="502" spans="1:19" x14ac:dyDescent="0.3">
      <c r="A502" t="s">
        <v>1034</v>
      </c>
      <c r="B502" s="5" t="e" cm="1">
        <f t="array" ref="B502">MAX(#REF!,MIN(#REF!,#REF!+SUMPRODUCT(--(FoodData[[#This Row],[Healthy]:[Refined]]="Yes"),#REF!)+FoodData[[#This Row],[Adjust]]))</f>
        <v>#REF!</v>
      </c>
      <c r="C502" s="1" t="e">
        <f>LOOKUP(FoodData[[#This Row],[Score]],#REF!,#REF!)</f>
        <v>#REF!</v>
      </c>
      <c r="D502" t="s">
        <v>855</v>
      </c>
      <c r="E502" t="s">
        <v>856</v>
      </c>
      <c r="F502" t="s">
        <v>22</v>
      </c>
      <c r="G502" t="s">
        <v>489</v>
      </c>
      <c r="H502" t="s">
        <v>1035</v>
      </c>
      <c r="I502" s="1" t="s">
        <v>25</v>
      </c>
      <c r="J502" s="1" t="s">
        <v>25</v>
      </c>
      <c r="K502" s="1" t="s">
        <v>26</v>
      </c>
      <c r="L502" s="1" t="s">
        <v>25</v>
      </c>
      <c r="M502" s="1" t="s">
        <v>26</v>
      </c>
      <c r="N502" s="1" t="s">
        <v>25</v>
      </c>
      <c r="O502" s="1" t="s">
        <v>25</v>
      </c>
      <c r="P502" s="1" t="s">
        <v>25</v>
      </c>
      <c r="Q502" s="1" t="s">
        <v>26</v>
      </c>
      <c r="R502" s="1" t="s">
        <v>25</v>
      </c>
      <c r="S502" s="2">
        <v>0</v>
      </c>
    </row>
    <row r="503" spans="1:19" x14ac:dyDescent="0.3">
      <c r="A503" t="s">
        <v>1036</v>
      </c>
      <c r="B503" s="5" t="e" cm="1">
        <f t="array" ref="B503">MAX(#REF!,MIN(#REF!,#REF!+SUMPRODUCT(--(FoodData[[#This Row],[Healthy]:[Refined]]="Yes"),#REF!)+FoodData[[#This Row],[Adjust]]))</f>
        <v>#REF!</v>
      </c>
      <c r="C503" s="1" t="e">
        <f>LOOKUP(FoodData[[#This Row],[Score]],#REF!,#REF!)</f>
        <v>#REF!</v>
      </c>
      <c r="D503" t="s">
        <v>855</v>
      </c>
      <c r="E503" t="s">
        <v>856</v>
      </c>
      <c r="F503" t="s">
        <v>22</v>
      </c>
      <c r="G503" t="s">
        <v>489</v>
      </c>
      <c r="H503" t="s">
        <v>1037</v>
      </c>
      <c r="I503" s="1" t="s">
        <v>25</v>
      </c>
      <c r="J503" s="1" t="s">
        <v>25</v>
      </c>
      <c r="K503" s="1" t="s">
        <v>25</v>
      </c>
      <c r="L503" s="1" t="s">
        <v>25</v>
      </c>
      <c r="M503" s="1" t="s">
        <v>26</v>
      </c>
      <c r="N503" s="1" t="s">
        <v>25</v>
      </c>
      <c r="O503" s="1" t="s">
        <v>25</v>
      </c>
      <c r="P503" s="1" t="s">
        <v>25</v>
      </c>
      <c r="Q503" s="1" t="s">
        <v>26</v>
      </c>
      <c r="R503" s="1" t="s">
        <v>25</v>
      </c>
      <c r="S503" s="2">
        <v>0</v>
      </c>
    </row>
    <row r="504" spans="1:19" x14ac:dyDescent="0.3">
      <c r="A504" t="s">
        <v>1038</v>
      </c>
      <c r="B504" s="5" t="e" cm="1">
        <f t="array" ref="B504">MAX(#REF!,MIN(#REF!,#REF!+SUMPRODUCT(--(FoodData[[#This Row],[Healthy]:[Refined]]="Yes"),#REF!)+FoodData[[#This Row],[Adjust]]))</f>
        <v>#REF!</v>
      </c>
      <c r="C504" s="1" t="e">
        <f>LOOKUP(FoodData[[#This Row],[Score]],#REF!,#REF!)</f>
        <v>#REF!</v>
      </c>
      <c r="D504" t="s">
        <v>855</v>
      </c>
      <c r="E504" t="s">
        <v>856</v>
      </c>
      <c r="F504" t="s">
        <v>22</v>
      </c>
      <c r="G504" t="s">
        <v>489</v>
      </c>
      <c r="H504" t="s">
        <v>1039</v>
      </c>
      <c r="I504" s="1" t="s">
        <v>26</v>
      </c>
      <c r="J504" s="1" t="s">
        <v>26</v>
      </c>
      <c r="K504" s="1" t="s">
        <v>26</v>
      </c>
      <c r="L504" s="1" t="s">
        <v>25</v>
      </c>
      <c r="M504" s="1" t="s">
        <v>25</v>
      </c>
      <c r="N504" s="1" t="s">
        <v>25</v>
      </c>
      <c r="O504" s="1" t="s">
        <v>25</v>
      </c>
      <c r="P504" s="1" t="s">
        <v>25</v>
      </c>
      <c r="Q504" s="1" t="s">
        <v>25</v>
      </c>
      <c r="R504" s="1" t="s">
        <v>25</v>
      </c>
      <c r="S504" s="2">
        <v>0</v>
      </c>
    </row>
    <row r="505" spans="1:19" x14ac:dyDescent="0.3">
      <c r="A505" t="s">
        <v>1040</v>
      </c>
      <c r="B505" s="5" t="e" cm="1">
        <f t="array" ref="B505">MAX(#REF!,MIN(#REF!,#REF!+SUMPRODUCT(--(FoodData[[#This Row],[Healthy]:[Refined]]="Yes"),#REF!)+FoodData[[#This Row],[Adjust]]))</f>
        <v>#REF!</v>
      </c>
      <c r="C505" s="1" t="e">
        <f>LOOKUP(FoodData[[#This Row],[Score]],#REF!,#REF!)</f>
        <v>#REF!</v>
      </c>
      <c r="D505" t="s">
        <v>855</v>
      </c>
      <c r="E505" t="s">
        <v>856</v>
      </c>
      <c r="F505" t="s">
        <v>22</v>
      </c>
      <c r="G505" t="s">
        <v>489</v>
      </c>
      <c r="H505" t="s">
        <v>1041</v>
      </c>
      <c r="I505" s="1" t="s">
        <v>25</v>
      </c>
      <c r="J505" s="1" t="s">
        <v>25</v>
      </c>
      <c r="K505" s="1" t="s">
        <v>25</v>
      </c>
      <c r="L505" s="1" t="s">
        <v>25</v>
      </c>
      <c r="M505" s="1" t="s">
        <v>26</v>
      </c>
      <c r="N505" s="1" t="s">
        <v>25</v>
      </c>
      <c r="O505" s="1" t="s">
        <v>25</v>
      </c>
      <c r="P505" s="1" t="s">
        <v>25</v>
      </c>
      <c r="Q505" s="1" t="s">
        <v>26</v>
      </c>
      <c r="R505" s="1" t="s">
        <v>25</v>
      </c>
      <c r="S505" s="2">
        <v>0</v>
      </c>
    </row>
    <row r="506" spans="1:19" x14ac:dyDescent="0.3">
      <c r="A506" t="s">
        <v>1042</v>
      </c>
      <c r="B506" s="5" t="e" cm="1">
        <f t="array" ref="B506">MAX(#REF!,MIN(#REF!,#REF!+SUMPRODUCT(--(FoodData[[#This Row],[Healthy]:[Refined]]="Yes"),#REF!)+FoodData[[#This Row],[Adjust]]))</f>
        <v>#REF!</v>
      </c>
      <c r="C506" s="1" t="e">
        <f>LOOKUP(FoodData[[#This Row],[Score]],#REF!,#REF!)</f>
        <v>#REF!</v>
      </c>
      <c r="D506" t="s">
        <v>855</v>
      </c>
      <c r="E506" t="s">
        <v>856</v>
      </c>
      <c r="F506" t="s">
        <v>22</v>
      </c>
      <c r="G506" t="s">
        <v>489</v>
      </c>
      <c r="H506" t="s">
        <v>1043</v>
      </c>
      <c r="I506" s="1" t="s">
        <v>25</v>
      </c>
      <c r="J506" s="1" t="s">
        <v>25</v>
      </c>
      <c r="K506" s="1" t="s">
        <v>26</v>
      </c>
      <c r="L506" s="1" t="s">
        <v>25</v>
      </c>
      <c r="M506" s="1" t="s">
        <v>26</v>
      </c>
      <c r="N506" s="1" t="s">
        <v>25</v>
      </c>
      <c r="O506" s="1" t="s">
        <v>25</v>
      </c>
      <c r="P506" s="1" t="s">
        <v>25</v>
      </c>
      <c r="Q506" s="1" t="s">
        <v>25</v>
      </c>
      <c r="R506" s="1" t="s">
        <v>25</v>
      </c>
      <c r="S506" s="2">
        <v>0</v>
      </c>
    </row>
    <row r="507" spans="1:19" x14ac:dyDescent="0.3">
      <c r="A507" t="s">
        <v>1044</v>
      </c>
      <c r="B507" s="5" t="e" cm="1">
        <f t="array" ref="B507">MAX(#REF!,MIN(#REF!,#REF!+SUMPRODUCT(--(FoodData[[#This Row],[Healthy]:[Refined]]="Yes"),#REF!)+FoodData[[#This Row],[Adjust]]))</f>
        <v>#REF!</v>
      </c>
      <c r="C507" s="1" t="e">
        <f>LOOKUP(FoodData[[#This Row],[Score]],#REF!,#REF!)</f>
        <v>#REF!</v>
      </c>
      <c r="D507" t="s">
        <v>855</v>
      </c>
      <c r="E507" t="s">
        <v>856</v>
      </c>
      <c r="F507" t="s">
        <v>22</v>
      </c>
      <c r="G507" t="s">
        <v>489</v>
      </c>
      <c r="H507" t="s">
        <v>1045</v>
      </c>
      <c r="I507" s="1" t="s">
        <v>25</v>
      </c>
      <c r="J507" s="1" t="s">
        <v>25</v>
      </c>
      <c r="K507" s="1" t="s">
        <v>26</v>
      </c>
      <c r="L507" s="1" t="s">
        <v>25</v>
      </c>
      <c r="M507" s="1" t="s">
        <v>25</v>
      </c>
      <c r="N507" s="1" t="s">
        <v>25</v>
      </c>
      <c r="O507" s="1" t="s">
        <v>25</v>
      </c>
      <c r="P507" s="1" t="s">
        <v>25</v>
      </c>
      <c r="Q507" s="1" t="s">
        <v>25</v>
      </c>
      <c r="R507" s="1" t="s">
        <v>25</v>
      </c>
      <c r="S507" s="2">
        <v>0</v>
      </c>
    </row>
    <row r="508" spans="1:19" x14ac:dyDescent="0.3">
      <c r="A508" t="s">
        <v>1046</v>
      </c>
      <c r="B508" s="5" t="e" cm="1">
        <f t="array" ref="B508">MAX(#REF!,MIN(#REF!,#REF!+SUMPRODUCT(--(FoodData[[#This Row],[Healthy]:[Refined]]="Yes"),#REF!)+FoodData[[#This Row],[Adjust]]))</f>
        <v>#REF!</v>
      </c>
      <c r="C508" s="1" t="e">
        <f>LOOKUP(FoodData[[#This Row],[Score]],#REF!,#REF!)</f>
        <v>#REF!</v>
      </c>
      <c r="D508" t="s">
        <v>855</v>
      </c>
      <c r="E508" t="s">
        <v>856</v>
      </c>
      <c r="F508" t="s">
        <v>22</v>
      </c>
      <c r="G508" t="s">
        <v>29</v>
      </c>
      <c r="H508" t="s">
        <v>1046</v>
      </c>
      <c r="I508" s="1" t="s">
        <v>26</v>
      </c>
      <c r="J508" s="1" t="s">
        <v>26</v>
      </c>
      <c r="K508" s="1" t="s">
        <v>26</v>
      </c>
      <c r="L508" s="1" t="s">
        <v>25</v>
      </c>
      <c r="M508" s="1" t="s">
        <v>25</v>
      </c>
      <c r="N508" s="1" t="s">
        <v>25</v>
      </c>
      <c r="O508" s="1" t="s">
        <v>25</v>
      </c>
      <c r="P508" s="1" t="s">
        <v>25</v>
      </c>
      <c r="Q508" s="1" t="s">
        <v>25</v>
      </c>
      <c r="R508" s="1" t="s">
        <v>25</v>
      </c>
      <c r="S508" s="2">
        <v>0</v>
      </c>
    </row>
    <row r="509" spans="1:19" x14ac:dyDescent="0.3">
      <c r="A509" t="s">
        <v>1047</v>
      </c>
      <c r="B509" s="5" t="e" cm="1">
        <f t="array" ref="B509">MAX(#REF!,MIN(#REF!,#REF!+SUMPRODUCT(--(FoodData[[#This Row],[Healthy]:[Refined]]="Yes"),#REF!)+FoodData[[#This Row],[Adjust]]))</f>
        <v>#REF!</v>
      </c>
      <c r="C509" s="1" t="e">
        <f>LOOKUP(FoodData[[#This Row],[Score]],#REF!,#REF!)</f>
        <v>#REF!</v>
      </c>
      <c r="D509" t="s">
        <v>855</v>
      </c>
      <c r="E509" t="s">
        <v>856</v>
      </c>
      <c r="F509" t="s">
        <v>22</v>
      </c>
      <c r="G509" t="s">
        <v>489</v>
      </c>
      <c r="H509" t="s">
        <v>1048</v>
      </c>
      <c r="I509" s="1" t="s">
        <v>25</v>
      </c>
      <c r="J509" s="1" t="s">
        <v>25</v>
      </c>
      <c r="K509" s="1" t="s">
        <v>26</v>
      </c>
      <c r="L509" s="1" t="s">
        <v>25</v>
      </c>
      <c r="M509" s="1" t="s">
        <v>26</v>
      </c>
      <c r="N509" s="1" t="s">
        <v>25</v>
      </c>
      <c r="O509" s="1" t="s">
        <v>25</v>
      </c>
      <c r="P509" s="1" t="s">
        <v>25</v>
      </c>
      <c r="Q509" s="1" t="s">
        <v>26</v>
      </c>
      <c r="R509" s="1" t="s">
        <v>25</v>
      </c>
      <c r="S509" s="2">
        <v>0</v>
      </c>
    </row>
    <row r="510" spans="1:19" x14ac:dyDescent="0.3">
      <c r="A510" t="s">
        <v>1049</v>
      </c>
      <c r="B510" s="5" t="e" cm="1">
        <f t="array" ref="B510">MAX(#REF!,MIN(#REF!,#REF!+SUMPRODUCT(--(FoodData[[#This Row],[Healthy]:[Refined]]="Yes"),#REF!)+FoodData[[#This Row],[Adjust]]))</f>
        <v>#REF!</v>
      </c>
      <c r="C510" s="1" t="e">
        <f>LOOKUP(FoodData[[#This Row],[Score]],#REF!,#REF!)</f>
        <v>#REF!</v>
      </c>
      <c r="D510" t="s">
        <v>855</v>
      </c>
      <c r="E510" t="s">
        <v>856</v>
      </c>
      <c r="F510" t="s">
        <v>22</v>
      </c>
      <c r="G510" t="s">
        <v>489</v>
      </c>
      <c r="H510" t="s">
        <v>1050</v>
      </c>
      <c r="I510" s="1" t="s">
        <v>25</v>
      </c>
      <c r="J510" s="1" t="s">
        <v>25</v>
      </c>
      <c r="K510" s="1" t="s">
        <v>25</v>
      </c>
      <c r="L510" s="1" t="s">
        <v>25</v>
      </c>
      <c r="M510" s="1" t="s">
        <v>26</v>
      </c>
      <c r="N510" s="1" t="s">
        <v>25</v>
      </c>
      <c r="O510" s="1" t="s">
        <v>25</v>
      </c>
      <c r="P510" s="1" t="s">
        <v>25</v>
      </c>
      <c r="Q510" s="1" t="s">
        <v>26</v>
      </c>
      <c r="R510" s="1" t="s">
        <v>25</v>
      </c>
      <c r="S510" s="2">
        <v>0</v>
      </c>
    </row>
    <row r="511" spans="1:19" x14ac:dyDescent="0.3">
      <c r="A511" t="s">
        <v>1051</v>
      </c>
      <c r="B511" s="5" t="e" cm="1">
        <f t="array" ref="B511">MAX(#REF!,MIN(#REF!,#REF!+SUMPRODUCT(--(FoodData[[#This Row],[Healthy]:[Refined]]="Yes"),#REF!)+FoodData[[#This Row],[Adjust]]))</f>
        <v>#REF!</v>
      </c>
      <c r="C511" s="1" t="e">
        <f>LOOKUP(FoodData[[#This Row],[Score]],#REF!,#REF!)</f>
        <v>#REF!</v>
      </c>
      <c r="D511" t="s">
        <v>855</v>
      </c>
      <c r="E511" t="s">
        <v>856</v>
      </c>
      <c r="F511" t="s">
        <v>22</v>
      </c>
      <c r="G511" t="s">
        <v>489</v>
      </c>
      <c r="H511" t="s">
        <v>1052</v>
      </c>
      <c r="I511" s="1" t="s">
        <v>25</v>
      </c>
      <c r="J511" s="1" t="s">
        <v>25</v>
      </c>
      <c r="K511" s="1" t="s">
        <v>26</v>
      </c>
      <c r="L511" s="1" t="s">
        <v>25</v>
      </c>
      <c r="M511" s="1" t="s">
        <v>26</v>
      </c>
      <c r="N511" s="1" t="s">
        <v>25</v>
      </c>
      <c r="O511" s="1" t="s">
        <v>25</v>
      </c>
      <c r="P511" s="1" t="s">
        <v>25</v>
      </c>
      <c r="Q511" s="1" t="s">
        <v>26</v>
      </c>
      <c r="R511" s="1" t="s">
        <v>25</v>
      </c>
      <c r="S511" s="2">
        <v>0</v>
      </c>
    </row>
    <row r="512" spans="1:19" x14ac:dyDescent="0.3">
      <c r="A512" t="s">
        <v>1053</v>
      </c>
      <c r="B512" s="5" t="e" cm="1">
        <f t="array" ref="B512">MAX(#REF!,MIN(#REF!,#REF!+SUMPRODUCT(--(FoodData[[#This Row],[Healthy]:[Refined]]="Yes"),#REF!)+FoodData[[#This Row],[Adjust]]))</f>
        <v>#REF!</v>
      </c>
      <c r="C512" s="1" t="e">
        <f>LOOKUP(FoodData[[#This Row],[Score]],#REF!,#REF!)</f>
        <v>#REF!</v>
      </c>
      <c r="D512" t="s">
        <v>855</v>
      </c>
      <c r="E512" t="s">
        <v>856</v>
      </c>
      <c r="F512" t="s">
        <v>22</v>
      </c>
      <c r="G512" t="s">
        <v>489</v>
      </c>
      <c r="H512" t="s">
        <v>1054</v>
      </c>
      <c r="I512" s="1" t="s">
        <v>26</v>
      </c>
      <c r="J512" s="1" t="s">
        <v>26</v>
      </c>
      <c r="K512" s="1" t="s">
        <v>26</v>
      </c>
      <c r="L512" s="1" t="s">
        <v>25</v>
      </c>
      <c r="M512" s="1" t="s">
        <v>25</v>
      </c>
      <c r="N512" s="1" t="s">
        <v>25</v>
      </c>
      <c r="O512" s="1" t="s">
        <v>25</v>
      </c>
      <c r="P512" s="1" t="s">
        <v>25</v>
      </c>
      <c r="Q512" s="1" t="s">
        <v>25</v>
      </c>
      <c r="R512" s="1" t="s">
        <v>25</v>
      </c>
      <c r="S512" s="2">
        <v>0</v>
      </c>
    </row>
    <row r="513" spans="1:19" x14ac:dyDescent="0.3">
      <c r="A513" t="s">
        <v>1055</v>
      </c>
      <c r="B513" s="5" t="e" cm="1">
        <f t="array" ref="B513">MAX(#REF!,MIN(#REF!,#REF!+SUMPRODUCT(--(FoodData[[#This Row],[Healthy]:[Refined]]="Yes"),#REF!)+FoodData[[#This Row],[Adjust]]))</f>
        <v>#REF!</v>
      </c>
      <c r="C513" s="1" t="e">
        <f>LOOKUP(FoodData[[#This Row],[Score]],#REF!,#REF!)</f>
        <v>#REF!</v>
      </c>
      <c r="D513" t="s">
        <v>855</v>
      </c>
      <c r="E513" t="s">
        <v>856</v>
      </c>
      <c r="F513" t="s">
        <v>22</v>
      </c>
      <c r="G513" t="s">
        <v>489</v>
      </c>
      <c r="H513" t="s">
        <v>1056</v>
      </c>
      <c r="I513" s="1" t="s">
        <v>25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25</v>
      </c>
      <c r="Q513" s="1" t="s">
        <v>25</v>
      </c>
      <c r="R513" s="1" t="s">
        <v>25</v>
      </c>
      <c r="S513" s="2">
        <v>0</v>
      </c>
    </row>
    <row r="514" spans="1:19" x14ac:dyDescent="0.3">
      <c r="A514" t="s">
        <v>1057</v>
      </c>
      <c r="B514" s="5" t="e" cm="1">
        <f t="array" ref="B514">MAX(#REF!,MIN(#REF!,#REF!+SUMPRODUCT(--(FoodData[[#This Row],[Healthy]:[Refined]]="Yes"),#REF!)+FoodData[[#This Row],[Adjust]]))</f>
        <v>#REF!</v>
      </c>
      <c r="C514" s="1" t="e">
        <f>LOOKUP(FoodData[[#This Row],[Score]],#REF!,#REF!)</f>
        <v>#REF!</v>
      </c>
      <c r="D514" t="s">
        <v>855</v>
      </c>
      <c r="E514" t="s">
        <v>856</v>
      </c>
      <c r="F514" t="s">
        <v>22</v>
      </c>
      <c r="G514" t="s">
        <v>489</v>
      </c>
      <c r="H514" t="s">
        <v>1058</v>
      </c>
      <c r="I514" s="1" t="s">
        <v>25</v>
      </c>
      <c r="J514" s="1" t="s">
        <v>25</v>
      </c>
      <c r="K514" s="1" t="s">
        <v>25</v>
      </c>
      <c r="L514" s="1" t="s">
        <v>25</v>
      </c>
      <c r="M514" s="1" t="s">
        <v>26</v>
      </c>
      <c r="N514" s="1" t="s">
        <v>25</v>
      </c>
      <c r="O514" s="1" t="s">
        <v>25</v>
      </c>
      <c r="P514" s="1" t="s">
        <v>25</v>
      </c>
      <c r="Q514" s="1" t="s">
        <v>26</v>
      </c>
      <c r="R514" s="1" t="s">
        <v>25</v>
      </c>
      <c r="S514" s="2">
        <v>0</v>
      </c>
    </row>
    <row r="515" spans="1:19" x14ac:dyDescent="0.3">
      <c r="A515" t="s">
        <v>1059</v>
      </c>
      <c r="B515" s="5" t="e" cm="1">
        <f t="array" ref="B515">MAX(#REF!,MIN(#REF!,#REF!+SUMPRODUCT(--(FoodData[[#This Row],[Healthy]:[Refined]]="Yes"),#REF!)+FoodData[[#This Row],[Adjust]]))</f>
        <v>#REF!</v>
      </c>
      <c r="C515" s="1" t="e">
        <f>LOOKUP(FoodData[[#This Row],[Score]],#REF!,#REF!)</f>
        <v>#REF!</v>
      </c>
      <c r="D515" t="s">
        <v>855</v>
      </c>
      <c r="E515" t="s">
        <v>856</v>
      </c>
      <c r="F515" t="s">
        <v>22</v>
      </c>
      <c r="G515" t="s">
        <v>162</v>
      </c>
      <c r="H515" t="s">
        <v>1060</v>
      </c>
      <c r="I515" s="1" t="s">
        <v>26</v>
      </c>
      <c r="J515" s="1" t="s">
        <v>26</v>
      </c>
      <c r="K515" s="1" t="s">
        <v>25</v>
      </c>
      <c r="L515" s="1" t="s">
        <v>25</v>
      </c>
      <c r="M515" s="1" t="s">
        <v>25</v>
      </c>
      <c r="N515" s="1" t="s">
        <v>25</v>
      </c>
      <c r="O515" s="1" t="s">
        <v>25</v>
      </c>
      <c r="P515" s="1" t="s">
        <v>25</v>
      </c>
      <c r="Q515" s="1" t="s">
        <v>25</v>
      </c>
      <c r="R515" s="1" t="s">
        <v>25</v>
      </c>
      <c r="S515" s="2">
        <v>0</v>
      </c>
    </row>
    <row r="516" spans="1:19" x14ac:dyDescent="0.3">
      <c r="A516" t="s">
        <v>1061</v>
      </c>
      <c r="B516" s="5" t="e" cm="1">
        <f t="array" ref="B516">MAX(#REF!,MIN(#REF!,#REF!+SUMPRODUCT(--(FoodData[[#This Row],[Healthy]:[Refined]]="Yes"),#REF!)+FoodData[[#This Row],[Adjust]]))</f>
        <v>#REF!</v>
      </c>
      <c r="C516" s="1" t="e">
        <f>LOOKUP(FoodData[[#This Row],[Score]],#REF!,#REF!)</f>
        <v>#REF!</v>
      </c>
      <c r="D516" t="s">
        <v>855</v>
      </c>
      <c r="E516" t="s">
        <v>856</v>
      </c>
      <c r="F516" t="s">
        <v>22</v>
      </c>
      <c r="G516" t="s">
        <v>162</v>
      </c>
      <c r="H516" t="s">
        <v>1062</v>
      </c>
      <c r="I516" s="1" t="s">
        <v>25</v>
      </c>
      <c r="J516" s="1" t="s">
        <v>25</v>
      </c>
      <c r="K516" s="1" t="s">
        <v>25</v>
      </c>
      <c r="L516" s="1" t="s">
        <v>25</v>
      </c>
      <c r="M516" s="1" t="s">
        <v>26</v>
      </c>
      <c r="N516" s="1" t="s">
        <v>25</v>
      </c>
      <c r="O516" s="1" t="s">
        <v>25</v>
      </c>
      <c r="P516" s="1" t="s">
        <v>25</v>
      </c>
      <c r="Q516" s="1" t="s">
        <v>25</v>
      </c>
      <c r="R516" s="1" t="s">
        <v>25</v>
      </c>
      <c r="S516" s="2">
        <v>0</v>
      </c>
    </row>
    <row r="517" spans="1:19" x14ac:dyDescent="0.3">
      <c r="A517" t="s">
        <v>1063</v>
      </c>
      <c r="B517" s="5" t="e" cm="1">
        <f t="array" ref="B517">MAX(#REF!,MIN(#REF!,#REF!+SUMPRODUCT(--(FoodData[[#This Row],[Healthy]:[Refined]]="Yes"),#REF!)+FoodData[[#This Row],[Adjust]]))</f>
        <v>#REF!</v>
      </c>
      <c r="C517" s="1" t="e">
        <f>LOOKUP(FoodData[[#This Row],[Score]],#REF!,#REF!)</f>
        <v>#REF!</v>
      </c>
      <c r="D517" t="s">
        <v>855</v>
      </c>
      <c r="E517" t="s">
        <v>856</v>
      </c>
      <c r="F517" t="s">
        <v>22</v>
      </c>
      <c r="G517" t="s">
        <v>489</v>
      </c>
      <c r="H517" t="s">
        <v>1064</v>
      </c>
      <c r="I517" s="1" t="s">
        <v>25</v>
      </c>
      <c r="J517" s="1" t="s">
        <v>25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25</v>
      </c>
      <c r="Q517" s="1" t="s">
        <v>25</v>
      </c>
      <c r="R517" s="1" t="s">
        <v>25</v>
      </c>
      <c r="S517" s="2">
        <v>0</v>
      </c>
    </row>
    <row r="518" spans="1:19" x14ac:dyDescent="0.3">
      <c r="A518" t="s">
        <v>1065</v>
      </c>
      <c r="B518" s="5" t="e" cm="1">
        <f t="array" ref="B518">MAX(#REF!,MIN(#REF!,#REF!+SUMPRODUCT(--(FoodData[[#This Row],[Healthy]:[Refined]]="Yes"),#REF!)+FoodData[[#This Row],[Adjust]]))</f>
        <v>#REF!</v>
      </c>
      <c r="C518" s="1" t="e">
        <f>LOOKUP(FoodData[[#This Row],[Score]],#REF!,#REF!)</f>
        <v>#REF!</v>
      </c>
      <c r="D518" t="s">
        <v>855</v>
      </c>
      <c r="E518" t="s">
        <v>856</v>
      </c>
      <c r="F518" t="s">
        <v>22</v>
      </c>
      <c r="G518" t="s">
        <v>489</v>
      </c>
      <c r="H518" t="s">
        <v>1066</v>
      </c>
      <c r="I518" s="1" t="s">
        <v>25</v>
      </c>
      <c r="J518" s="1" t="s">
        <v>25</v>
      </c>
      <c r="K518" s="1" t="s">
        <v>25</v>
      </c>
      <c r="L518" s="1" t="s">
        <v>25</v>
      </c>
      <c r="M518" s="1" t="s">
        <v>26</v>
      </c>
      <c r="N518" s="1" t="s">
        <v>25</v>
      </c>
      <c r="O518" s="1" t="s">
        <v>25</v>
      </c>
      <c r="P518" s="1" t="s">
        <v>25</v>
      </c>
      <c r="Q518" s="1" t="s">
        <v>26</v>
      </c>
      <c r="R518" s="1" t="s">
        <v>25</v>
      </c>
      <c r="S518" s="2">
        <v>0</v>
      </c>
    </row>
    <row r="519" spans="1:19" x14ac:dyDescent="0.3">
      <c r="A519" t="s">
        <v>1067</v>
      </c>
      <c r="B519" s="5" t="e" cm="1">
        <f t="array" ref="B519">MAX(#REF!,MIN(#REF!,#REF!+SUMPRODUCT(--(FoodData[[#This Row],[Healthy]:[Refined]]="Yes"),#REF!)+FoodData[[#This Row],[Adjust]]))</f>
        <v>#REF!</v>
      </c>
      <c r="C519" s="1" t="e">
        <f>LOOKUP(FoodData[[#This Row],[Score]],#REF!,#REF!)</f>
        <v>#REF!</v>
      </c>
      <c r="D519" t="s">
        <v>855</v>
      </c>
      <c r="E519" t="s">
        <v>856</v>
      </c>
      <c r="F519" t="s">
        <v>22</v>
      </c>
      <c r="G519" t="s">
        <v>489</v>
      </c>
      <c r="H519" t="s">
        <v>1068</v>
      </c>
      <c r="I519" s="1" t="s">
        <v>25</v>
      </c>
      <c r="J519" s="1" t="s">
        <v>25</v>
      </c>
      <c r="K519" s="1" t="s">
        <v>26</v>
      </c>
      <c r="L519" s="1" t="s">
        <v>25</v>
      </c>
      <c r="M519" s="1" t="s">
        <v>26</v>
      </c>
      <c r="N519" s="1" t="s">
        <v>25</v>
      </c>
      <c r="O519" s="1" t="s">
        <v>25</v>
      </c>
      <c r="P519" s="1" t="s">
        <v>25</v>
      </c>
      <c r="Q519" s="1" t="s">
        <v>26</v>
      </c>
      <c r="R519" s="1" t="s">
        <v>25</v>
      </c>
      <c r="S519" s="2">
        <v>0</v>
      </c>
    </row>
    <row r="520" spans="1:19" x14ac:dyDescent="0.3">
      <c r="A520" t="s">
        <v>1069</v>
      </c>
      <c r="B520" s="5" t="e" cm="1">
        <f t="array" ref="B520">MAX(#REF!,MIN(#REF!,#REF!+SUMPRODUCT(--(FoodData[[#This Row],[Healthy]:[Refined]]="Yes"),#REF!)+FoodData[[#This Row],[Adjust]]))</f>
        <v>#REF!</v>
      </c>
      <c r="C520" s="1" t="e">
        <f>LOOKUP(FoodData[[#This Row],[Score]],#REF!,#REF!)</f>
        <v>#REF!</v>
      </c>
      <c r="D520" t="s">
        <v>855</v>
      </c>
      <c r="E520" t="s">
        <v>856</v>
      </c>
      <c r="F520" t="s">
        <v>22</v>
      </c>
      <c r="G520" t="s">
        <v>489</v>
      </c>
      <c r="H520" t="s">
        <v>1070</v>
      </c>
      <c r="I520" s="1" t="s">
        <v>25</v>
      </c>
      <c r="J520" s="1" t="s">
        <v>25</v>
      </c>
      <c r="K520" s="1" t="s">
        <v>25</v>
      </c>
      <c r="L520" s="1" t="s">
        <v>25</v>
      </c>
      <c r="M520" s="1" t="s">
        <v>26</v>
      </c>
      <c r="N520" s="1" t="s">
        <v>25</v>
      </c>
      <c r="O520" s="1" t="s">
        <v>25</v>
      </c>
      <c r="P520" s="1" t="s">
        <v>25</v>
      </c>
      <c r="Q520" s="1" t="s">
        <v>26</v>
      </c>
      <c r="R520" s="1" t="s">
        <v>25</v>
      </c>
      <c r="S520" s="2">
        <v>0</v>
      </c>
    </row>
    <row r="521" spans="1:19" x14ac:dyDescent="0.3">
      <c r="A521" t="s">
        <v>1071</v>
      </c>
      <c r="B521" s="5" t="e" cm="1">
        <f t="array" ref="B521">MAX(#REF!,MIN(#REF!,#REF!+SUMPRODUCT(--(FoodData[[#This Row],[Healthy]:[Refined]]="Yes"),#REF!)+FoodData[[#This Row],[Adjust]]))</f>
        <v>#REF!</v>
      </c>
      <c r="C521" s="1" t="e">
        <f>LOOKUP(FoodData[[#This Row],[Score]],#REF!,#REF!)</f>
        <v>#REF!</v>
      </c>
      <c r="D521" t="s">
        <v>855</v>
      </c>
      <c r="E521" t="s">
        <v>856</v>
      </c>
      <c r="F521" t="s">
        <v>22</v>
      </c>
      <c r="G521" t="s">
        <v>489</v>
      </c>
      <c r="H521" t="s">
        <v>1072</v>
      </c>
      <c r="I521" s="1" t="s">
        <v>25</v>
      </c>
      <c r="J521" s="1" t="s">
        <v>25</v>
      </c>
      <c r="K521" s="1" t="s">
        <v>25</v>
      </c>
      <c r="L521" s="1" t="s">
        <v>26</v>
      </c>
      <c r="M521" s="1" t="s">
        <v>26</v>
      </c>
      <c r="N521" s="1" t="s">
        <v>25</v>
      </c>
      <c r="O521" s="1" t="s">
        <v>25</v>
      </c>
      <c r="P521" s="1" t="s">
        <v>25</v>
      </c>
      <c r="Q521" s="1" t="s">
        <v>26</v>
      </c>
      <c r="R521" s="1" t="s">
        <v>25</v>
      </c>
      <c r="S521" s="2">
        <v>0</v>
      </c>
    </row>
    <row r="522" spans="1:19" x14ac:dyDescent="0.3">
      <c r="A522" t="s">
        <v>1073</v>
      </c>
      <c r="B522" s="5" t="e" cm="1">
        <f t="array" ref="B522">MAX(#REF!,MIN(#REF!,#REF!+SUMPRODUCT(--(FoodData[[#This Row],[Healthy]:[Refined]]="Yes"),#REF!)+FoodData[[#This Row],[Adjust]]))</f>
        <v>#REF!</v>
      </c>
      <c r="C522" s="1" t="e">
        <f>LOOKUP(FoodData[[#This Row],[Score]],#REF!,#REF!)</f>
        <v>#REF!</v>
      </c>
      <c r="D522" t="s">
        <v>855</v>
      </c>
      <c r="E522" t="s">
        <v>856</v>
      </c>
      <c r="F522" t="s">
        <v>22</v>
      </c>
      <c r="G522" t="s">
        <v>489</v>
      </c>
      <c r="H522" t="s">
        <v>1074</v>
      </c>
      <c r="I522" s="1" t="s">
        <v>25</v>
      </c>
      <c r="J522" s="1" t="s">
        <v>25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25</v>
      </c>
      <c r="Q522" s="1" t="s">
        <v>26</v>
      </c>
      <c r="R522" s="1" t="s">
        <v>25</v>
      </c>
      <c r="S522" s="2">
        <v>0</v>
      </c>
    </row>
    <row r="523" spans="1:19" x14ac:dyDescent="0.3">
      <c r="A523" t="s">
        <v>1075</v>
      </c>
      <c r="B523" s="5" t="e" cm="1">
        <f t="array" ref="B523">MAX(#REF!,MIN(#REF!,#REF!+SUMPRODUCT(--(FoodData[[#This Row],[Healthy]:[Refined]]="Yes"),#REF!)+FoodData[[#This Row],[Adjust]]))</f>
        <v>#REF!</v>
      </c>
      <c r="C523" s="1" t="e">
        <f>LOOKUP(FoodData[[#This Row],[Score]],#REF!,#REF!)</f>
        <v>#REF!</v>
      </c>
      <c r="D523" t="s">
        <v>855</v>
      </c>
      <c r="E523" t="s">
        <v>856</v>
      </c>
      <c r="F523" t="s">
        <v>22</v>
      </c>
      <c r="G523" t="s">
        <v>489</v>
      </c>
      <c r="H523" t="s">
        <v>1076</v>
      </c>
      <c r="I523" s="1" t="s">
        <v>25</v>
      </c>
      <c r="J523" s="1" t="s">
        <v>25</v>
      </c>
      <c r="K523" s="1" t="s">
        <v>25</v>
      </c>
      <c r="L523" s="1" t="s">
        <v>25</v>
      </c>
      <c r="M523" s="1" t="s">
        <v>26</v>
      </c>
      <c r="N523" s="1" t="s">
        <v>25</v>
      </c>
      <c r="O523" s="1" t="s">
        <v>25</v>
      </c>
      <c r="P523" s="1" t="s">
        <v>25</v>
      </c>
      <c r="Q523" s="1" t="s">
        <v>26</v>
      </c>
      <c r="R523" s="1" t="s">
        <v>25</v>
      </c>
      <c r="S523" s="2">
        <v>0</v>
      </c>
    </row>
    <row r="524" spans="1:19" x14ac:dyDescent="0.3">
      <c r="A524" t="s">
        <v>1077</v>
      </c>
      <c r="B524" s="5" t="e" cm="1">
        <f t="array" ref="B524">MAX(#REF!,MIN(#REF!,#REF!+SUMPRODUCT(--(FoodData[[#This Row],[Healthy]:[Refined]]="Yes"),#REF!)+FoodData[[#This Row],[Adjust]]))</f>
        <v>#REF!</v>
      </c>
      <c r="C524" s="1" t="e">
        <f>LOOKUP(FoodData[[#This Row],[Score]],#REF!,#REF!)</f>
        <v>#REF!</v>
      </c>
      <c r="D524" t="s">
        <v>855</v>
      </c>
      <c r="E524" t="s">
        <v>856</v>
      </c>
      <c r="F524" t="s">
        <v>22</v>
      </c>
      <c r="G524" t="s">
        <v>489</v>
      </c>
      <c r="H524" t="s">
        <v>1078</v>
      </c>
      <c r="I524" s="1" t="s">
        <v>25</v>
      </c>
      <c r="J524" s="1" t="s">
        <v>25</v>
      </c>
      <c r="K524" s="1" t="s">
        <v>25</v>
      </c>
      <c r="L524" s="1" t="s">
        <v>25</v>
      </c>
      <c r="M524" s="1" t="s">
        <v>26</v>
      </c>
      <c r="N524" s="1" t="s">
        <v>25</v>
      </c>
      <c r="O524" s="1" t="s">
        <v>25</v>
      </c>
      <c r="P524" s="1" t="s">
        <v>25</v>
      </c>
      <c r="Q524" s="1" t="s">
        <v>26</v>
      </c>
      <c r="R524" s="1" t="s">
        <v>25</v>
      </c>
      <c r="S524" s="2">
        <v>0</v>
      </c>
    </row>
    <row r="525" spans="1:19" x14ac:dyDescent="0.3">
      <c r="A525" t="s">
        <v>1079</v>
      </c>
      <c r="B525" s="5" t="e" cm="1">
        <f t="array" ref="B525">MAX(#REF!,MIN(#REF!,#REF!+SUMPRODUCT(--(FoodData[[#This Row],[Healthy]:[Refined]]="Yes"),#REF!)+FoodData[[#This Row],[Adjust]]))</f>
        <v>#REF!</v>
      </c>
      <c r="C525" s="1" t="e">
        <f>LOOKUP(FoodData[[#This Row],[Score]],#REF!,#REF!)</f>
        <v>#REF!</v>
      </c>
      <c r="D525" t="s">
        <v>855</v>
      </c>
      <c r="E525" t="s">
        <v>856</v>
      </c>
      <c r="F525" t="s">
        <v>22</v>
      </c>
      <c r="G525" t="s">
        <v>489</v>
      </c>
      <c r="H525" t="s">
        <v>1080</v>
      </c>
      <c r="I525" s="1" t="s">
        <v>25</v>
      </c>
      <c r="J525" s="1" t="s">
        <v>25</v>
      </c>
      <c r="K525" s="1" t="s">
        <v>25</v>
      </c>
      <c r="L525" s="1" t="s">
        <v>25</v>
      </c>
      <c r="M525" s="1" t="s">
        <v>26</v>
      </c>
      <c r="N525" s="1" t="s">
        <v>25</v>
      </c>
      <c r="O525" s="1" t="s">
        <v>25</v>
      </c>
      <c r="P525" s="1" t="s">
        <v>25</v>
      </c>
      <c r="Q525" s="1" t="s">
        <v>26</v>
      </c>
      <c r="R525" s="1" t="s">
        <v>25</v>
      </c>
      <c r="S525" s="2">
        <v>0</v>
      </c>
    </row>
    <row r="526" spans="1:19" x14ac:dyDescent="0.3">
      <c r="A526" t="s">
        <v>1081</v>
      </c>
      <c r="B526" s="5" t="e" cm="1">
        <f t="array" ref="B526">MAX(#REF!,MIN(#REF!,#REF!+SUMPRODUCT(--(FoodData[[#This Row],[Healthy]:[Refined]]="Yes"),#REF!)+FoodData[[#This Row],[Adjust]]))</f>
        <v>#REF!</v>
      </c>
      <c r="C526" s="1" t="e">
        <f>LOOKUP(FoodData[[#This Row],[Score]],#REF!,#REF!)</f>
        <v>#REF!</v>
      </c>
      <c r="D526" t="s">
        <v>855</v>
      </c>
      <c r="E526" t="s">
        <v>856</v>
      </c>
      <c r="F526" t="s">
        <v>22</v>
      </c>
      <c r="G526" t="s">
        <v>489</v>
      </c>
      <c r="H526" t="s">
        <v>1082</v>
      </c>
      <c r="I526" s="1" t="s">
        <v>25</v>
      </c>
      <c r="J526" s="1" t="s">
        <v>25</v>
      </c>
      <c r="K526" s="1" t="s">
        <v>25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25</v>
      </c>
      <c r="Q526" s="1" t="s">
        <v>26</v>
      </c>
      <c r="R526" s="1" t="s">
        <v>25</v>
      </c>
      <c r="S526" s="2">
        <v>0</v>
      </c>
    </row>
    <row r="527" spans="1:19" x14ac:dyDescent="0.3">
      <c r="A527" t="s">
        <v>1083</v>
      </c>
      <c r="B527" s="5" t="e" cm="1">
        <f t="array" ref="B527">MAX(#REF!,MIN(#REF!,#REF!+SUMPRODUCT(--(FoodData[[#This Row],[Healthy]:[Refined]]="Yes"),#REF!)+FoodData[[#This Row],[Adjust]]))</f>
        <v>#REF!</v>
      </c>
      <c r="C527" s="1" t="e">
        <f>LOOKUP(FoodData[[#This Row],[Score]],#REF!,#REF!)</f>
        <v>#REF!</v>
      </c>
      <c r="D527" t="s">
        <v>855</v>
      </c>
      <c r="E527" t="s">
        <v>856</v>
      </c>
      <c r="F527" t="s">
        <v>22</v>
      </c>
      <c r="G527" t="s">
        <v>489</v>
      </c>
      <c r="H527" t="s">
        <v>1084</v>
      </c>
      <c r="I527" s="1" t="s">
        <v>25</v>
      </c>
      <c r="J527" s="1" t="s">
        <v>25</v>
      </c>
      <c r="K527" s="1" t="s">
        <v>25</v>
      </c>
      <c r="L527" s="1" t="s">
        <v>25</v>
      </c>
      <c r="M527" s="1" t="s">
        <v>26</v>
      </c>
      <c r="N527" s="1" t="s">
        <v>25</v>
      </c>
      <c r="O527" s="1" t="s">
        <v>25</v>
      </c>
      <c r="P527" s="1" t="s">
        <v>25</v>
      </c>
      <c r="Q527" s="1" t="s">
        <v>26</v>
      </c>
      <c r="R527" s="1" t="s">
        <v>25</v>
      </c>
      <c r="S527" s="2">
        <v>0</v>
      </c>
    </row>
    <row r="528" spans="1:19" x14ac:dyDescent="0.3">
      <c r="A528" t="s">
        <v>1085</v>
      </c>
      <c r="B528" s="5" t="e" cm="1">
        <f t="array" ref="B528">MAX(#REF!,MIN(#REF!,#REF!+SUMPRODUCT(--(FoodData[[#This Row],[Healthy]:[Refined]]="Yes"),#REF!)+FoodData[[#This Row],[Adjust]]))</f>
        <v>#REF!</v>
      </c>
      <c r="C528" s="1" t="e">
        <f>LOOKUP(FoodData[[#This Row],[Score]],#REF!,#REF!)</f>
        <v>#REF!</v>
      </c>
      <c r="D528" t="s">
        <v>855</v>
      </c>
      <c r="E528" t="s">
        <v>856</v>
      </c>
      <c r="F528" t="s">
        <v>22</v>
      </c>
      <c r="G528" t="s">
        <v>489</v>
      </c>
      <c r="H528" t="s">
        <v>1086</v>
      </c>
      <c r="I528" s="1" t="s">
        <v>25</v>
      </c>
      <c r="J528" s="1" t="s">
        <v>25</v>
      </c>
      <c r="K528" s="1" t="s">
        <v>25</v>
      </c>
      <c r="L528" s="1" t="s">
        <v>25</v>
      </c>
      <c r="M528" s="1" t="s">
        <v>26</v>
      </c>
      <c r="N528" s="1" t="s">
        <v>25</v>
      </c>
      <c r="O528" s="1" t="s">
        <v>25</v>
      </c>
      <c r="P528" s="1" t="s">
        <v>25</v>
      </c>
      <c r="Q528" s="1" t="s">
        <v>26</v>
      </c>
      <c r="R528" s="1" t="s">
        <v>25</v>
      </c>
      <c r="S528" s="2">
        <v>0</v>
      </c>
    </row>
    <row r="529" spans="1:19" x14ac:dyDescent="0.3">
      <c r="A529" t="s">
        <v>1087</v>
      </c>
      <c r="B529" s="5" t="e" cm="1">
        <f t="array" ref="B529">MAX(#REF!,MIN(#REF!,#REF!+SUMPRODUCT(--(FoodData[[#This Row],[Healthy]:[Refined]]="Yes"),#REF!)+FoodData[[#This Row],[Adjust]]))</f>
        <v>#REF!</v>
      </c>
      <c r="C529" s="1" t="e">
        <f>LOOKUP(FoodData[[#This Row],[Score]],#REF!,#REF!)</f>
        <v>#REF!</v>
      </c>
      <c r="D529" t="s">
        <v>855</v>
      </c>
      <c r="E529" t="s">
        <v>856</v>
      </c>
      <c r="F529" t="s">
        <v>22</v>
      </c>
      <c r="G529" t="s">
        <v>489</v>
      </c>
      <c r="H529" t="s">
        <v>1088</v>
      </c>
      <c r="I529" s="1" t="s">
        <v>25</v>
      </c>
      <c r="J529" s="1" t="s">
        <v>25</v>
      </c>
      <c r="K529" s="1" t="s">
        <v>25</v>
      </c>
      <c r="L529" s="1" t="s">
        <v>25</v>
      </c>
      <c r="M529" s="1" t="s">
        <v>26</v>
      </c>
      <c r="N529" s="1" t="s">
        <v>25</v>
      </c>
      <c r="O529" s="1" t="s">
        <v>25</v>
      </c>
      <c r="P529" s="1" t="s">
        <v>25</v>
      </c>
      <c r="Q529" s="1" t="s">
        <v>26</v>
      </c>
      <c r="R529" s="1" t="s">
        <v>25</v>
      </c>
      <c r="S529" s="2">
        <v>0</v>
      </c>
    </row>
    <row r="530" spans="1:19" x14ac:dyDescent="0.3">
      <c r="A530" t="s">
        <v>1089</v>
      </c>
      <c r="B530" s="5" t="e" cm="1">
        <f t="array" ref="B530">MAX(#REF!,MIN(#REF!,#REF!+SUMPRODUCT(--(FoodData[[#This Row],[Healthy]:[Refined]]="Yes"),#REF!)+FoodData[[#This Row],[Adjust]]))</f>
        <v>#REF!</v>
      </c>
      <c r="C530" s="1" t="e">
        <f>LOOKUP(FoodData[[#This Row],[Score]],#REF!,#REF!)</f>
        <v>#REF!</v>
      </c>
      <c r="D530" t="s">
        <v>855</v>
      </c>
      <c r="E530" t="s">
        <v>856</v>
      </c>
      <c r="F530" t="s">
        <v>22</v>
      </c>
      <c r="G530" t="s">
        <v>489</v>
      </c>
      <c r="H530" t="s">
        <v>1090</v>
      </c>
      <c r="I530" s="1" t="s">
        <v>25</v>
      </c>
      <c r="J530" s="1" t="s">
        <v>25</v>
      </c>
      <c r="K530" s="1" t="s">
        <v>26</v>
      </c>
      <c r="L530" s="1" t="s">
        <v>25</v>
      </c>
      <c r="M530" s="1" t="s">
        <v>26</v>
      </c>
      <c r="N530" s="1" t="s">
        <v>25</v>
      </c>
      <c r="O530" s="1" t="s">
        <v>25</v>
      </c>
      <c r="P530" s="1" t="s">
        <v>25</v>
      </c>
      <c r="Q530" s="1" t="s">
        <v>26</v>
      </c>
      <c r="R530" s="1" t="s">
        <v>25</v>
      </c>
      <c r="S530" s="2">
        <v>0</v>
      </c>
    </row>
    <row r="531" spans="1:19" x14ac:dyDescent="0.3">
      <c r="A531" t="s">
        <v>1091</v>
      </c>
      <c r="B531" s="5" t="e" cm="1">
        <f t="array" ref="B531">MAX(#REF!,MIN(#REF!,#REF!+SUMPRODUCT(--(FoodData[[#This Row],[Healthy]:[Refined]]="Yes"),#REF!)+FoodData[[#This Row],[Adjust]]))</f>
        <v>#REF!</v>
      </c>
      <c r="C531" s="1" t="e">
        <f>LOOKUP(FoodData[[#This Row],[Score]],#REF!,#REF!)</f>
        <v>#REF!</v>
      </c>
      <c r="D531" t="s">
        <v>855</v>
      </c>
      <c r="E531" t="s">
        <v>856</v>
      </c>
      <c r="F531" t="s">
        <v>22</v>
      </c>
      <c r="G531" t="s">
        <v>489</v>
      </c>
      <c r="H531" t="s">
        <v>1092</v>
      </c>
      <c r="I531" s="1" t="s">
        <v>26</v>
      </c>
      <c r="J531" s="1" t="s">
        <v>26</v>
      </c>
      <c r="K531" s="1" t="s">
        <v>26</v>
      </c>
      <c r="L531" s="1" t="s">
        <v>25</v>
      </c>
      <c r="M531" s="1" t="s">
        <v>25</v>
      </c>
      <c r="N531" s="1" t="s">
        <v>25</v>
      </c>
      <c r="O531" s="1" t="s">
        <v>25</v>
      </c>
      <c r="P531" s="1" t="s">
        <v>25</v>
      </c>
      <c r="Q531" s="1" t="s">
        <v>25</v>
      </c>
      <c r="R531" s="1" t="s">
        <v>25</v>
      </c>
      <c r="S531" s="2">
        <v>0</v>
      </c>
    </row>
    <row r="532" spans="1:19" x14ac:dyDescent="0.3">
      <c r="A532" t="s">
        <v>1093</v>
      </c>
      <c r="B532" s="5" t="e" cm="1">
        <f t="array" ref="B532">MAX(#REF!,MIN(#REF!,#REF!+SUMPRODUCT(--(FoodData[[#This Row],[Healthy]:[Refined]]="Yes"),#REF!)+FoodData[[#This Row],[Adjust]]))</f>
        <v>#REF!</v>
      </c>
      <c r="C532" s="1" t="e">
        <f>LOOKUP(FoodData[[#This Row],[Score]],#REF!,#REF!)</f>
        <v>#REF!</v>
      </c>
      <c r="D532" t="s">
        <v>855</v>
      </c>
      <c r="E532" t="s">
        <v>856</v>
      </c>
      <c r="F532" t="s">
        <v>22</v>
      </c>
      <c r="G532" t="s">
        <v>489</v>
      </c>
      <c r="H532" t="s">
        <v>1094</v>
      </c>
      <c r="I532" s="1" t="s">
        <v>25</v>
      </c>
      <c r="J532" s="1" t="s">
        <v>25</v>
      </c>
      <c r="K532" s="1" t="s">
        <v>25</v>
      </c>
      <c r="L532" s="1" t="s">
        <v>25</v>
      </c>
      <c r="M532" s="1" t="s">
        <v>26</v>
      </c>
      <c r="N532" s="1" t="s">
        <v>25</v>
      </c>
      <c r="O532" s="1" t="s">
        <v>25</v>
      </c>
      <c r="P532" s="1" t="s">
        <v>25</v>
      </c>
      <c r="Q532" s="1" t="s">
        <v>26</v>
      </c>
      <c r="R532" s="1" t="s">
        <v>25</v>
      </c>
      <c r="S532" s="2">
        <v>0</v>
      </c>
    </row>
    <row r="533" spans="1:19" x14ac:dyDescent="0.3">
      <c r="A533" t="s">
        <v>1095</v>
      </c>
      <c r="B533" s="5" t="e" cm="1">
        <f t="array" ref="B533">MAX(#REF!,MIN(#REF!,#REF!+SUMPRODUCT(--(FoodData[[#This Row],[Healthy]:[Refined]]="Yes"),#REF!)+FoodData[[#This Row],[Adjust]]))</f>
        <v>#REF!</v>
      </c>
      <c r="C533" s="1" t="e">
        <f>LOOKUP(FoodData[[#This Row],[Score]],#REF!,#REF!)</f>
        <v>#REF!</v>
      </c>
      <c r="D533" t="s">
        <v>855</v>
      </c>
      <c r="E533" t="s">
        <v>856</v>
      </c>
      <c r="F533" t="s">
        <v>22</v>
      </c>
      <c r="G533" t="s">
        <v>489</v>
      </c>
      <c r="H533" t="s">
        <v>1096</v>
      </c>
      <c r="I533" s="1" t="s">
        <v>25</v>
      </c>
      <c r="J533" s="1" t="s">
        <v>25</v>
      </c>
      <c r="K533" s="1" t="s">
        <v>26</v>
      </c>
      <c r="L533" s="1" t="s">
        <v>25</v>
      </c>
      <c r="M533" s="1" t="s">
        <v>26</v>
      </c>
      <c r="N533" s="1" t="s">
        <v>25</v>
      </c>
      <c r="O533" s="1" t="s">
        <v>25</v>
      </c>
      <c r="P533" s="1" t="s">
        <v>25</v>
      </c>
      <c r="Q533" s="1" t="s">
        <v>26</v>
      </c>
      <c r="R533" s="1" t="s">
        <v>25</v>
      </c>
      <c r="S533" s="2">
        <v>0</v>
      </c>
    </row>
    <row r="534" spans="1:19" x14ac:dyDescent="0.3">
      <c r="A534" t="s">
        <v>1097</v>
      </c>
      <c r="B534" s="5" t="e" cm="1">
        <f t="array" ref="B534">MAX(#REF!,MIN(#REF!,#REF!+SUMPRODUCT(--(FoodData[[#This Row],[Healthy]:[Refined]]="Yes"),#REF!)+FoodData[[#This Row],[Adjust]]))</f>
        <v>#REF!</v>
      </c>
      <c r="C534" s="1" t="e">
        <f>LOOKUP(FoodData[[#This Row],[Score]],#REF!,#REF!)</f>
        <v>#REF!</v>
      </c>
      <c r="D534" t="s">
        <v>855</v>
      </c>
      <c r="E534" t="s">
        <v>856</v>
      </c>
      <c r="F534" t="s">
        <v>22</v>
      </c>
      <c r="G534" t="s">
        <v>489</v>
      </c>
      <c r="H534" t="s">
        <v>1098</v>
      </c>
      <c r="I534" s="1" t="s">
        <v>26</v>
      </c>
      <c r="J534" s="1" t="s">
        <v>26</v>
      </c>
      <c r="K534" s="1" t="s">
        <v>26</v>
      </c>
      <c r="L534" s="1" t="s">
        <v>25</v>
      </c>
      <c r="M534" s="1" t="s">
        <v>25</v>
      </c>
      <c r="N534" s="1" t="s">
        <v>25</v>
      </c>
      <c r="O534" s="1" t="s">
        <v>25</v>
      </c>
      <c r="P534" s="1" t="s">
        <v>25</v>
      </c>
      <c r="Q534" s="1" t="s">
        <v>25</v>
      </c>
      <c r="R534" s="1" t="s">
        <v>25</v>
      </c>
      <c r="S534" s="2">
        <v>0</v>
      </c>
    </row>
    <row r="535" spans="1:19" x14ac:dyDescent="0.3">
      <c r="A535" t="s">
        <v>1099</v>
      </c>
      <c r="B535" s="5" t="e" cm="1">
        <f t="array" ref="B535">MAX(#REF!,MIN(#REF!,#REF!+SUMPRODUCT(--(FoodData[[#This Row],[Healthy]:[Refined]]="Yes"),#REF!)+FoodData[[#This Row],[Adjust]]))</f>
        <v>#REF!</v>
      </c>
      <c r="C535" s="1" t="e">
        <f>LOOKUP(FoodData[[#This Row],[Score]],#REF!,#REF!)</f>
        <v>#REF!</v>
      </c>
      <c r="D535" t="s">
        <v>855</v>
      </c>
      <c r="E535" t="s">
        <v>856</v>
      </c>
      <c r="F535" t="s">
        <v>22</v>
      </c>
      <c r="G535" t="s">
        <v>489</v>
      </c>
      <c r="H535" t="s">
        <v>1100</v>
      </c>
      <c r="I535" s="1" t="s">
        <v>26</v>
      </c>
      <c r="J535" s="1" t="s">
        <v>25</v>
      </c>
      <c r="K535" s="1" t="s">
        <v>25</v>
      </c>
      <c r="L535" s="1" t="s">
        <v>26</v>
      </c>
      <c r="M535" s="1" t="s">
        <v>26</v>
      </c>
      <c r="N535" s="1" t="s">
        <v>25</v>
      </c>
      <c r="O535" s="1" t="s">
        <v>25</v>
      </c>
      <c r="P535" s="1" t="s">
        <v>25</v>
      </c>
      <c r="Q535" s="1" t="s">
        <v>25</v>
      </c>
      <c r="R535" s="1" t="s">
        <v>25</v>
      </c>
      <c r="S535" s="2">
        <v>0</v>
      </c>
    </row>
    <row r="536" spans="1:19" x14ac:dyDescent="0.3">
      <c r="A536" t="s">
        <v>1101</v>
      </c>
      <c r="B536" s="5" t="e" cm="1">
        <f t="array" ref="B536">MAX(#REF!,MIN(#REF!,#REF!+SUMPRODUCT(--(FoodData[[#This Row],[Healthy]:[Refined]]="Yes"),#REF!)+FoodData[[#This Row],[Adjust]]))</f>
        <v>#REF!</v>
      </c>
      <c r="C536" s="1" t="e">
        <f>LOOKUP(FoodData[[#This Row],[Score]],#REF!,#REF!)</f>
        <v>#REF!</v>
      </c>
      <c r="D536" t="s">
        <v>855</v>
      </c>
      <c r="E536" t="s">
        <v>856</v>
      </c>
      <c r="F536" t="s">
        <v>22</v>
      </c>
      <c r="G536" t="s">
        <v>489</v>
      </c>
      <c r="H536" t="s">
        <v>1102</v>
      </c>
      <c r="I536" s="1" t="s">
        <v>25</v>
      </c>
      <c r="J536" s="1" t="s">
        <v>25</v>
      </c>
      <c r="K536" s="1" t="s">
        <v>25</v>
      </c>
      <c r="L536" s="1" t="s">
        <v>25</v>
      </c>
      <c r="M536" s="1" t="s">
        <v>26</v>
      </c>
      <c r="N536" s="1" t="s">
        <v>25</v>
      </c>
      <c r="O536" s="1" t="s">
        <v>25</v>
      </c>
      <c r="P536" s="1" t="s">
        <v>25</v>
      </c>
      <c r="Q536" s="1" t="s">
        <v>26</v>
      </c>
      <c r="R536" s="1" t="s">
        <v>25</v>
      </c>
      <c r="S536" s="2">
        <v>0</v>
      </c>
    </row>
    <row r="537" spans="1:19" x14ac:dyDescent="0.3">
      <c r="A537" t="s">
        <v>1103</v>
      </c>
      <c r="B537" s="5" t="e" cm="1">
        <f t="array" ref="B537">MAX(#REF!,MIN(#REF!,#REF!+SUMPRODUCT(--(FoodData[[#This Row],[Healthy]:[Refined]]="Yes"),#REF!)+FoodData[[#This Row],[Adjust]]))</f>
        <v>#REF!</v>
      </c>
      <c r="C537" s="1" t="e">
        <f>LOOKUP(FoodData[[#This Row],[Score]],#REF!,#REF!)</f>
        <v>#REF!</v>
      </c>
      <c r="D537" t="s">
        <v>855</v>
      </c>
      <c r="E537" t="s">
        <v>856</v>
      </c>
      <c r="F537" t="s">
        <v>22</v>
      </c>
      <c r="G537" t="s">
        <v>489</v>
      </c>
      <c r="H537" t="s">
        <v>1104</v>
      </c>
      <c r="I537" s="1" t="s">
        <v>25</v>
      </c>
      <c r="J537" s="1" t="s">
        <v>25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25</v>
      </c>
      <c r="P537" s="1" t="s">
        <v>25</v>
      </c>
      <c r="Q537" s="1" t="s">
        <v>25</v>
      </c>
      <c r="R537" s="1" t="s">
        <v>25</v>
      </c>
      <c r="S537" s="2">
        <v>0</v>
      </c>
    </row>
    <row r="538" spans="1:19" x14ac:dyDescent="0.3">
      <c r="A538" t="s">
        <v>1105</v>
      </c>
      <c r="B538" s="5" t="e" cm="1">
        <f t="array" ref="B538">MAX(#REF!,MIN(#REF!,#REF!+SUMPRODUCT(--(FoodData[[#This Row],[Healthy]:[Refined]]="Yes"),#REF!)+FoodData[[#This Row],[Adjust]]))</f>
        <v>#REF!</v>
      </c>
      <c r="C538" s="1" t="e">
        <f>LOOKUP(FoodData[[#This Row],[Score]],#REF!,#REF!)</f>
        <v>#REF!</v>
      </c>
      <c r="D538" t="s">
        <v>855</v>
      </c>
      <c r="E538" t="s">
        <v>856</v>
      </c>
      <c r="F538" t="s">
        <v>22</v>
      </c>
      <c r="G538" t="s">
        <v>489</v>
      </c>
      <c r="H538" t="s">
        <v>1106</v>
      </c>
      <c r="I538" s="1" t="s">
        <v>25</v>
      </c>
      <c r="J538" s="1" t="s">
        <v>25</v>
      </c>
      <c r="K538" s="1" t="s">
        <v>25</v>
      </c>
      <c r="L538" s="1" t="s">
        <v>25</v>
      </c>
      <c r="M538" s="1" t="s">
        <v>26</v>
      </c>
      <c r="N538" s="1" t="s">
        <v>25</v>
      </c>
      <c r="O538" s="1" t="s">
        <v>25</v>
      </c>
      <c r="P538" s="1" t="s">
        <v>25</v>
      </c>
      <c r="Q538" s="1" t="s">
        <v>26</v>
      </c>
      <c r="R538" s="1" t="s">
        <v>25</v>
      </c>
      <c r="S538" s="2">
        <v>0</v>
      </c>
    </row>
    <row r="539" spans="1:19" x14ac:dyDescent="0.3">
      <c r="A539" t="s">
        <v>1107</v>
      </c>
      <c r="B539" s="5" t="e" cm="1">
        <f t="array" ref="B539">MAX(#REF!,MIN(#REF!,#REF!+SUMPRODUCT(--(FoodData[[#This Row],[Healthy]:[Refined]]="Yes"),#REF!)+FoodData[[#This Row],[Adjust]]))</f>
        <v>#REF!</v>
      </c>
      <c r="C539" s="1" t="e">
        <f>LOOKUP(FoodData[[#This Row],[Score]],#REF!,#REF!)</f>
        <v>#REF!</v>
      </c>
      <c r="D539" t="s">
        <v>855</v>
      </c>
      <c r="E539" t="s">
        <v>856</v>
      </c>
      <c r="F539" t="s">
        <v>22</v>
      </c>
      <c r="G539" t="s">
        <v>489</v>
      </c>
      <c r="H539" t="s">
        <v>1108</v>
      </c>
      <c r="I539" s="1" t="s">
        <v>25</v>
      </c>
      <c r="J539" s="1" t="s">
        <v>25</v>
      </c>
      <c r="K539" s="1" t="s">
        <v>26</v>
      </c>
      <c r="L539" s="1" t="s">
        <v>25</v>
      </c>
      <c r="M539" s="1" t="s">
        <v>26</v>
      </c>
      <c r="N539" s="1" t="s">
        <v>25</v>
      </c>
      <c r="O539" s="1" t="s">
        <v>25</v>
      </c>
      <c r="P539" s="1" t="s">
        <v>25</v>
      </c>
      <c r="Q539" s="1" t="s">
        <v>25</v>
      </c>
      <c r="R539" s="1" t="s">
        <v>25</v>
      </c>
      <c r="S539" s="2">
        <v>0</v>
      </c>
    </row>
    <row r="540" spans="1:19" x14ac:dyDescent="0.3">
      <c r="A540" t="s">
        <v>1109</v>
      </c>
      <c r="B540" s="5" t="e" cm="1">
        <f t="array" ref="B540">MAX(#REF!,MIN(#REF!,#REF!+SUMPRODUCT(--(FoodData[[#This Row],[Healthy]:[Refined]]="Yes"),#REF!)+FoodData[[#This Row],[Adjust]]))</f>
        <v>#REF!</v>
      </c>
      <c r="C540" s="1" t="e">
        <f>LOOKUP(FoodData[[#This Row],[Score]],#REF!,#REF!)</f>
        <v>#REF!</v>
      </c>
      <c r="D540" t="s">
        <v>855</v>
      </c>
      <c r="E540" t="s">
        <v>856</v>
      </c>
      <c r="F540" t="s">
        <v>22</v>
      </c>
      <c r="G540" t="s">
        <v>489</v>
      </c>
      <c r="H540" t="s">
        <v>1110</v>
      </c>
      <c r="I540" s="1" t="s">
        <v>26</v>
      </c>
      <c r="J540" s="1" t="s">
        <v>25</v>
      </c>
      <c r="K540" s="1" t="s">
        <v>26</v>
      </c>
      <c r="L540" s="1" t="s">
        <v>25</v>
      </c>
      <c r="M540" s="1" t="s">
        <v>25</v>
      </c>
      <c r="N540" s="1" t="s">
        <v>25</v>
      </c>
      <c r="O540" s="1" t="s">
        <v>25</v>
      </c>
      <c r="P540" s="1" t="s">
        <v>25</v>
      </c>
      <c r="Q540" s="1" t="s">
        <v>25</v>
      </c>
      <c r="R540" s="1" t="s">
        <v>25</v>
      </c>
      <c r="S540" s="2">
        <v>0</v>
      </c>
    </row>
    <row r="541" spans="1:19" x14ac:dyDescent="0.3">
      <c r="A541" t="s">
        <v>1111</v>
      </c>
      <c r="B541" s="5" t="e" cm="1">
        <f t="array" ref="B541">MAX(#REF!,MIN(#REF!,#REF!+SUMPRODUCT(--(FoodData[[#This Row],[Healthy]:[Refined]]="Yes"),#REF!)+FoodData[[#This Row],[Adjust]]))</f>
        <v>#REF!</v>
      </c>
      <c r="C541" s="1" t="e">
        <f>LOOKUP(FoodData[[#This Row],[Score]],#REF!,#REF!)</f>
        <v>#REF!</v>
      </c>
      <c r="D541" t="s">
        <v>855</v>
      </c>
      <c r="E541" t="s">
        <v>856</v>
      </c>
      <c r="F541" t="s">
        <v>22</v>
      </c>
      <c r="G541" t="s">
        <v>489</v>
      </c>
      <c r="H541" t="s">
        <v>1112</v>
      </c>
      <c r="I541" s="1" t="s">
        <v>26</v>
      </c>
      <c r="J541" s="1" t="s">
        <v>26</v>
      </c>
      <c r="K541" s="1" t="s">
        <v>26</v>
      </c>
      <c r="L541" s="1" t="s">
        <v>26</v>
      </c>
      <c r="M541" s="1" t="s">
        <v>25</v>
      </c>
      <c r="N541" s="1" t="s">
        <v>25</v>
      </c>
      <c r="O541" s="1" t="s">
        <v>25</v>
      </c>
      <c r="P541" s="1" t="s">
        <v>25</v>
      </c>
      <c r="Q541" s="1" t="s">
        <v>25</v>
      </c>
      <c r="R541" s="1" t="s">
        <v>25</v>
      </c>
      <c r="S541" s="2">
        <v>0</v>
      </c>
    </row>
    <row r="542" spans="1:19" x14ac:dyDescent="0.3">
      <c r="A542" t="s">
        <v>1113</v>
      </c>
      <c r="B542" s="5" t="e" cm="1">
        <f t="array" ref="B542">MAX(#REF!,MIN(#REF!,#REF!+SUMPRODUCT(--(FoodData[[#This Row],[Healthy]:[Refined]]="Yes"),#REF!)+FoodData[[#This Row],[Adjust]]))</f>
        <v>#REF!</v>
      </c>
      <c r="C542" s="1" t="e">
        <f>LOOKUP(FoodData[[#This Row],[Score]],#REF!,#REF!)</f>
        <v>#REF!</v>
      </c>
      <c r="D542" t="s">
        <v>855</v>
      </c>
      <c r="E542" t="s">
        <v>856</v>
      </c>
      <c r="F542" t="s">
        <v>22</v>
      </c>
      <c r="G542" t="s">
        <v>489</v>
      </c>
      <c r="H542" t="s">
        <v>990</v>
      </c>
      <c r="I542" s="1" t="s">
        <v>25</v>
      </c>
      <c r="J542" s="1" t="s">
        <v>25</v>
      </c>
      <c r="K542" s="1" t="s">
        <v>25</v>
      </c>
      <c r="L542" s="1" t="s">
        <v>25</v>
      </c>
      <c r="M542" s="1" t="s">
        <v>26</v>
      </c>
      <c r="N542" s="1" t="s">
        <v>25</v>
      </c>
      <c r="O542" s="1" t="s">
        <v>25</v>
      </c>
      <c r="P542" s="1" t="s">
        <v>25</v>
      </c>
      <c r="Q542" s="1" t="s">
        <v>26</v>
      </c>
      <c r="R542" s="1" t="s">
        <v>25</v>
      </c>
      <c r="S542" s="2">
        <v>0</v>
      </c>
    </row>
    <row r="543" spans="1:19" x14ac:dyDescent="0.3">
      <c r="A543" t="s">
        <v>1114</v>
      </c>
      <c r="B543" s="5" t="e" cm="1">
        <f t="array" ref="B543">MAX(#REF!,MIN(#REF!,#REF!+SUMPRODUCT(--(FoodData[[#This Row],[Healthy]:[Refined]]="Yes"),#REF!)+FoodData[[#This Row],[Adjust]]))</f>
        <v>#REF!</v>
      </c>
      <c r="C543" s="1" t="e">
        <f>LOOKUP(FoodData[[#This Row],[Score]],#REF!,#REF!)</f>
        <v>#REF!</v>
      </c>
      <c r="D543" t="s">
        <v>855</v>
      </c>
      <c r="E543" t="s">
        <v>856</v>
      </c>
      <c r="F543" t="s">
        <v>22</v>
      </c>
      <c r="G543" t="s">
        <v>489</v>
      </c>
      <c r="H543" t="s">
        <v>1115</v>
      </c>
      <c r="I543" s="1" t="s">
        <v>25</v>
      </c>
      <c r="J543" s="1" t="s">
        <v>25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25</v>
      </c>
      <c r="P543" s="1" t="s">
        <v>25</v>
      </c>
      <c r="Q543" s="1" t="s">
        <v>25</v>
      </c>
      <c r="R543" s="1" t="s">
        <v>25</v>
      </c>
      <c r="S543" s="2">
        <v>0</v>
      </c>
    </row>
    <row r="544" spans="1:19" x14ac:dyDescent="0.3">
      <c r="A544" t="s">
        <v>1116</v>
      </c>
      <c r="B544" s="5" t="e" cm="1">
        <f t="array" ref="B544">MAX(#REF!,MIN(#REF!,#REF!+SUMPRODUCT(--(FoodData[[#This Row],[Healthy]:[Refined]]="Yes"),#REF!)+FoodData[[#This Row],[Adjust]]))</f>
        <v>#REF!</v>
      </c>
      <c r="C544" s="1" t="e">
        <f>LOOKUP(FoodData[[#This Row],[Score]],#REF!,#REF!)</f>
        <v>#REF!</v>
      </c>
      <c r="D544" t="s">
        <v>855</v>
      </c>
      <c r="E544" t="s">
        <v>856</v>
      </c>
      <c r="F544" t="s">
        <v>22</v>
      </c>
      <c r="G544" t="s">
        <v>162</v>
      </c>
      <c r="H544" t="s">
        <v>1117</v>
      </c>
      <c r="I544" s="1" t="s">
        <v>26</v>
      </c>
      <c r="J544" s="1" t="s">
        <v>26</v>
      </c>
      <c r="K544" s="1" t="s">
        <v>25</v>
      </c>
      <c r="L544" s="1" t="s">
        <v>25</v>
      </c>
      <c r="M544" s="1" t="s">
        <v>25</v>
      </c>
      <c r="N544" s="1" t="s">
        <v>25</v>
      </c>
      <c r="O544" s="1" t="s">
        <v>25</v>
      </c>
      <c r="P544" s="1" t="s">
        <v>25</v>
      </c>
      <c r="Q544" s="1" t="s">
        <v>25</v>
      </c>
      <c r="R544" s="1" t="s">
        <v>25</v>
      </c>
      <c r="S544" s="2">
        <v>0</v>
      </c>
    </row>
    <row r="545" spans="1:19" x14ac:dyDescent="0.3">
      <c r="A545" t="s">
        <v>1118</v>
      </c>
      <c r="B545" s="5" t="e" cm="1">
        <f t="array" ref="B545">MAX(#REF!,MIN(#REF!,#REF!+SUMPRODUCT(--(FoodData[[#This Row],[Healthy]:[Refined]]="Yes"),#REF!)+FoodData[[#This Row],[Adjust]]))</f>
        <v>#REF!</v>
      </c>
      <c r="C545" s="1" t="e">
        <f>LOOKUP(FoodData[[#This Row],[Score]],#REF!,#REF!)</f>
        <v>#REF!</v>
      </c>
      <c r="D545" t="s">
        <v>855</v>
      </c>
      <c r="E545" t="s">
        <v>856</v>
      </c>
      <c r="F545" t="s">
        <v>22</v>
      </c>
      <c r="G545" t="s">
        <v>489</v>
      </c>
      <c r="H545" t="s">
        <v>1119</v>
      </c>
      <c r="I545" s="1" t="s">
        <v>25</v>
      </c>
      <c r="J545" s="1" t="s">
        <v>25</v>
      </c>
      <c r="K545" s="1" t="s">
        <v>25</v>
      </c>
      <c r="L545" s="1" t="s">
        <v>25</v>
      </c>
      <c r="M545" s="1" t="s">
        <v>26</v>
      </c>
      <c r="N545" s="1" t="s">
        <v>25</v>
      </c>
      <c r="O545" s="1" t="s">
        <v>25</v>
      </c>
      <c r="P545" s="1" t="s">
        <v>25</v>
      </c>
      <c r="Q545" s="1" t="s">
        <v>25</v>
      </c>
      <c r="R545" s="1" t="s">
        <v>25</v>
      </c>
      <c r="S545" s="2">
        <v>0</v>
      </c>
    </row>
    <row r="546" spans="1:19" x14ac:dyDescent="0.3">
      <c r="A546" t="s">
        <v>1120</v>
      </c>
      <c r="B546" s="5" t="e" cm="1">
        <f t="array" ref="B546">MAX(#REF!,MIN(#REF!,#REF!+SUMPRODUCT(--(FoodData[[#This Row],[Healthy]:[Refined]]="Yes"),#REF!)+FoodData[[#This Row],[Adjust]]))</f>
        <v>#REF!</v>
      </c>
      <c r="C546" s="1" t="e">
        <f>LOOKUP(FoodData[[#This Row],[Score]],#REF!,#REF!)</f>
        <v>#REF!</v>
      </c>
      <c r="D546" t="s">
        <v>855</v>
      </c>
      <c r="E546" t="s">
        <v>856</v>
      </c>
      <c r="F546" t="s">
        <v>22</v>
      </c>
      <c r="G546" t="s">
        <v>489</v>
      </c>
      <c r="H546" t="s">
        <v>1030</v>
      </c>
      <c r="I546" s="1" t="s">
        <v>25</v>
      </c>
      <c r="J546" s="1" t="s">
        <v>25</v>
      </c>
      <c r="K546" s="1" t="s">
        <v>25</v>
      </c>
      <c r="L546" s="1" t="s">
        <v>25</v>
      </c>
      <c r="M546" s="1" t="s">
        <v>26</v>
      </c>
      <c r="N546" s="1" t="s">
        <v>25</v>
      </c>
      <c r="O546" s="1" t="s">
        <v>25</v>
      </c>
      <c r="P546" s="1" t="s">
        <v>25</v>
      </c>
      <c r="Q546" s="1" t="s">
        <v>26</v>
      </c>
      <c r="R546" s="1" t="s">
        <v>25</v>
      </c>
      <c r="S546" s="2">
        <v>0</v>
      </c>
    </row>
    <row r="547" spans="1:19" x14ac:dyDescent="0.3">
      <c r="A547" t="s">
        <v>1121</v>
      </c>
      <c r="B547" s="5" t="e" cm="1">
        <f t="array" ref="B547">MAX(#REF!,MIN(#REF!,#REF!+SUMPRODUCT(--(FoodData[[#This Row],[Healthy]:[Refined]]="Yes"),#REF!)+FoodData[[#This Row],[Adjust]]))</f>
        <v>#REF!</v>
      </c>
      <c r="C547" s="1" t="e">
        <f>LOOKUP(FoodData[[#This Row],[Score]],#REF!,#REF!)</f>
        <v>#REF!</v>
      </c>
      <c r="D547" t="s">
        <v>855</v>
      </c>
      <c r="E547" t="s">
        <v>856</v>
      </c>
      <c r="F547" t="s">
        <v>22</v>
      </c>
      <c r="G547" t="s">
        <v>489</v>
      </c>
      <c r="H547" t="s">
        <v>1122</v>
      </c>
      <c r="I547" s="1" t="s">
        <v>25</v>
      </c>
      <c r="J547" s="1" t="s">
        <v>25</v>
      </c>
      <c r="K547" s="1" t="s">
        <v>26</v>
      </c>
      <c r="L547" s="1" t="s">
        <v>25</v>
      </c>
      <c r="M547" s="1" t="s">
        <v>26</v>
      </c>
      <c r="N547" s="1" t="s">
        <v>25</v>
      </c>
      <c r="O547" s="1" t="s">
        <v>25</v>
      </c>
      <c r="P547" s="1" t="s">
        <v>25</v>
      </c>
      <c r="Q547" s="1" t="s">
        <v>26</v>
      </c>
      <c r="R547" s="1" t="s">
        <v>25</v>
      </c>
      <c r="S547" s="2">
        <v>0</v>
      </c>
    </row>
    <row r="548" spans="1:19" x14ac:dyDescent="0.3">
      <c r="A548" t="s">
        <v>1123</v>
      </c>
      <c r="B548" s="5" t="e" cm="1">
        <f t="array" ref="B548">MAX(#REF!,MIN(#REF!,#REF!+SUMPRODUCT(--(FoodData[[#This Row],[Healthy]:[Refined]]="Yes"),#REF!)+FoodData[[#This Row],[Adjust]]))</f>
        <v>#REF!</v>
      </c>
      <c r="C548" s="1" t="e">
        <f>LOOKUP(FoodData[[#This Row],[Score]],#REF!,#REF!)</f>
        <v>#REF!</v>
      </c>
      <c r="D548" t="s">
        <v>855</v>
      </c>
      <c r="E548" t="s">
        <v>856</v>
      </c>
      <c r="F548" t="s">
        <v>22</v>
      </c>
      <c r="G548" t="s">
        <v>489</v>
      </c>
      <c r="H548" t="s">
        <v>1124</v>
      </c>
      <c r="I548" s="1" t="s">
        <v>26</v>
      </c>
      <c r="J548" s="1" t="s">
        <v>26</v>
      </c>
      <c r="K548" s="1" t="s">
        <v>26</v>
      </c>
      <c r="L548" s="1" t="s">
        <v>25</v>
      </c>
      <c r="M548" s="1" t="s">
        <v>25</v>
      </c>
      <c r="N548" s="1" t="s">
        <v>25</v>
      </c>
      <c r="O548" s="1" t="s">
        <v>25</v>
      </c>
      <c r="P548" s="1" t="s">
        <v>25</v>
      </c>
      <c r="Q548" s="1" t="s">
        <v>25</v>
      </c>
      <c r="R548" s="1" t="s">
        <v>25</v>
      </c>
      <c r="S548" s="2">
        <v>0</v>
      </c>
    </row>
    <row r="549" spans="1:19" x14ac:dyDescent="0.3">
      <c r="A549" t="s">
        <v>1125</v>
      </c>
      <c r="B549" s="5" t="e" cm="1">
        <f t="array" ref="B549">MAX(#REF!,MIN(#REF!,#REF!+SUMPRODUCT(--(FoodData[[#This Row],[Healthy]:[Refined]]="Yes"),#REF!)+FoodData[[#This Row],[Adjust]]))</f>
        <v>#REF!</v>
      </c>
      <c r="C549" s="1" t="e">
        <f>LOOKUP(FoodData[[#This Row],[Score]],#REF!,#REF!)</f>
        <v>#REF!</v>
      </c>
      <c r="D549" t="s">
        <v>855</v>
      </c>
      <c r="E549" t="s">
        <v>856</v>
      </c>
      <c r="F549" t="s">
        <v>22</v>
      </c>
      <c r="G549" t="s">
        <v>489</v>
      </c>
      <c r="H549" t="s">
        <v>1126</v>
      </c>
      <c r="I549" s="1" t="s">
        <v>25</v>
      </c>
      <c r="J549" s="1" t="s">
        <v>25</v>
      </c>
      <c r="K549" s="1" t="s">
        <v>25</v>
      </c>
      <c r="L549" s="1" t="s">
        <v>25</v>
      </c>
      <c r="M549" s="1" t="s">
        <v>26</v>
      </c>
      <c r="N549" s="1" t="s">
        <v>25</v>
      </c>
      <c r="O549" s="1" t="s">
        <v>25</v>
      </c>
      <c r="P549" s="1" t="s">
        <v>25</v>
      </c>
      <c r="Q549" s="1" t="s">
        <v>25</v>
      </c>
      <c r="R549" s="1" t="s">
        <v>25</v>
      </c>
      <c r="S549" s="2">
        <v>0</v>
      </c>
    </row>
    <row r="550" spans="1:19" x14ac:dyDescent="0.3">
      <c r="A550" t="s">
        <v>1127</v>
      </c>
      <c r="B550" s="5" t="e" cm="1">
        <f t="array" ref="B550">MAX(#REF!,MIN(#REF!,#REF!+SUMPRODUCT(--(FoodData[[#This Row],[Healthy]:[Refined]]="Yes"),#REF!)+FoodData[[#This Row],[Adjust]]))</f>
        <v>#REF!</v>
      </c>
      <c r="C550" s="1" t="e">
        <f>LOOKUP(FoodData[[#This Row],[Score]],#REF!,#REF!)</f>
        <v>#REF!</v>
      </c>
      <c r="D550" t="s">
        <v>855</v>
      </c>
      <c r="E550" t="s">
        <v>856</v>
      </c>
      <c r="F550" t="s">
        <v>22</v>
      </c>
      <c r="G550" t="s">
        <v>489</v>
      </c>
      <c r="H550" t="s">
        <v>1128</v>
      </c>
      <c r="I550" s="1" t="s">
        <v>25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25</v>
      </c>
      <c r="P550" s="1" t="s">
        <v>25</v>
      </c>
      <c r="Q550" s="1" t="s">
        <v>25</v>
      </c>
      <c r="R550" s="1" t="s">
        <v>25</v>
      </c>
      <c r="S550" s="2">
        <v>0</v>
      </c>
    </row>
    <row r="551" spans="1:19" x14ac:dyDescent="0.3">
      <c r="A551" t="s">
        <v>1129</v>
      </c>
      <c r="B551" s="5" t="e" cm="1">
        <f t="array" ref="B551">MAX(#REF!,MIN(#REF!,#REF!+SUMPRODUCT(--(FoodData[[#This Row],[Healthy]:[Refined]]="Yes"),#REF!)+FoodData[[#This Row],[Adjust]]))</f>
        <v>#REF!</v>
      </c>
      <c r="C551" s="1" t="e">
        <f>LOOKUP(FoodData[[#This Row],[Score]],#REF!,#REF!)</f>
        <v>#REF!</v>
      </c>
      <c r="D551" t="s">
        <v>855</v>
      </c>
      <c r="E551" t="s">
        <v>856</v>
      </c>
      <c r="F551" t="s">
        <v>22</v>
      </c>
      <c r="G551" t="s">
        <v>489</v>
      </c>
      <c r="H551" t="s">
        <v>1130</v>
      </c>
      <c r="I551" s="1" t="s">
        <v>26</v>
      </c>
      <c r="J551" s="1" t="s">
        <v>25</v>
      </c>
      <c r="K551" s="1" t="s">
        <v>25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25</v>
      </c>
      <c r="Q551" s="1" t="s">
        <v>25</v>
      </c>
      <c r="R551" s="1" t="s">
        <v>25</v>
      </c>
      <c r="S551" s="2">
        <v>0</v>
      </c>
    </row>
    <row r="552" spans="1:19" x14ac:dyDescent="0.3">
      <c r="A552" t="s">
        <v>1131</v>
      </c>
      <c r="B552" s="5" t="e" cm="1">
        <f t="array" ref="B552">MAX(#REF!,MIN(#REF!,#REF!+SUMPRODUCT(--(FoodData[[#This Row],[Healthy]:[Refined]]="Yes"),#REF!)+FoodData[[#This Row],[Adjust]]))</f>
        <v>#REF!</v>
      </c>
      <c r="C552" s="1" t="e">
        <f>LOOKUP(FoodData[[#This Row],[Score]],#REF!,#REF!)</f>
        <v>#REF!</v>
      </c>
      <c r="D552" t="s">
        <v>855</v>
      </c>
      <c r="E552" t="s">
        <v>856</v>
      </c>
      <c r="F552" t="s">
        <v>22</v>
      </c>
      <c r="G552" t="s">
        <v>489</v>
      </c>
      <c r="H552" t="s">
        <v>1132</v>
      </c>
      <c r="I552" s="1" t="s">
        <v>25</v>
      </c>
      <c r="J552" s="1" t="s">
        <v>25</v>
      </c>
      <c r="K552" s="1" t="s">
        <v>26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25</v>
      </c>
      <c r="Q552" s="1" t="s">
        <v>25</v>
      </c>
      <c r="R552" s="1" t="s">
        <v>25</v>
      </c>
      <c r="S552" s="2">
        <v>0</v>
      </c>
    </row>
    <row r="553" spans="1:19" x14ac:dyDescent="0.3">
      <c r="A553" t="s">
        <v>1133</v>
      </c>
      <c r="B553" s="5" t="e" cm="1">
        <f t="array" ref="B553">MAX(#REF!,MIN(#REF!,#REF!+SUMPRODUCT(--(FoodData[[#This Row],[Healthy]:[Refined]]="Yes"),#REF!)+FoodData[[#This Row],[Adjust]]))</f>
        <v>#REF!</v>
      </c>
      <c r="C553" s="1" t="e">
        <f>LOOKUP(FoodData[[#This Row],[Score]],#REF!,#REF!)</f>
        <v>#REF!</v>
      </c>
      <c r="D553" t="s">
        <v>855</v>
      </c>
      <c r="E553" t="s">
        <v>856</v>
      </c>
      <c r="F553" t="s">
        <v>22</v>
      </c>
      <c r="G553" t="s">
        <v>489</v>
      </c>
      <c r="H553" t="s">
        <v>1134</v>
      </c>
      <c r="I553" s="1" t="s">
        <v>25</v>
      </c>
      <c r="J553" s="1" t="s">
        <v>25</v>
      </c>
      <c r="K553" s="1" t="s">
        <v>26</v>
      </c>
      <c r="L553" s="1" t="s">
        <v>25</v>
      </c>
      <c r="M553" s="1" t="s">
        <v>26</v>
      </c>
      <c r="N553" s="1" t="s">
        <v>25</v>
      </c>
      <c r="O553" s="1" t="s">
        <v>25</v>
      </c>
      <c r="P553" s="1" t="s">
        <v>25</v>
      </c>
      <c r="Q553" s="1" t="s">
        <v>25</v>
      </c>
      <c r="R553" s="1" t="s">
        <v>25</v>
      </c>
      <c r="S553" s="2">
        <v>0</v>
      </c>
    </row>
    <row r="554" spans="1:19" x14ac:dyDescent="0.3">
      <c r="A554" t="s">
        <v>1135</v>
      </c>
      <c r="B554" s="5" t="e" cm="1">
        <f t="array" ref="B554">MAX(#REF!,MIN(#REF!,#REF!+SUMPRODUCT(--(FoodData[[#This Row],[Healthy]:[Refined]]="Yes"),#REF!)+FoodData[[#This Row],[Adjust]]))</f>
        <v>#REF!</v>
      </c>
      <c r="C554" s="1" t="e">
        <f>LOOKUP(FoodData[[#This Row],[Score]],#REF!,#REF!)</f>
        <v>#REF!</v>
      </c>
      <c r="D554" t="s">
        <v>855</v>
      </c>
      <c r="E554" t="s">
        <v>856</v>
      </c>
      <c r="F554" t="s">
        <v>22</v>
      </c>
      <c r="G554" t="s">
        <v>489</v>
      </c>
      <c r="H554" t="s">
        <v>1136</v>
      </c>
      <c r="I554" s="1" t="s">
        <v>26</v>
      </c>
      <c r="J554" s="1" t="s">
        <v>26</v>
      </c>
      <c r="K554" s="1" t="s">
        <v>25</v>
      </c>
      <c r="L554" s="1" t="s">
        <v>25</v>
      </c>
      <c r="M554" s="1" t="s">
        <v>25</v>
      </c>
      <c r="N554" s="1" t="s">
        <v>25</v>
      </c>
      <c r="O554" s="1" t="s">
        <v>25</v>
      </c>
      <c r="P554" s="1" t="s">
        <v>25</v>
      </c>
      <c r="Q554" s="1" t="s">
        <v>25</v>
      </c>
      <c r="R554" s="1" t="s">
        <v>25</v>
      </c>
      <c r="S554" s="2">
        <v>0</v>
      </c>
    </row>
    <row r="555" spans="1:19" x14ac:dyDescent="0.3">
      <c r="A555" t="s">
        <v>1137</v>
      </c>
      <c r="B555" s="5" t="e" cm="1">
        <f t="array" ref="B555">MAX(#REF!,MIN(#REF!,#REF!+SUMPRODUCT(--(FoodData[[#This Row],[Healthy]:[Refined]]="Yes"),#REF!)+FoodData[[#This Row],[Adjust]]))</f>
        <v>#REF!</v>
      </c>
      <c r="C555" s="1" t="e">
        <f>LOOKUP(FoodData[[#This Row],[Score]],#REF!,#REF!)</f>
        <v>#REF!</v>
      </c>
      <c r="D555" t="s">
        <v>855</v>
      </c>
      <c r="E555" t="s">
        <v>856</v>
      </c>
      <c r="F555" t="s">
        <v>22</v>
      </c>
      <c r="G555" t="s">
        <v>489</v>
      </c>
      <c r="H555" t="s">
        <v>1138</v>
      </c>
      <c r="I555" s="1" t="s">
        <v>25</v>
      </c>
      <c r="J555" s="1" t="s">
        <v>25</v>
      </c>
      <c r="K555" s="1" t="s">
        <v>26</v>
      </c>
      <c r="L555" s="1" t="s">
        <v>25</v>
      </c>
      <c r="M555" s="1" t="s">
        <v>26</v>
      </c>
      <c r="N555" s="1" t="s">
        <v>25</v>
      </c>
      <c r="O555" s="1" t="s">
        <v>25</v>
      </c>
      <c r="P555" s="1" t="s">
        <v>25</v>
      </c>
      <c r="Q555" s="1" t="s">
        <v>25</v>
      </c>
      <c r="R555" s="1" t="s">
        <v>25</v>
      </c>
      <c r="S555" s="2">
        <v>0</v>
      </c>
    </row>
    <row r="556" spans="1:19" x14ac:dyDescent="0.3">
      <c r="A556" t="s">
        <v>1139</v>
      </c>
      <c r="B556" s="5" t="e" cm="1">
        <f t="array" ref="B556">MAX(#REF!,MIN(#REF!,#REF!+SUMPRODUCT(--(FoodData[[#This Row],[Healthy]:[Refined]]="Yes"),#REF!)+FoodData[[#This Row],[Adjust]]))</f>
        <v>#REF!</v>
      </c>
      <c r="C556" s="1" t="e">
        <f>LOOKUP(FoodData[[#This Row],[Score]],#REF!,#REF!)</f>
        <v>#REF!</v>
      </c>
      <c r="D556" t="s">
        <v>855</v>
      </c>
      <c r="E556" t="s">
        <v>856</v>
      </c>
      <c r="F556" t="s">
        <v>22</v>
      </c>
      <c r="G556" t="s">
        <v>489</v>
      </c>
      <c r="H556" t="s">
        <v>1094</v>
      </c>
      <c r="I556" s="1" t="s">
        <v>25</v>
      </c>
      <c r="J556" s="1" t="s">
        <v>25</v>
      </c>
      <c r="K556" s="1" t="s">
        <v>25</v>
      </c>
      <c r="L556" s="1" t="s">
        <v>25</v>
      </c>
      <c r="M556" s="1" t="s">
        <v>26</v>
      </c>
      <c r="N556" s="1" t="s">
        <v>25</v>
      </c>
      <c r="O556" s="1" t="s">
        <v>25</v>
      </c>
      <c r="P556" s="1" t="s">
        <v>25</v>
      </c>
      <c r="Q556" s="1" t="s">
        <v>26</v>
      </c>
      <c r="R556" s="1" t="s">
        <v>25</v>
      </c>
      <c r="S556" s="2">
        <v>0</v>
      </c>
    </row>
    <row r="557" spans="1:19" x14ac:dyDescent="0.3">
      <c r="A557" t="s">
        <v>1140</v>
      </c>
      <c r="B557" s="5" t="e" cm="1">
        <f t="array" ref="B557">MAX(#REF!,MIN(#REF!,#REF!+SUMPRODUCT(--(FoodData[[#This Row],[Healthy]:[Refined]]="Yes"),#REF!)+FoodData[[#This Row],[Adjust]]))</f>
        <v>#REF!</v>
      </c>
      <c r="C557" s="1" t="e">
        <f>LOOKUP(FoodData[[#This Row],[Score]],#REF!,#REF!)</f>
        <v>#REF!</v>
      </c>
      <c r="D557" t="s">
        <v>855</v>
      </c>
      <c r="E557" t="s">
        <v>856</v>
      </c>
      <c r="F557" t="s">
        <v>22</v>
      </c>
      <c r="G557" t="s">
        <v>162</v>
      </c>
      <c r="H557" t="s">
        <v>1141</v>
      </c>
      <c r="I557" s="1" t="s">
        <v>26</v>
      </c>
      <c r="J557" s="1" t="s">
        <v>25</v>
      </c>
      <c r="K557" s="1" t="s">
        <v>25</v>
      </c>
      <c r="L557" s="1" t="s">
        <v>25</v>
      </c>
      <c r="M557" s="1" t="s">
        <v>25</v>
      </c>
      <c r="N557" s="1" t="s">
        <v>25</v>
      </c>
      <c r="O557" s="1" t="s">
        <v>25</v>
      </c>
      <c r="P557" s="1" t="s">
        <v>25</v>
      </c>
      <c r="Q557" s="1" t="s">
        <v>25</v>
      </c>
      <c r="R557" s="1" t="s">
        <v>25</v>
      </c>
      <c r="S557" s="2">
        <v>0</v>
      </c>
    </row>
    <row r="558" spans="1:19" x14ac:dyDescent="0.3">
      <c r="A558" t="s">
        <v>1142</v>
      </c>
      <c r="B558" s="5" t="e" cm="1">
        <f t="array" ref="B558">MAX(#REF!,MIN(#REF!,#REF!+SUMPRODUCT(--(FoodData[[#This Row],[Healthy]:[Refined]]="Yes"),#REF!)+FoodData[[#This Row],[Adjust]]))</f>
        <v>#REF!</v>
      </c>
      <c r="C558" s="1" t="e">
        <f>LOOKUP(FoodData[[#This Row],[Score]],#REF!,#REF!)</f>
        <v>#REF!</v>
      </c>
      <c r="D558" t="s">
        <v>855</v>
      </c>
      <c r="E558" t="s">
        <v>856</v>
      </c>
      <c r="F558" t="s">
        <v>22</v>
      </c>
      <c r="G558" t="s">
        <v>29</v>
      </c>
      <c r="H558" t="s">
        <v>1143</v>
      </c>
      <c r="I558" s="1" t="s">
        <v>26</v>
      </c>
      <c r="J558" s="1" t="s">
        <v>25</v>
      </c>
      <c r="K558" s="1" t="s">
        <v>26</v>
      </c>
      <c r="L558" s="1" t="s">
        <v>25</v>
      </c>
      <c r="M558" s="1" t="s">
        <v>25</v>
      </c>
      <c r="N558" s="1" t="s">
        <v>25</v>
      </c>
      <c r="O558" s="1" t="s">
        <v>25</v>
      </c>
      <c r="P558" s="1" t="s">
        <v>25</v>
      </c>
      <c r="Q558" s="1" t="s">
        <v>25</v>
      </c>
      <c r="R558" s="1" t="s">
        <v>25</v>
      </c>
      <c r="S558" s="2">
        <v>0</v>
      </c>
    </row>
    <row r="559" spans="1:19" x14ac:dyDescent="0.3">
      <c r="A559" t="s">
        <v>1144</v>
      </c>
      <c r="B559" s="5" t="e" cm="1">
        <f t="array" ref="B559">MAX(#REF!,MIN(#REF!,#REF!+SUMPRODUCT(--(FoodData[[#This Row],[Healthy]:[Refined]]="Yes"),#REF!)+FoodData[[#This Row],[Adjust]]))</f>
        <v>#REF!</v>
      </c>
      <c r="C559" s="1" t="e">
        <f>LOOKUP(FoodData[[#This Row],[Score]],#REF!,#REF!)</f>
        <v>#REF!</v>
      </c>
      <c r="D559" t="s">
        <v>855</v>
      </c>
      <c r="E559" t="s">
        <v>856</v>
      </c>
      <c r="F559" t="s">
        <v>22</v>
      </c>
      <c r="G559" t="s">
        <v>489</v>
      </c>
      <c r="H559" t="s">
        <v>1145</v>
      </c>
      <c r="I559" s="1" t="s">
        <v>25</v>
      </c>
      <c r="J559" s="1" t="s">
        <v>25</v>
      </c>
      <c r="K559" s="1" t="s">
        <v>25</v>
      </c>
      <c r="L559" s="1" t="s">
        <v>25</v>
      </c>
      <c r="M559" s="1" t="s">
        <v>26</v>
      </c>
      <c r="N559" s="1" t="s">
        <v>25</v>
      </c>
      <c r="O559" s="1" t="s">
        <v>25</v>
      </c>
      <c r="P559" s="1" t="s">
        <v>25</v>
      </c>
      <c r="Q559" s="1" t="s">
        <v>26</v>
      </c>
      <c r="R559" s="1" t="s">
        <v>25</v>
      </c>
      <c r="S559" s="2">
        <v>0</v>
      </c>
    </row>
    <row r="560" spans="1:19" x14ac:dyDescent="0.3">
      <c r="A560" t="s">
        <v>1146</v>
      </c>
      <c r="B560" s="5" t="e" cm="1">
        <f t="array" ref="B560">MAX(#REF!,MIN(#REF!,#REF!+SUMPRODUCT(--(FoodData[[#This Row],[Healthy]:[Refined]]="Yes"),#REF!)+FoodData[[#This Row],[Adjust]]))</f>
        <v>#REF!</v>
      </c>
      <c r="C560" s="1" t="e">
        <f>LOOKUP(FoodData[[#This Row],[Score]],#REF!,#REF!)</f>
        <v>#REF!</v>
      </c>
      <c r="D560" t="s">
        <v>855</v>
      </c>
      <c r="E560" t="s">
        <v>856</v>
      </c>
      <c r="F560" t="s">
        <v>22</v>
      </c>
      <c r="G560" t="s">
        <v>349</v>
      </c>
      <c r="H560" t="s">
        <v>1147</v>
      </c>
      <c r="I560" s="1" t="s">
        <v>26</v>
      </c>
      <c r="J560" s="1" t="s">
        <v>26</v>
      </c>
      <c r="K560" s="1" t="s">
        <v>25</v>
      </c>
      <c r="L560" s="1" t="s">
        <v>26</v>
      </c>
      <c r="M560" s="1" t="s">
        <v>25</v>
      </c>
      <c r="N560" s="1" t="s">
        <v>25</v>
      </c>
      <c r="O560" s="1" t="s">
        <v>25</v>
      </c>
      <c r="P560" s="1" t="s">
        <v>25</v>
      </c>
      <c r="Q560" s="1" t="s">
        <v>25</v>
      </c>
      <c r="R560" s="1" t="s">
        <v>25</v>
      </c>
      <c r="S560" s="2">
        <v>0</v>
      </c>
    </row>
    <row r="561" spans="1:19" x14ac:dyDescent="0.3">
      <c r="A561" t="s">
        <v>1148</v>
      </c>
      <c r="B561" s="5" t="e" cm="1">
        <f t="array" ref="B561">MAX(#REF!,MIN(#REF!,#REF!+SUMPRODUCT(--(FoodData[[#This Row],[Healthy]:[Refined]]="Yes"),#REF!)+FoodData[[#This Row],[Adjust]]))</f>
        <v>#REF!</v>
      </c>
      <c r="C561" s="1" t="e">
        <f>LOOKUP(FoodData[[#This Row],[Score]],#REF!,#REF!)</f>
        <v>#REF!</v>
      </c>
      <c r="D561" t="s">
        <v>855</v>
      </c>
      <c r="E561" t="s">
        <v>856</v>
      </c>
      <c r="F561" t="s">
        <v>22</v>
      </c>
      <c r="G561" t="s">
        <v>349</v>
      </c>
      <c r="H561" t="s">
        <v>1149</v>
      </c>
      <c r="I561" s="1" t="s">
        <v>25</v>
      </c>
      <c r="J561" s="1" t="s">
        <v>25</v>
      </c>
      <c r="K561" s="1" t="s">
        <v>25</v>
      </c>
      <c r="L561" s="1" t="s">
        <v>25</v>
      </c>
      <c r="M561" s="1" t="s">
        <v>25</v>
      </c>
      <c r="N561" s="1" t="s">
        <v>25</v>
      </c>
      <c r="O561" s="1" t="s">
        <v>25</v>
      </c>
      <c r="P561" s="1" t="s">
        <v>25</v>
      </c>
      <c r="Q561" s="1" t="s">
        <v>26</v>
      </c>
      <c r="R561" s="1" t="s">
        <v>25</v>
      </c>
      <c r="S561" s="2">
        <v>0</v>
      </c>
    </row>
    <row r="562" spans="1:19" x14ac:dyDescent="0.3">
      <c r="A562" t="s">
        <v>1150</v>
      </c>
      <c r="B562" s="5" t="e" cm="1">
        <f t="array" ref="B562">MAX(#REF!,MIN(#REF!,#REF!+SUMPRODUCT(--(FoodData[[#This Row],[Healthy]:[Refined]]="Yes"),#REF!)+FoodData[[#This Row],[Adjust]]))</f>
        <v>#REF!</v>
      </c>
      <c r="C562" s="1" t="e">
        <f>LOOKUP(FoodData[[#This Row],[Score]],#REF!,#REF!)</f>
        <v>#REF!</v>
      </c>
      <c r="D562" t="s">
        <v>855</v>
      </c>
      <c r="E562" t="s">
        <v>856</v>
      </c>
      <c r="F562" t="s">
        <v>22</v>
      </c>
      <c r="G562" t="s">
        <v>162</v>
      </c>
      <c r="H562" t="s">
        <v>1151</v>
      </c>
      <c r="I562" s="1" t="s">
        <v>25</v>
      </c>
      <c r="J562" s="1" t="s">
        <v>25</v>
      </c>
      <c r="K562" s="1" t="s">
        <v>25</v>
      </c>
      <c r="L562" s="1" t="s">
        <v>25</v>
      </c>
      <c r="M562" s="1" t="s">
        <v>25</v>
      </c>
      <c r="N562" s="1" t="s">
        <v>25</v>
      </c>
      <c r="O562" s="1" t="s">
        <v>25</v>
      </c>
      <c r="P562" s="1" t="s">
        <v>25</v>
      </c>
      <c r="Q562" s="1" t="s">
        <v>26</v>
      </c>
      <c r="R562" s="1" t="s">
        <v>25</v>
      </c>
      <c r="S562" s="2">
        <v>0</v>
      </c>
    </row>
    <row r="563" spans="1:19" x14ac:dyDescent="0.3">
      <c r="A563" t="s">
        <v>1152</v>
      </c>
      <c r="B563" s="5" t="e" cm="1">
        <f t="array" ref="B563">MAX(#REF!,MIN(#REF!,#REF!+SUMPRODUCT(--(FoodData[[#This Row],[Healthy]:[Refined]]="Yes"),#REF!)+FoodData[[#This Row],[Adjust]]))</f>
        <v>#REF!</v>
      </c>
      <c r="C563" s="1" t="e">
        <f>LOOKUP(FoodData[[#This Row],[Score]],#REF!,#REF!)</f>
        <v>#REF!</v>
      </c>
      <c r="D563" t="s">
        <v>1153</v>
      </c>
      <c r="E563" t="s">
        <v>28</v>
      </c>
      <c r="F563" t="s">
        <v>22</v>
      </c>
      <c r="G563" t="s">
        <v>23</v>
      </c>
      <c r="H563" t="s">
        <v>1154</v>
      </c>
      <c r="I563" s="1" t="s">
        <v>25</v>
      </c>
      <c r="J563" s="1" t="s">
        <v>25</v>
      </c>
      <c r="K563" s="1" t="s">
        <v>25</v>
      </c>
      <c r="L563" s="1" t="s">
        <v>25</v>
      </c>
      <c r="M563" s="1" t="s">
        <v>25</v>
      </c>
      <c r="N563" s="1" t="s">
        <v>25</v>
      </c>
      <c r="O563" s="1" t="s">
        <v>26</v>
      </c>
      <c r="P563" s="1" t="s">
        <v>25</v>
      </c>
      <c r="Q563" s="1" t="s">
        <v>26</v>
      </c>
      <c r="R563" s="1" t="s">
        <v>26</v>
      </c>
      <c r="S563" s="2">
        <v>0</v>
      </c>
    </row>
    <row r="564" spans="1:19" x14ac:dyDescent="0.3">
      <c r="A564" t="s">
        <v>1155</v>
      </c>
      <c r="B564" s="5" t="e" cm="1">
        <f t="array" ref="B564">MAX(#REF!,MIN(#REF!,#REF!+SUMPRODUCT(--(FoodData[[#This Row],[Healthy]:[Refined]]="Yes"),#REF!)+FoodData[[#This Row],[Adjust]]))</f>
        <v>#REF!</v>
      </c>
      <c r="C564" s="1" t="e">
        <f>LOOKUP(FoodData[[#This Row],[Score]],#REF!,#REF!)</f>
        <v>#REF!</v>
      </c>
      <c r="D564" t="s">
        <v>1153</v>
      </c>
      <c r="E564" t="s">
        <v>28</v>
      </c>
      <c r="F564" t="s">
        <v>22</v>
      </c>
      <c r="G564" t="s">
        <v>23</v>
      </c>
      <c r="H564" t="s">
        <v>1156</v>
      </c>
      <c r="I564" s="1" t="s">
        <v>25</v>
      </c>
      <c r="J564" s="1" t="s">
        <v>25</v>
      </c>
      <c r="K564" s="1" t="s">
        <v>25</v>
      </c>
      <c r="L564" s="1" t="s">
        <v>25</v>
      </c>
      <c r="M564" s="1" t="s">
        <v>25</v>
      </c>
      <c r="N564" s="1" t="s">
        <v>26</v>
      </c>
      <c r="O564" s="1" t="s">
        <v>25</v>
      </c>
      <c r="P564" s="1" t="s">
        <v>26</v>
      </c>
      <c r="Q564" s="1" t="s">
        <v>25</v>
      </c>
      <c r="R564" s="1" t="s">
        <v>25</v>
      </c>
      <c r="S564" s="2">
        <v>0</v>
      </c>
    </row>
    <row r="565" spans="1:19" x14ac:dyDescent="0.3">
      <c r="A565" t="s">
        <v>1157</v>
      </c>
      <c r="B565" s="5" t="e" cm="1">
        <f t="array" ref="B565">MAX(#REF!,MIN(#REF!,#REF!+SUMPRODUCT(--(FoodData[[#This Row],[Healthy]:[Refined]]="Yes"),#REF!)+FoodData[[#This Row],[Adjust]]))</f>
        <v>#REF!</v>
      </c>
      <c r="C565" s="1" t="e">
        <f>LOOKUP(FoodData[[#This Row],[Score]],#REF!,#REF!)</f>
        <v>#REF!</v>
      </c>
      <c r="D565" t="s">
        <v>1153</v>
      </c>
      <c r="E565" t="s">
        <v>28</v>
      </c>
      <c r="F565" t="s">
        <v>22</v>
      </c>
      <c r="G565" t="s">
        <v>23</v>
      </c>
      <c r="H565" t="s">
        <v>1158</v>
      </c>
      <c r="I565" s="1" t="s">
        <v>25</v>
      </c>
      <c r="J565" s="1" t="s">
        <v>25</v>
      </c>
      <c r="K565" s="1" t="s">
        <v>25</v>
      </c>
      <c r="L565" s="1" t="s">
        <v>25</v>
      </c>
      <c r="M565" s="1" t="s">
        <v>25</v>
      </c>
      <c r="N565" s="1" t="s">
        <v>26</v>
      </c>
      <c r="O565" s="1" t="s">
        <v>25</v>
      </c>
      <c r="P565" s="1" t="s">
        <v>26</v>
      </c>
      <c r="Q565" s="1" t="s">
        <v>26</v>
      </c>
      <c r="R565" s="1" t="s">
        <v>26</v>
      </c>
      <c r="S565" s="2">
        <v>0</v>
      </c>
    </row>
    <row r="566" spans="1:19" x14ac:dyDescent="0.3">
      <c r="A566" t="s">
        <v>1159</v>
      </c>
      <c r="B566" s="5" t="e" cm="1">
        <f t="array" ref="B566">MAX(#REF!,MIN(#REF!,#REF!+SUMPRODUCT(--(FoodData[[#This Row],[Healthy]:[Refined]]="Yes"),#REF!)+FoodData[[#This Row],[Adjust]]))</f>
        <v>#REF!</v>
      </c>
      <c r="C566" s="1" t="e">
        <f>LOOKUP(FoodData[[#This Row],[Score]],#REF!,#REF!)</f>
        <v>#REF!</v>
      </c>
      <c r="D566" t="s">
        <v>1153</v>
      </c>
      <c r="E566" t="s">
        <v>28</v>
      </c>
      <c r="F566" t="s">
        <v>22</v>
      </c>
      <c r="G566" t="s">
        <v>23</v>
      </c>
      <c r="H566" t="s">
        <v>1160</v>
      </c>
      <c r="I566" s="1" t="s">
        <v>25</v>
      </c>
      <c r="J566" s="1" t="s">
        <v>25</v>
      </c>
      <c r="K566" s="1" t="s">
        <v>25</v>
      </c>
      <c r="L566" s="1" t="s">
        <v>25</v>
      </c>
      <c r="M566" s="1" t="s">
        <v>26</v>
      </c>
      <c r="N566" s="1" t="s">
        <v>25</v>
      </c>
      <c r="O566" s="1" t="s">
        <v>25</v>
      </c>
      <c r="P566" s="1" t="s">
        <v>26</v>
      </c>
      <c r="Q566" s="1" t="s">
        <v>26</v>
      </c>
      <c r="R566" s="1" t="s">
        <v>26</v>
      </c>
      <c r="S566" s="2">
        <v>0</v>
      </c>
    </row>
    <row r="567" spans="1:19" x14ac:dyDescent="0.3">
      <c r="A567" t="s">
        <v>1161</v>
      </c>
      <c r="B567" s="5" t="e" cm="1">
        <f t="array" ref="B567">MAX(#REF!,MIN(#REF!,#REF!+SUMPRODUCT(--(FoodData[[#This Row],[Healthy]:[Refined]]="Yes"),#REF!)+FoodData[[#This Row],[Adjust]]))</f>
        <v>#REF!</v>
      </c>
      <c r="C567" s="1" t="e">
        <f>LOOKUP(FoodData[[#This Row],[Score]],#REF!,#REF!)</f>
        <v>#REF!</v>
      </c>
      <c r="D567" t="s">
        <v>1153</v>
      </c>
      <c r="E567" t="s">
        <v>28</v>
      </c>
      <c r="F567" t="s">
        <v>22</v>
      </c>
      <c r="G567" t="s">
        <v>23</v>
      </c>
      <c r="H567" t="s">
        <v>1162</v>
      </c>
      <c r="I567" s="1" t="s">
        <v>25</v>
      </c>
      <c r="J567" s="1" t="s">
        <v>25</v>
      </c>
      <c r="K567" s="1" t="s">
        <v>25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26</v>
      </c>
      <c r="Q567" s="1" t="s">
        <v>26</v>
      </c>
      <c r="R567" s="1" t="s">
        <v>25</v>
      </c>
      <c r="S567" s="2">
        <v>0</v>
      </c>
    </row>
    <row r="568" spans="1:19" x14ac:dyDescent="0.3">
      <c r="A568" t="s">
        <v>1163</v>
      </c>
      <c r="B568" s="5" t="e" cm="1">
        <f t="array" ref="B568">MAX(#REF!,MIN(#REF!,#REF!+SUMPRODUCT(--(FoodData[[#This Row],[Healthy]:[Refined]]="Yes"),#REF!)+FoodData[[#This Row],[Adjust]]))</f>
        <v>#REF!</v>
      </c>
      <c r="C568" s="1" t="e">
        <f>LOOKUP(FoodData[[#This Row],[Score]],#REF!,#REF!)</f>
        <v>#REF!</v>
      </c>
      <c r="D568" t="s">
        <v>1153</v>
      </c>
      <c r="E568" t="s">
        <v>28</v>
      </c>
      <c r="F568" t="s">
        <v>22</v>
      </c>
      <c r="G568" t="s">
        <v>23</v>
      </c>
      <c r="H568" t="s">
        <v>1164</v>
      </c>
      <c r="I568" s="1" t="s">
        <v>25</v>
      </c>
      <c r="J568" s="1" t="s">
        <v>25</v>
      </c>
      <c r="K568" s="1" t="s">
        <v>25</v>
      </c>
      <c r="L568" s="1" t="s">
        <v>25</v>
      </c>
      <c r="M568" s="1" t="s">
        <v>25</v>
      </c>
      <c r="N568" s="1" t="s">
        <v>25</v>
      </c>
      <c r="O568" s="1" t="s">
        <v>26</v>
      </c>
      <c r="P568" s="1" t="s">
        <v>25</v>
      </c>
      <c r="Q568" s="1" t="s">
        <v>26</v>
      </c>
      <c r="R568" s="1" t="s">
        <v>26</v>
      </c>
      <c r="S568" s="2">
        <v>0</v>
      </c>
    </row>
    <row r="569" spans="1:19" x14ac:dyDescent="0.3">
      <c r="A569" t="s">
        <v>1165</v>
      </c>
      <c r="B569" s="5" t="e" cm="1">
        <f t="array" ref="B569">MAX(#REF!,MIN(#REF!,#REF!+SUMPRODUCT(--(FoodData[[#This Row],[Healthy]:[Refined]]="Yes"),#REF!)+FoodData[[#This Row],[Adjust]]))</f>
        <v>#REF!</v>
      </c>
      <c r="C569" s="1" t="e">
        <f>LOOKUP(FoodData[[#This Row],[Score]],#REF!,#REF!)</f>
        <v>#REF!</v>
      </c>
      <c r="D569" t="s">
        <v>1153</v>
      </c>
      <c r="E569" t="s">
        <v>28</v>
      </c>
      <c r="F569" t="s">
        <v>60</v>
      </c>
      <c r="G569" t="s">
        <v>23</v>
      </c>
      <c r="H569" t="s">
        <v>1166</v>
      </c>
      <c r="I569" s="1" t="s">
        <v>25</v>
      </c>
      <c r="J569" s="1" t="s">
        <v>25</v>
      </c>
      <c r="K569" s="1" t="s">
        <v>26</v>
      </c>
      <c r="L569" s="1" t="s">
        <v>25</v>
      </c>
      <c r="M569" s="1" t="s">
        <v>25</v>
      </c>
      <c r="N569" s="1" t="s">
        <v>26</v>
      </c>
      <c r="O569" s="1" t="s">
        <v>25</v>
      </c>
      <c r="P569" s="1" t="s">
        <v>25</v>
      </c>
      <c r="Q569" s="1" t="s">
        <v>26</v>
      </c>
      <c r="R569" s="1" t="s">
        <v>26</v>
      </c>
      <c r="S569" s="2">
        <v>0</v>
      </c>
    </row>
    <row r="570" spans="1:19" x14ac:dyDescent="0.3">
      <c r="A570" t="s">
        <v>1167</v>
      </c>
      <c r="B570" s="5" t="e" cm="1">
        <f t="array" ref="B570">MAX(#REF!,MIN(#REF!,#REF!+SUMPRODUCT(--(FoodData[[#This Row],[Healthy]:[Refined]]="Yes"),#REF!)+FoodData[[#This Row],[Adjust]]))</f>
        <v>#REF!</v>
      </c>
      <c r="C570" s="1" t="e">
        <f>LOOKUP(FoodData[[#This Row],[Score]],#REF!,#REF!)</f>
        <v>#REF!</v>
      </c>
      <c r="D570" t="s">
        <v>1153</v>
      </c>
      <c r="E570" t="s">
        <v>28</v>
      </c>
      <c r="F570" t="s">
        <v>22</v>
      </c>
      <c r="G570" t="s">
        <v>23</v>
      </c>
      <c r="H570" t="s">
        <v>1168</v>
      </c>
      <c r="I570" s="1" t="s">
        <v>25</v>
      </c>
      <c r="J570" s="1" t="s">
        <v>25</v>
      </c>
      <c r="K570" s="1" t="s">
        <v>25</v>
      </c>
      <c r="L570" s="1" t="s">
        <v>25</v>
      </c>
      <c r="M570" s="1" t="s">
        <v>25</v>
      </c>
      <c r="N570" s="1" t="s">
        <v>26</v>
      </c>
      <c r="O570" s="1" t="s">
        <v>25</v>
      </c>
      <c r="P570" s="1" t="s">
        <v>25</v>
      </c>
      <c r="Q570" s="1" t="s">
        <v>26</v>
      </c>
      <c r="R570" s="1" t="s">
        <v>25</v>
      </c>
      <c r="S570" s="2">
        <v>0</v>
      </c>
    </row>
    <row r="571" spans="1:19" x14ac:dyDescent="0.3">
      <c r="A571" t="s">
        <v>1169</v>
      </c>
      <c r="B571" s="5" t="e" cm="1">
        <f t="array" ref="B571">MAX(#REF!,MIN(#REF!,#REF!+SUMPRODUCT(--(FoodData[[#This Row],[Healthy]:[Refined]]="Yes"),#REF!)+FoodData[[#This Row],[Adjust]]))</f>
        <v>#REF!</v>
      </c>
      <c r="C571" s="1" t="e">
        <f>LOOKUP(FoodData[[#This Row],[Score]],#REF!,#REF!)</f>
        <v>#REF!</v>
      </c>
      <c r="D571" t="s">
        <v>1153</v>
      </c>
      <c r="E571" t="s">
        <v>28</v>
      </c>
      <c r="F571" t="s">
        <v>60</v>
      </c>
      <c r="G571" t="s">
        <v>23</v>
      </c>
      <c r="H571" t="s">
        <v>1170</v>
      </c>
      <c r="I571" s="1" t="s">
        <v>25</v>
      </c>
      <c r="J571" s="1" t="s">
        <v>25</v>
      </c>
      <c r="K571" s="1" t="s">
        <v>26</v>
      </c>
      <c r="L571" s="1" t="s">
        <v>26</v>
      </c>
      <c r="M571" s="1" t="s">
        <v>25</v>
      </c>
      <c r="N571" s="1" t="s">
        <v>25</v>
      </c>
      <c r="O571" s="1" t="s">
        <v>25</v>
      </c>
      <c r="P571" s="1" t="s">
        <v>25</v>
      </c>
      <c r="Q571" s="1" t="s">
        <v>25</v>
      </c>
      <c r="R571" s="1" t="s">
        <v>26</v>
      </c>
      <c r="S571" s="2">
        <v>0</v>
      </c>
    </row>
    <row r="572" spans="1:19" x14ac:dyDescent="0.3">
      <c r="A572" t="s">
        <v>1171</v>
      </c>
      <c r="B572" s="5" t="e" cm="1">
        <f t="array" ref="B572">MAX(#REF!,MIN(#REF!,#REF!+SUMPRODUCT(--(FoodData[[#This Row],[Healthy]:[Refined]]="Yes"),#REF!)+FoodData[[#This Row],[Adjust]]))</f>
        <v>#REF!</v>
      </c>
      <c r="C572" s="1" t="e">
        <f>LOOKUP(FoodData[[#This Row],[Score]],#REF!,#REF!)</f>
        <v>#REF!</v>
      </c>
      <c r="D572" t="s">
        <v>1153</v>
      </c>
      <c r="E572" t="s">
        <v>28</v>
      </c>
      <c r="F572" t="s">
        <v>22</v>
      </c>
      <c r="G572" t="s">
        <v>23</v>
      </c>
      <c r="H572" t="s">
        <v>1172</v>
      </c>
      <c r="I572" s="1" t="s">
        <v>25</v>
      </c>
      <c r="J572" s="1" t="s">
        <v>25</v>
      </c>
      <c r="K572" s="1" t="s">
        <v>25</v>
      </c>
      <c r="L572" s="1" t="s">
        <v>25</v>
      </c>
      <c r="M572" s="1" t="s">
        <v>25</v>
      </c>
      <c r="N572" s="1" t="s">
        <v>26</v>
      </c>
      <c r="O572" s="1" t="s">
        <v>26</v>
      </c>
      <c r="P572" s="1" t="s">
        <v>25</v>
      </c>
      <c r="Q572" s="1" t="s">
        <v>26</v>
      </c>
      <c r="R572" s="1" t="s">
        <v>26</v>
      </c>
      <c r="S572" s="2">
        <v>0</v>
      </c>
    </row>
    <row r="573" spans="1:19" x14ac:dyDescent="0.3">
      <c r="A573" t="s">
        <v>1173</v>
      </c>
      <c r="B573" s="5" t="e" cm="1">
        <f t="array" ref="B573">MAX(#REF!,MIN(#REF!,#REF!+SUMPRODUCT(--(FoodData[[#This Row],[Healthy]:[Refined]]="Yes"),#REF!)+FoodData[[#This Row],[Adjust]]))</f>
        <v>#REF!</v>
      </c>
      <c r="C573" s="1" t="e">
        <f>LOOKUP(FoodData[[#This Row],[Score]],#REF!,#REF!)</f>
        <v>#REF!</v>
      </c>
      <c r="D573" t="s">
        <v>1153</v>
      </c>
      <c r="E573" t="s">
        <v>28</v>
      </c>
      <c r="F573" t="s">
        <v>22</v>
      </c>
      <c r="G573" t="s">
        <v>23</v>
      </c>
      <c r="H573" t="s">
        <v>1174</v>
      </c>
      <c r="I573" s="1" t="s">
        <v>25</v>
      </c>
      <c r="J573" s="1" t="s">
        <v>25</v>
      </c>
      <c r="K573" s="1" t="s">
        <v>25</v>
      </c>
      <c r="L573" s="1" t="s">
        <v>25</v>
      </c>
      <c r="M573" s="1" t="s">
        <v>25</v>
      </c>
      <c r="N573" s="1" t="s">
        <v>26</v>
      </c>
      <c r="O573" s="1" t="s">
        <v>26</v>
      </c>
      <c r="P573" s="1" t="s">
        <v>25</v>
      </c>
      <c r="Q573" s="1" t="s">
        <v>26</v>
      </c>
      <c r="R573" s="1" t="s">
        <v>26</v>
      </c>
      <c r="S573" s="2">
        <v>0</v>
      </c>
    </row>
    <row r="574" spans="1:19" x14ac:dyDescent="0.3">
      <c r="A574" t="s">
        <v>1175</v>
      </c>
      <c r="B574" s="5" t="e" cm="1">
        <f t="array" ref="B574">MAX(#REF!,MIN(#REF!,#REF!+SUMPRODUCT(--(FoodData[[#This Row],[Healthy]:[Refined]]="Yes"),#REF!)+FoodData[[#This Row],[Adjust]]))</f>
        <v>#REF!</v>
      </c>
      <c r="C574" s="1" t="e">
        <f>LOOKUP(FoodData[[#This Row],[Score]],#REF!,#REF!)</f>
        <v>#REF!</v>
      </c>
      <c r="D574" t="s">
        <v>1153</v>
      </c>
      <c r="E574" t="s">
        <v>28</v>
      </c>
      <c r="F574" t="s">
        <v>22</v>
      </c>
      <c r="G574" t="s">
        <v>23</v>
      </c>
      <c r="H574" t="s">
        <v>1176</v>
      </c>
      <c r="I574" s="1" t="s">
        <v>25</v>
      </c>
      <c r="J574" s="1" t="s">
        <v>25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26</v>
      </c>
      <c r="P574" s="1" t="s">
        <v>25</v>
      </c>
      <c r="Q574" s="1" t="s">
        <v>26</v>
      </c>
      <c r="R574" s="1" t="s">
        <v>26</v>
      </c>
      <c r="S574" s="2">
        <v>0</v>
      </c>
    </row>
    <row r="575" spans="1:19" x14ac:dyDescent="0.3">
      <c r="A575" t="s">
        <v>1177</v>
      </c>
      <c r="B575" s="5" t="e" cm="1">
        <f t="array" ref="B575">MAX(#REF!,MIN(#REF!,#REF!+SUMPRODUCT(--(FoodData[[#This Row],[Healthy]:[Refined]]="Yes"),#REF!)+FoodData[[#This Row],[Adjust]]))</f>
        <v>#REF!</v>
      </c>
      <c r="C575" s="1" t="e">
        <f>LOOKUP(FoodData[[#This Row],[Score]],#REF!,#REF!)</f>
        <v>#REF!</v>
      </c>
      <c r="D575" t="s">
        <v>1153</v>
      </c>
      <c r="E575" t="s">
        <v>28</v>
      </c>
      <c r="F575" t="s">
        <v>22</v>
      </c>
      <c r="G575" t="s">
        <v>23</v>
      </c>
      <c r="H575" t="s">
        <v>1178</v>
      </c>
      <c r="I575" s="1" t="s">
        <v>25</v>
      </c>
      <c r="J575" s="1" t="s">
        <v>25</v>
      </c>
      <c r="K575" s="1" t="s">
        <v>25</v>
      </c>
      <c r="L575" s="1" t="s">
        <v>25</v>
      </c>
      <c r="M575" s="1" t="s">
        <v>25</v>
      </c>
      <c r="N575" s="1" t="s">
        <v>25</v>
      </c>
      <c r="O575" s="1" t="s">
        <v>26</v>
      </c>
      <c r="P575" s="1" t="s">
        <v>26</v>
      </c>
      <c r="Q575" s="1" t="s">
        <v>26</v>
      </c>
      <c r="R575" s="1" t="s">
        <v>26</v>
      </c>
      <c r="S575" s="2">
        <v>0</v>
      </c>
    </row>
    <row r="576" spans="1:19" x14ac:dyDescent="0.3">
      <c r="A576" t="s">
        <v>1179</v>
      </c>
      <c r="B576" s="5" t="e" cm="1">
        <f t="array" ref="B576">MAX(#REF!,MIN(#REF!,#REF!+SUMPRODUCT(--(FoodData[[#This Row],[Healthy]:[Refined]]="Yes"),#REF!)+FoodData[[#This Row],[Adjust]]))</f>
        <v>#REF!</v>
      </c>
      <c r="C576" s="1" t="e">
        <f>LOOKUP(FoodData[[#This Row],[Score]],#REF!,#REF!)</f>
        <v>#REF!</v>
      </c>
      <c r="D576" t="s">
        <v>1153</v>
      </c>
      <c r="E576" t="s">
        <v>28</v>
      </c>
      <c r="F576" t="s">
        <v>22</v>
      </c>
      <c r="G576" t="s">
        <v>23</v>
      </c>
      <c r="H576" t="s">
        <v>1180</v>
      </c>
      <c r="I576" s="1" t="s">
        <v>25</v>
      </c>
      <c r="J576" s="1" t="s">
        <v>25</v>
      </c>
      <c r="K576" s="1" t="s">
        <v>25</v>
      </c>
      <c r="L576" s="1" t="s">
        <v>25</v>
      </c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26</v>
      </c>
      <c r="R576" s="1" t="s">
        <v>25</v>
      </c>
      <c r="S576" s="2">
        <v>0</v>
      </c>
    </row>
    <row r="577" spans="1:19" x14ac:dyDescent="0.3">
      <c r="A577" t="s">
        <v>1181</v>
      </c>
      <c r="B577" s="5" t="e" cm="1">
        <f t="array" ref="B577">MAX(#REF!,MIN(#REF!,#REF!+SUMPRODUCT(--(FoodData[[#This Row],[Healthy]:[Refined]]="Yes"),#REF!)+FoodData[[#This Row],[Adjust]]))</f>
        <v>#REF!</v>
      </c>
      <c r="C577" s="1" t="e">
        <f>LOOKUP(FoodData[[#This Row],[Score]],#REF!,#REF!)</f>
        <v>#REF!</v>
      </c>
      <c r="D577" t="s">
        <v>1153</v>
      </c>
      <c r="E577" t="s">
        <v>28</v>
      </c>
      <c r="F577" t="s">
        <v>60</v>
      </c>
      <c r="G577" t="s">
        <v>23</v>
      </c>
      <c r="H577" t="s">
        <v>1182</v>
      </c>
      <c r="I577" s="1" t="s">
        <v>25</v>
      </c>
      <c r="J577" s="1" t="s">
        <v>25</v>
      </c>
      <c r="K577" s="1" t="s">
        <v>26</v>
      </c>
      <c r="L577" s="1" t="s">
        <v>25</v>
      </c>
      <c r="M577" s="1" t="s">
        <v>25</v>
      </c>
      <c r="N577" s="1" t="s">
        <v>25</v>
      </c>
      <c r="O577" s="1" t="s">
        <v>26</v>
      </c>
      <c r="P577" s="1" t="s">
        <v>25</v>
      </c>
      <c r="Q577" s="1" t="s">
        <v>26</v>
      </c>
      <c r="R577" s="1" t="s">
        <v>26</v>
      </c>
      <c r="S577" s="2">
        <v>0</v>
      </c>
    </row>
    <row r="578" spans="1:19" x14ac:dyDescent="0.3">
      <c r="A578" t="s">
        <v>1183</v>
      </c>
      <c r="B578" s="5" t="e" cm="1">
        <f t="array" ref="B578">MAX(#REF!,MIN(#REF!,#REF!+SUMPRODUCT(--(FoodData[[#This Row],[Healthy]:[Refined]]="Yes"),#REF!)+FoodData[[#This Row],[Adjust]]))</f>
        <v>#REF!</v>
      </c>
      <c r="C578" s="1" t="e">
        <f>LOOKUP(FoodData[[#This Row],[Score]],#REF!,#REF!)</f>
        <v>#REF!</v>
      </c>
      <c r="D578" t="s">
        <v>1153</v>
      </c>
      <c r="E578" t="s">
        <v>28</v>
      </c>
      <c r="F578" t="s">
        <v>60</v>
      </c>
      <c r="G578" t="s">
        <v>23</v>
      </c>
      <c r="H578" t="s">
        <v>1184</v>
      </c>
      <c r="I578" s="1" t="s">
        <v>25</v>
      </c>
      <c r="J578" s="1" t="s">
        <v>25</v>
      </c>
      <c r="K578" s="1" t="s">
        <v>26</v>
      </c>
      <c r="L578" s="1" t="s">
        <v>25</v>
      </c>
      <c r="M578" s="1" t="s">
        <v>25</v>
      </c>
      <c r="N578" s="1" t="s">
        <v>26</v>
      </c>
      <c r="O578" s="1" t="s">
        <v>25</v>
      </c>
      <c r="P578" s="1" t="s">
        <v>25</v>
      </c>
      <c r="Q578" s="1" t="s">
        <v>26</v>
      </c>
      <c r="R578" s="1" t="s">
        <v>26</v>
      </c>
      <c r="S578" s="2">
        <v>0</v>
      </c>
    </row>
    <row r="579" spans="1:19" x14ac:dyDescent="0.3">
      <c r="A579" t="s">
        <v>1185</v>
      </c>
      <c r="B579" s="5" t="e" cm="1">
        <f t="array" ref="B579">MAX(#REF!,MIN(#REF!,#REF!+SUMPRODUCT(--(FoodData[[#This Row],[Healthy]:[Refined]]="Yes"),#REF!)+FoodData[[#This Row],[Adjust]]))</f>
        <v>#REF!</v>
      </c>
      <c r="C579" s="1" t="e">
        <f>LOOKUP(FoodData[[#This Row],[Score]],#REF!,#REF!)</f>
        <v>#REF!</v>
      </c>
      <c r="D579" t="s">
        <v>1153</v>
      </c>
      <c r="E579" t="s">
        <v>28</v>
      </c>
      <c r="F579" t="s">
        <v>60</v>
      </c>
      <c r="G579" t="s">
        <v>23</v>
      </c>
      <c r="H579" t="s">
        <v>1186</v>
      </c>
      <c r="I579" s="1" t="s">
        <v>25</v>
      </c>
      <c r="J579" s="1" t="s">
        <v>25</v>
      </c>
      <c r="K579" s="1" t="s">
        <v>26</v>
      </c>
      <c r="L579" s="1" t="s">
        <v>26</v>
      </c>
      <c r="M579" s="1" t="s">
        <v>25</v>
      </c>
      <c r="N579" s="1" t="s">
        <v>25</v>
      </c>
      <c r="O579" s="1" t="s">
        <v>25</v>
      </c>
      <c r="P579" s="1" t="s">
        <v>25</v>
      </c>
      <c r="Q579" s="1" t="s">
        <v>25</v>
      </c>
      <c r="R579" s="1" t="s">
        <v>25</v>
      </c>
      <c r="S579" s="2">
        <v>0</v>
      </c>
    </row>
    <row r="580" spans="1:19" x14ac:dyDescent="0.3">
      <c r="A580" t="s">
        <v>1187</v>
      </c>
      <c r="B580" s="5" t="e" cm="1">
        <f t="array" ref="B580">MAX(#REF!,MIN(#REF!,#REF!+SUMPRODUCT(--(FoodData[[#This Row],[Healthy]:[Refined]]="Yes"),#REF!)+FoodData[[#This Row],[Adjust]]))</f>
        <v>#REF!</v>
      </c>
      <c r="C580" s="1" t="e">
        <f>LOOKUP(FoodData[[#This Row],[Score]],#REF!,#REF!)</f>
        <v>#REF!</v>
      </c>
      <c r="D580" t="s">
        <v>1153</v>
      </c>
      <c r="E580" t="s">
        <v>28</v>
      </c>
      <c r="F580" t="s">
        <v>60</v>
      </c>
      <c r="G580" t="s">
        <v>23</v>
      </c>
      <c r="H580" t="s">
        <v>1188</v>
      </c>
      <c r="I580" s="1" t="s">
        <v>25</v>
      </c>
      <c r="J580" s="1" t="s">
        <v>25</v>
      </c>
      <c r="K580" s="1" t="s">
        <v>26</v>
      </c>
      <c r="L580" s="1" t="s">
        <v>25</v>
      </c>
      <c r="M580" s="1" t="s">
        <v>25</v>
      </c>
      <c r="N580" s="1" t="s">
        <v>26</v>
      </c>
      <c r="O580" s="1" t="s">
        <v>25</v>
      </c>
      <c r="P580" s="1" t="s">
        <v>26</v>
      </c>
      <c r="Q580" s="1" t="s">
        <v>25</v>
      </c>
      <c r="R580" s="1" t="s">
        <v>26</v>
      </c>
      <c r="S580" s="2">
        <v>0</v>
      </c>
    </row>
    <row r="581" spans="1:19" x14ac:dyDescent="0.3">
      <c r="A581" t="s">
        <v>1189</v>
      </c>
      <c r="B581" s="5" t="e" cm="1">
        <f t="array" ref="B581">MAX(#REF!,MIN(#REF!,#REF!+SUMPRODUCT(--(FoodData[[#This Row],[Healthy]:[Refined]]="Yes"),#REF!)+FoodData[[#This Row],[Adjust]]))</f>
        <v>#REF!</v>
      </c>
      <c r="C581" s="1" t="e">
        <f>LOOKUP(FoodData[[#This Row],[Score]],#REF!,#REF!)</f>
        <v>#REF!</v>
      </c>
      <c r="D581" t="s">
        <v>1153</v>
      </c>
      <c r="E581" t="s">
        <v>28</v>
      </c>
      <c r="F581" t="s">
        <v>60</v>
      </c>
      <c r="G581" t="s">
        <v>23</v>
      </c>
      <c r="H581" t="s">
        <v>1190</v>
      </c>
      <c r="I581" s="1" t="s">
        <v>25</v>
      </c>
      <c r="J581" s="1" t="s">
        <v>25</v>
      </c>
      <c r="K581" s="1" t="s">
        <v>26</v>
      </c>
      <c r="L581" s="1" t="s">
        <v>26</v>
      </c>
      <c r="M581" s="1" t="s">
        <v>25</v>
      </c>
      <c r="N581" s="1" t="s">
        <v>26</v>
      </c>
      <c r="O581" s="1" t="s">
        <v>25</v>
      </c>
      <c r="P581" s="1" t="s">
        <v>25</v>
      </c>
      <c r="Q581" s="1" t="s">
        <v>26</v>
      </c>
      <c r="R581" s="1" t="s">
        <v>26</v>
      </c>
      <c r="S581" s="2">
        <v>0</v>
      </c>
    </row>
    <row r="582" spans="1:19" x14ac:dyDescent="0.3">
      <c r="A582" t="s">
        <v>1191</v>
      </c>
      <c r="B582" s="5" t="e" cm="1">
        <f t="array" ref="B582">MAX(#REF!,MIN(#REF!,#REF!+SUMPRODUCT(--(FoodData[[#This Row],[Healthy]:[Refined]]="Yes"),#REF!)+FoodData[[#This Row],[Adjust]]))</f>
        <v>#REF!</v>
      </c>
      <c r="C582" s="1" t="e">
        <f>LOOKUP(FoodData[[#This Row],[Score]],#REF!,#REF!)</f>
        <v>#REF!</v>
      </c>
      <c r="D582" t="s">
        <v>1153</v>
      </c>
      <c r="E582" t="s">
        <v>199</v>
      </c>
      <c r="F582" t="s">
        <v>60</v>
      </c>
      <c r="G582" t="s">
        <v>23</v>
      </c>
      <c r="H582" t="s">
        <v>1192</v>
      </c>
      <c r="I582" s="1" t="s">
        <v>25</v>
      </c>
      <c r="J582" s="1" t="s">
        <v>25</v>
      </c>
      <c r="K582" s="1" t="s">
        <v>26</v>
      </c>
      <c r="L582" s="1" t="s">
        <v>26</v>
      </c>
      <c r="M582" s="1" t="s">
        <v>25</v>
      </c>
      <c r="N582" s="1" t="s">
        <v>26</v>
      </c>
      <c r="O582" s="1" t="s">
        <v>25</v>
      </c>
      <c r="P582" s="1" t="s">
        <v>26</v>
      </c>
      <c r="Q582" s="1" t="s">
        <v>26</v>
      </c>
      <c r="R582" s="1" t="s">
        <v>25</v>
      </c>
      <c r="S582" s="2">
        <v>0</v>
      </c>
    </row>
    <row r="583" spans="1:19" x14ac:dyDescent="0.3">
      <c r="A583" t="s">
        <v>1193</v>
      </c>
      <c r="B583" s="5" t="e" cm="1">
        <f t="array" ref="B583">MAX(#REF!,MIN(#REF!,#REF!+SUMPRODUCT(--(FoodData[[#This Row],[Healthy]:[Refined]]="Yes"),#REF!)+FoodData[[#This Row],[Adjust]]))</f>
        <v>#REF!</v>
      </c>
      <c r="C583" s="1" t="e">
        <f>LOOKUP(FoodData[[#This Row],[Score]],#REF!,#REF!)</f>
        <v>#REF!</v>
      </c>
      <c r="D583" t="s">
        <v>1153</v>
      </c>
      <c r="E583" t="s">
        <v>28</v>
      </c>
      <c r="F583" t="s">
        <v>60</v>
      </c>
      <c r="G583" t="s">
        <v>23</v>
      </c>
      <c r="H583" t="s">
        <v>1194</v>
      </c>
      <c r="I583" s="1" t="s">
        <v>25</v>
      </c>
      <c r="J583" s="1" t="s">
        <v>25</v>
      </c>
      <c r="K583" s="1" t="s">
        <v>26</v>
      </c>
      <c r="L583" s="1" t="s">
        <v>25</v>
      </c>
      <c r="M583" s="1" t="s">
        <v>25</v>
      </c>
      <c r="N583" s="1" t="s">
        <v>26</v>
      </c>
      <c r="O583" s="1" t="s">
        <v>25</v>
      </c>
      <c r="P583" s="1" t="s">
        <v>26</v>
      </c>
      <c r="Q583" s="1" t="s">
        <v>26</v>
      </c>
      <c r="R583" s="1" t="s">
        <v>25</v>
      </c>
      <c r="S583" s="2">
        <v>0</v>
      </c>
    </row>
    <row r="584" spans="1:19" x14ac:dyDescent="0.3">
      <c r="A584" t="s">
        <v>1195</v>
      </c>
      <c r="B584" s="5" t="e" cm="1">
        <f t="array" ref="B584">MAX(#REF!,MIN(#REF!,#REF!+SUMPRODUCT(--(FoodData[[#This Row],[Healthy]:[Refined]]="Yes"),#REF!)+FoodData[[#This Row],[Adjust]]))</f>
        <v>#REF!</v>
      </c>
      <c r="C584" s="1" t="e">
        <f>LOOKUP(FoodData[[#This Row],[Score]],#REF!,#REF!)</f>
        <v>#REF!</v>
      </c>
      <c r="D584" t="s">
        <v>1153</v>
      </c>
      <c r="E584" t="s">
        <v>199</v>
      </c>
      <c r="F584" t="s">
        <v>60</v>
      </c>
      <c r="G584" t="s">
        <v>23</v>
      </c>
      <c r="H584" t="s">
        <v>1196</v>
      </c>
      <c r="I584" s="1" t="s">
        <v>25</v>
      </c>
      <c r="J584" s="1" t="s">
        <v>25</v>
      </c>
      <c r="K584" s="1" t="s">
        <v>26</v>
      </c>
      <c r="L584" s="1" t="s">
        <v>25</v>
      </c>
      <c r="M584" s="1" t="s">
        <v>25</v>
      </c>
      <c r="N584" s="1" t="s">
        <v>26</v>
      </c>
      <c r="O584" s="1" t="s">
        <v>25</v>
      </c>
      <c r="P584" s="1" t="s">
        <v>26</v>
      </c>
      <c r="Q584" s="1" t="s">
        <v>25</v>
      </c>
      <c r="R584" s="1" t="s">
        <v>25</v>
      </c>
      <c r="S584" s="2">
        <v>0</v>
      </c>
    </row>
    <row r="585" spans="1:19" x14ac:dyDescent="0.3">
      <c r="A585" t="s">
        <v>1197</v>
      </c>
      <c r="B585" s="5" t="e" cm="1">
        <f t="array" ref="B585">MAX(#REF!,MIN(#REF!,#REF!+SUMPRODUCT(--(FoodData[[#This Row],[Healthy]:[Refined]]="Yes"),#REF!)+FoodData[[#This Row],[Adjust]]))</f>
        <v>#REF!</v>
      </c>
      <c r="C585" s="1" t="e">
        <f>LOOKUP(FoodData[[#This Row],[Score]],#REF!,#REF!)</f>
        <v>#REF!</v>
      </c>
      <c r="D585" t="s">
        <v>1153</v>
      </c>
      <c r="E585" t="s">
        <v>199</v>
      </c>
      <c r="F585" t="s">
        <v>60</v>
      </c>
      <c r="G585" t="s">
        <v>23</v>
      </c>
      <c r="H585" t="s">
        <v>1198</v>
      </c>
      <c r="I585" s="1" t="s">
        <v>25</v>
      </c>
      <c r="J585" s="1" t="s">
        <v>25</v>
      </c>
      <c r="K585" s="1" t="s">
        <v>26</v>
      </c>
      <c r="L585" s="1" t="s">
        <v>26</v>
      </c>
      <c r="M585" s="1" t="s">
        <v>25</v>
      </c>
      <c r="N585" s="1" t="s">
        <v>26</v>
      </c>
      <c r="O585" s="1" t="s">
        <v>25</v>
      </c>
      <c r="P585" s="1" t="s">
        <v>26</v>
      </c>
      <c r="Q585" s="1" t="s">
        <v>26</v>
      </c>
      <c r="R585" s="1" t="s">
        <v>25</v>
      </c>
      <c r="S585" s="2">
        <v>0</v>
      </c>
    </row>
    <row r="586" spans="1:19" x14ac:dyDescent="0.3">
      <c r="A586" t="s">
        <v>1199</v>
      </c>
      <c r="B586" s="5" t="e" cm="1">
        <f t="array" ref="B586">MAX(#REF!,MIN(#REF!,#REF!+SUMPRODUCT(--(FoodData[[#This Row],[Healthy]:[Refined]]="Yes"),#REF!)+FoodData[[#This Row],[Adjust]]))</f>
        <v>#REF!</v>
      </c>
      <c r="C586" s="1" t="e">
        <f>LOOKUP(FoodData[[#This Row],[Score]],#REF!,#REF!)</f>
        <v>#REF!</v>
      </c>
      <c r="D586" t="s">
        <v>1153</v>
      </c>
      <c r="E586" t="s">
        <v>63</v>
      </c>
      <c r="F586" t="s">
        <v>60</v>
      </c>
      <c r="G586" t="s">
        <v>23</v>
      </c>
      <c r="H586" t="s">
        <v>1200</v>
      </c>
      <c r="I586" s="1" t="s">
        <v>25</v>
      </c>
      <c r="J586" s="1" t="s">
        <v>25</v>
      </c>
      <c r="K586" s="1" t="s">
        <v>26</v>
      </c>
      <c r="L586" s="1" t="s">
        <v>25</v>
      </c>
      <c r="M586" s="1" t="s">
        <v>25</v>
      </c>
      <c r="N586" s="1" t="s">
        <v>25</v>
      </c>
      <c r="O586" s="1" t="s">
        <v>25</v>
      </c>
      <c r="P586" s="1" t="s">
        <v>25</v>
      </c>
      <c r="Q586" s="1" t="s">
        <v>25</v>
      </c>
      <c r="R586" s="1" t="s">
        <v>26</v>
      </c>
      <c r="S586" s="2">
        <v>0</v>
      </c>
    </row>
    <row r="587" spans="1:19" x14ac:dyDescent="0.3">
      <c r="A587" t="s">
        <v>1201</v>
      </c>
      <c r="B587" s="5" t="e" cm="1">
        <f t="array" ref="B587">MAX(#REF!,MIN(#REF!,#REF!+SUMPRODUCT(--(FoodData[[#This Row],[Healthy]:[Refined]]="Yes"),#REF!)+FoodData[[#This Row],[Adjust]]))</f>
        <v>#REF!</v>
      </c>
      <c r="C587" s="1" t="e">
        <f>LOOKUP(FoodData[[#This Row],[Score]],#REF!,#REF!)</f>
        <v>#REF!</v>
      </c>
      <c r="D587" t="s">
        <v>1153</v>
      </c>
      <c r="E587" t="s">
        <v>63</v>
      </c>
      <c r="F587" t="s">
        <v>60</v>
      </c>
      <c r="G587" t="s">
        <v>29</v>
      </c>
      <c r="H587" t="s">
        <v>1202</v>
      </c>
      <c r="I587" s="1" t="s">
        <v>25</v>
      </c>
      <c r="J587" s="1" t="s">
        <v>25</v>
      </c>
      <c r="K587" s="1" t="s">
        <v>26</v>
      </c>
      <c r="L587" s="1" t="s">
        <v>25</v>
      </c>
      <c r="M587" s="1" t="s">
        <v>25</v>
      </c>
      <c r="N587" s="1" t="s">
        <v>26</v>
      </c>
      <c r="O587" s="1" t="s">
        <v>25</v>
      </c>
      <c r="P587" s="1" t="s">
        <v>26</v>
      </c>
      <c r="Q587" s="1" t="s">
        <v>26</v>
      </c>
      <c r="R587" s="1" t="s">
        <v>26</v>
      </c>
      <c r="S587" s="2">
        <v>0</v>
      </c>
    </row>
    <row r="588" spans="1:19" x14ac:dyDescent="0.3">
      <c r="A588" t="s">
        <v>1203</v>
      </c>
      <c r="B588" s="5" t="e" cm="1">
        <f t="array" ref="B588">MAX(#REF!,MIN(#REF!,#REF!+SUMPRODUCT(--(FoodData[[#This Row],[Healthy]:[Refined]]="Yes"),#REF!)+FoodData[[#This Row],[Adjust]]))</f>
        <v>#REF!</v>
      </c>
      <c r="C588" s="1" t="e">
        <f>LOOKUP(FoodData[[#This Row],[Score]],#REF!,#REF!)</f>
        <v>#REF!</v>
      </c>
      <c r="D588" t="s">
        <v>1153</v>
      </c>
      <c r="E588" t="s">
        <v>28</v>
      </c>
      <c r="F588" t="s">
        <v>60</v>
      </c>
      <c r="G588" t="s">
        <v>23</v>
      </c>
      <c r="H588" t="s">
        <v>1204</v>
      </c>
      <c r="I588" s="1" t="s">
        <v>25</v>
      </c>
      <c r="J588" s="1" t="s">
        <v>25</v>
      </c>
      <c r="K588" s="1" t="s">
        <v>26</v>
      </c>
      <c r="L588" s="1" t="s">
        <v>25</v>
      </c>
      <c r="M588" s="1" t="s">
        <v>25</v>
      </c>
      <c r="N588" s="1" t="s">
        <v>25</v>
      </c>
      <c r="O588" s="1" t="s">
        <v>25</v>
      </c>
      <c r="P588" s="1" t="s">
        <v>25</v>
      </c>
      <c r="Q588" s="1" t="s">
        <v>25</v>
      </c>
      <c r="R588" s="1" t="s">
        <v>26</v>
      </c>
      <c r="S588" s="2">
        <v>0</v>
      </c>
    </row>
    <row r="589" spans="1:19" x14ac:dyDescent="0.3">
      <c r="A589" t="s">
        <v>1205</v>
      </c>
      <c r="B589" s="5" t="e" cm="1">
        <f t="array" ref="B589">MAX(#REF!,MIN(#REF!,#REF!+SUMPRODUCT(--(FoodData[[#This Row],[Healthy]:[Refined]]="Yes"),#REF!)+FoodData[[#This Row],[Adjust]]))</f>
        <v>#REF!</v>
      </c>
      <c r="C589" s="1" t="e">
        <f>LOOKUP(FoodData[[#This Row],[Score]],#REF!,#REF!)</f>
        <v>#REF!</v>
      </c>
      <c r="D589" t="s">
        <v>1153</v>
      </c>
      <c r="E589" t="s">
        <v>28</v>
      </c>
      <c r="F589" t="s">
        <v>60</v>
      </c>
      <c r="G589" t="s">
        <v>29</v>
      </c>
      <c r="H589" t="s">
        <v>1206</v>
      </c>
      <c r="I589" s="1" t="s">
        <v>25</v>
      </c>
      <c r="J589" s="1" t="s">
        <v>25</v>
      </c>
      <c r="K589" s="1" t="s">
        <v>26</v>
      </c>
      <c r="L589" s="1" t="s">
        <v>25</v>
      </c>
      <c r="M589" s="1" t="s">
        <v>25</v>
      </c>
      <c r="N589" s="1" t="s">
        <v>25</v>
      </c>
      <c r="O589" s="1" t="s">
        <v>26</v>
      </c>
      <c r="P589" s="1" t="s">
        <v>25</v>
      </c>
      <c r="Q589" s="1" t="s">
        <v>26</v>
      </c>
      <c r="R589" s="1" t="s">
        <v>26</v>
      </c>
      <c r="S589" s="2">
        <v>0</v>
      </c>
    </row>
    <row r="590" spans="1:19" x14ac:dyDescent="0.3">
      <c r="A590" t="s">
        <v>1207</v>
      </c>
      <c r="B590" s="5" t="e" cm="1">
        <f t="array" ref="B590">MAX(#REF!,MIN(#REF!,#REF!+SUMPRODUCT(--(FoodData[[#This Row],[Healthy]:[Refined]]="Yes"),#REF!)+FoodData[[#This Row],[Adjust]]))</f>
        <v>#REF!</v>
      </c>
      <c r="C590" s="1" t="e">
        <f>LOOKUP(FoodData[[#This Row],[Score]],#REF!,#REF!)</f>
        <v>#REF!</v>
      </c>
      <c r="D590" t="s">
        <v>1153</v>
      </c>
      <c r="E590" t="s">
        <v>28</v>
      </c>
      <c r="F590" t="s">
        <v>60</v>
      </c>
      <c r="G590" t="s">
        <v>23</v>
      </c>
      <c r="H590" t="s">
        <v>1208</v>
      </c>
      <c r="I590" s="1" t="s">
        <v>25</v>
      </c>
      <c r="J590" s="1" t="s">
        <v>25</v>
      </c>
      <c r="K590" s="1" t="s">
        <v>26</v>
      </c>
      <c r="L590" s="1" t="s">
        <v>25</v>
      </c>
      <c r="M590" s="1" t="s">
        <v>25</v>
      </c>
      <c r="N590" s="1" t="s">
        <v>26</v>
      </c>
      <c r="O590" s="1" t="s">
        <v>25</v>
      </c>
      <c r="P590" s="1" t="s">
        <v>25</v>
      </c>
      <c r="Q590" s="1" t="s">
        <v>26</v>
      </c>
      <c r="R590" s="1" t="s">
        <v>26</v>
      </c>
      <c r="S590" s="2">
        <v>0</v>
      </c>
    </row>
    <row r="591" spans="1:19" x14ac:dyDescent="0.3">
      <c r="A591" t="s">
        <v>1209</v>
      </c>
      <c r="B591" s="5" t="e" cm="1">
        <f t="array" ref="B591">MAX(#REF!,MIN(#REF!,#REF!+SUMPRODUCT(--(FoodData[[#This Row],[Healthy]:[Refined]]="Yes"),#REF!)+FoodData[[#This Row],[Adjust]]))</f>
        <v>#REF!</v>
      </c>
      <c r="C591" s="1" t="e">
        <f>LOOKUP(FoodData[[#This Row],[Score]],#REF!,#REF!)</f>
        <v>#REF!</v>
      </c>
      <c r="D591" t="s">
        <v>1153</v>
      </c>
      <c r="E591" t="s">
        <v>63</v>
      </c>
      <c r="F591" t="s">
        <v>60</v>
      </c>
      <c r="G591" t="s">
        <v>29</v>
      </c>
      <c r="H591" t="s">
        <v>1202</v>
      </c>
      <c r="I591" s="1" t="s">
        <v>25</v>
      </c>
      <c r="J591" s="1" t="s">
        <v>25</v>
      </c>
      <c r="K591" s="1" t="s">
        <v>26</v>
      </c>
      <c r="L591" s="1" t="s">
        <v>26</v>
      </c>
      <c r="M591" s="1" t="s">
        <v>25</v>
      </c>
      <c r="N591" s="1" t="s">
        <v>26</v>
      </c>
      <c r="O591" s="1" t="s">
        <v>25</v>
      </c>
      <c r="P591" s="1" t="s">
        <v>26</v>
      </c>
      <c r="Q591" s="1" t="s">
        <v>26</v>
      </c>
      <c r="R591" s="1" t="s">
        <v>26</v>
      </c>
      <c r="S591" s="2">
        <v>0</v>
      </c>
    </row>
    <row r="592" spans="1:19" x14ac:dyDescent="0.3">
      <c r="A592" t="s">
        <v>1210</v>
      </c>
      <c r="B592" s="5" t="e" cm="1">
        <f t="array" ref="B592">MAX(#REF!,MIN(#REF!,#REF!+SUMPRODUCT(--(FoodData[[#This Row],[Healthy]:[Refined]]="Yes"),#REF!)+FoodData[[#This Row],[Adjust]]))</f>
        <v>#REF!</v>
      </c>
      <c r="C592" s="1" t="e">
        <f>LOOKUP(FoodData[[#This Row],[Score]],#REF!,#REF!)</f>
        <v>#REF!</v>
      </c>
      <c r="D592" t="s">
        <v>1153</v>
      </c>
      <c r="E592" t="s">
        <v>28</v>
      </c>
      <c r="F592" t="s">
        <v>60</v>
      </c>
      <c r="G592" t="s">
        <v>23</v>
      </c>
      <c r="H592" t="s">
        <v>1211</v>
      </c>
      <c r="I592" s="1" t="s">
        <v>25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26</v>
      </c>
      <c r="Q592" s="1" t="s">
        <v>26</v>
      </c>
      <c r="R592" s="1" t="s">
        <v>26</v>
      </c>
      <c r="S592" s="2">
        <v>0</v>
      </c>
    </row>
    <row r="593" spans="1:19" x14ac:dyDescent="0.3">
      <c r="A593" t="s">
        <v>1212</v>
      </c>
      <c r="B593" s="5" t="e" cm="1">
        <f t="array" ref="B593">MAX(#REF!,MIN(#REF!,#REF!+SUMPRODUCT(--(FoodData[[#This Row],[Healthy]:[Refined]]="Yes"),#REF!)+FoodData[[#This Row],[Adjust]]))</f>
        <v>#REF!</v>
      </c>
      <c r="C593" s="1" t="e">
        <f>LOOKUP(FoodData[[#This Row],[Score]],#REF!,#REF!)</f>
        <v>#REF!</v>
      </c>
      <c r="D593" t="s">
        <v>1153</v>
      </c>
      <c r="E593" t="s">
        <v>28</v>
      </c>
      <c r="F593" t="s">
        <v>60</v>
      </c>
      <c r="G593" t="s">
        <v>23</v>
      </c>
      <c r="H593" t="s">
        <v>1213</v>
      </c>
      <c r="I593" s="1" t="s">
        <v>25</v>
      </c>
      <c r="J593" s="1" t="s">
        <v>25</v>
      </c>
      <c r="K593" s="1" t="s">
        <v>26</v>
      </c>
      <c r="L593" s="1" t="s">
        <v>25</v>
      </c>
      <c r="M593" s="1" t="s">
        <v>25</v>
      </c>
      <c r="N593" s="1" t="s">
        <v>25</v>
      </c>
      <c r="O593" s="1" t="s">
        <v>25</v>
      </c>
      <c r="P593" s="1" t="s">
        <v>25</v>
      </c>
      <c r="Q593" s="1" t="s">
        <v>25</v>
      </c>
      <c r="R593" s="1" t="s">
        <v>26</v>
      </c>
      <c r="S593" s="2">
        <v>0</v>
      </c>
    </row>
    <row r="594" spans="1:19" x14ac:dyDescent="0.3">
      <c r="A594" t="s">
        <v>1214</v>
      </c>
      <c r="B594" s="5" t="e" cm="1">
        <f t="array" ref="B594">MAX(#REF!,MIN(#REF!,#REF!+SUMPRODUCT(--(FoodData[[#This Row],[Healthy]:[Refined]]="Yes"),#REF!)+FoodData[[#This Row],[Adjust]]))</f>
        <v>#REF!</v>
      </c>
      <c r="C594" s="1" t="e">
        <f>LOOKUP(FoodData[[#This Row],[Score]],#REF!,#REF!)</f>
        <v>#REF!</v>
      </c>
      <c r="D594" t="s">
        <v>1153</v>
      </c>
      <c r="E594" t="s">
        <v>28</v>
      </c>
      <c r="F594" t="s">
        <v>60</v>
      </c>
      <c r="G594" t="s">
        <v>23</v>
      </c>
      <c r="H594" t="s">
        <v>1211</v>
      </c>
      <c r="I594" s="1" t="s">
        <v>25</v>
      </c>
      <c r="J594" s="1" t="s">
        <v>25</v>
      </c>
      <c r="K594" s="1" t="s">
        <v>26</v>
      </c>
      <c r="L594" s="1" t="s">
        <v>25</v>
      </c>
      <c r="M594" s="1" t="s">
        <v>25</v>
      </c>
      <c r="N594" s="1" t="s">
        <v>25</v>
      </c>
      <c r="O594" s="1" t="s">
        <v>25</v>
      </c>
      <c r="P594" s="1" t="s">
        <v>26</v>
      </c>
      <c r="Q594" s="1" t="s">
        <v>26</v>
      </c>
      <c r="R594" s="1" t="s">
        <v>26</v>
      </c>
      <c r="S594" s="2">
        <v>0</v>
      </c>
    </row>
    <row r="595" spans="1:19" x14ac:dyDescent="0.3">
      <c r="A595" t="s">
        <v>1215</v>
      </c>
      <c r="B595" s="5" t="e" cm="1">
        <f t="array" ref="B595">MAX(#REF!,MIN(#REF!,#REF!+SUMPRODUCT(--(FoodData[[#This Row],[Healthy]:[Refined]]="Yes"),#REF!)+FoodData[[#This Row],[Adjust]]))</f>
        <v>#REF!</v>
      </c>
      <c r="C595" s="1" t="e">
        <f>LOOKUP(FoodData[[#This Row],[Score]],#REF!,#REF!)</f>
        <v>#REF!</v>
      </c>
      <c r="D595" t="s">
        <v>1153</v>
      </c>
      <c r="E595" t="s">
        <v>28</v>
      </c>
      <c r="F595" t="s">
        <v>60</v>
      </c>
      <c r="G595" t="s">
        <v>23</v>
      </c>
      <c r="H595" t="s">
        <v>1216</v>
      </c>
      <c r="I595" s="1" t="s">
        <v>25</v>
      </c>
      <c r="J595" s="1" t="s">
        <v>25</v>
      </c>
      <c r="K595" s="1" t="s">
        <v>26</v>
      </c>
      <c r="L595" s="1" t="s">
        <v>25</v>
      </c>
      <c r="M595" s="1" t="s">
        <v>25</v>
      </c>
      <c r="N595" s="1" t="s">
        <v>25</v>
      </c>
      <c r="O595" s="1" t="s">
        <v>25</v>
      </c>
      <c r="P595" s="1" t="s">
        <v>26</v>
      </c>
      <c r="Q595" s="1" t="s">
        <v>25</v>
      </c>
      <c r="R595" s="1" t="s">
        <v>25</v>
      </c>
      <c r="S595" s="2">
        <v>0</v>
      </c>
    </row>
    <row r="596" spans="1:19" x14ac:dyDescent="0.3">
      <c r="A596" t="s">
        <v>1217</v>
      </c>
      <c r="B596" s="5" t="e" cm="1">
        <f t="array" ref="B596">MAX(#REF!,MIN(#REF!,#REF!+SUMPRODUCT(--(FoodData[[#This Row],[Healthy]:[Refined]]="Yes"),#REF!)+FoodData[[#This Row],[Adjust]]))</f>
        <v>#REF!</v>
      </c>
      <c r="C596" s="1" t="e">
        <f>LOOKUP(FoodData[[#This Row],[Score]],#REF!,#REF!)</f>
        <v>#REF!</v>
      </c>
      <c r="D596" t="s">
        <v>1153</v>
      </c>
      <c r="E596" t="s">
        <v>28</v>
      </c>
      <c r="F596" t="s">
        <v>60</v>
      </c>
      <c r="G596" t="s">
        <v>23</v>
      </c>
      <c r="H596" t="s">
        <v>1218</v>
      </c>
      <c r="I596" s="1" t="s">
        <v>25</v>
      </c>
      <c r="J596" s="1" t="s">
        <v>25</v>
      </c>
      <c r="K596" s="1" t="s">
        <v>26</v>
      </c>
      <c r="L596" s="1" t="s">
        <v>26</v>
      </c>
      <c r="M596" s="1" t="s">
        <v>25</v>
      </c>
      <c r="N596" s="1" t="s">
        <v>25</v>
      </c>
      <c r="O596" s="1" t="s">
        <v>25</v>
      </c>
      <c r="P596" s="1" t="s">
        <v>25</v>
      </c>
      <c r="Q596" s="1" t="s">
        <v>25</v>
      </c>
      <c r="R596" s="1" t="s">
        <v>26</v>
      </c>
      <c r="S596" s="2">
        <v>0</v>
      </c>
    </row>
    <row r="597" spans="1:19" x14ac:dyDescent="0.3">
      <c r="A597" t="s">
        <v>1219</v>
      </c>
      <c r="B597" s="5" t="e" cm="1">
        <f t="array" ref="B597">MAX(#REF!,MIN(#REF!,#REF!+SUMPRODUCT(--(FoodData[[#This Row],[Healthy]:[Refined]]="Yes"),#REF!)+FoodData[[#This Row],[Adjust]]))</f>
        <v>#REF!</v>
      </c>
      <c r="C597" s="1" t="e">
        <f>LOOKUP(FoodData[[#This Row],[Score]],#REF!,#REF!)</f>
        <v>#REF!</v>
      </c>
      <c r="D597" t="s">
        <v>1153</v>
      </c>
      <c r="E597" t="s">
        <v>28</v>
      </c>
      <c r="F597" t="s">
        <v>60</v>
      </c>
      <c r="G597" t="s">
        <v>23</v>
      </c>
      <c r="H597" t="s">
        <v>1220</v>
      </c>
      <c r="I597" s="1" t="s">
        <v>25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25</v>
      </c>
      <c r="O597" s="1" t="s">
        <v>26</v>
      </c>
      <c r="P597" s="1" t="s">
        <v>25</v>
      </c>
      <c r="Q597" s="1" t="s">
        <v>26</v>
      </c>
      <c r="R597" s="1" t="s">
        <v>26</v>
      </c>
      <c r="S597" s="2">
        <v>0</v>
      </c>
    </row>
    <row r="598" spans="1:19" x14ac:dyDescent="0.3">
      <c r="A598" t="s">
        <v>1221</v>
      </c>
      <c r="B598" s="5" t="e" cm="1">
        <f t="array" ref="B598">MAX(#REF!,MIN(#REF!,#REF!+SUMPRODUCT(--(FoodData[[#This Row],[Healthy]:[Refined]]="Yes"),#REF!)+FoodData[[#This Row],[Adjust]]))</f>
        <v>#REF!</v>
      </c>
      <c r="C598" s="1" t="e">
        <f>LOOKUP(FoodData[[#This Row],[Score]],#REF!,#REF!)</f>
        <v>#REF!</v>
      </c>
      <c r="D598" t="s">
        <v>1153</v>
      </c>
      <c r="E598" t="s">
        <v>199</v>
      </c>
      <c r="F598" t="s">
        <v>60</v>
      </c>
      <c r="G598" t="s">
        <v>23</v>
      </c>
      <c r="H598" t="s">
        <v>1222</v>
      </c>
      <c r="I598" s="1" t="s">
        <v>25</v>
      </c>
      <c r="J598" s="1" t="s">
        <v>25</v>
      </c>
      <c r="K598" s="1" t="s">
        <v>26</v>
      </c>
      <c r="L598" s="1" t="s">
        <v>25</v>
      </c>
      <c r="M598" s="1" t="s">
        <v>25</v>
      </c>
      <c r="N598" s="1" t="s">
        <v>26</v>
      </c>
      <c r="O598" s="1" t="s">
        <v>25</v>
      </c>
      <c r="P598" s="1" t="s">
        <v>26</v>
      </c>
      <c r="Q598" s="1" t="s">
        <v>26</v>
      </c>
      <c r="R598" s="1" t="s">
        <v>26</v>
      </c>
      <c r="S598" s="2">
        <v>0</v>
      </c>
    </row>
    <row r="599" spans="1:19" x14ac:dyDescent="0.3">
      <c r="A599" t="s">
        <v>1223</v>
      </c>
      <c r="B599" s="5" t="e" cm="1">
        <f t="array" ref="B599">MAX(#REF!,MIN(#REF!,#REF!+SUMPRODUCT(--(FoodData[[#This Row],[Healthy]:[Refined]]="Yes"),#REF!)+FoodData[[#This Row],[Adjust]]))</f>
        <v>#REF!</v>
      </c>
      <c r="C599" s="1" t="e">
        <f>LOOKUP(FoodData[[#This Row],[Score]],#REF!,#REF!)</f>
        <v>#REF!</v>
      </c>
      <c r="D599" t="s">
        <v>1153</v>
      </c>
      <c r="E599" t="s">
        <v>28</v>
      </c>
      <c r="F599" t="s">
        <v>60</v>
      </c>
      <c r="G599" t="s">
        <v>23</v>
      </c>
      <c r="H599" t="s">
        <v>1224</v>
      </c>
      <c r="I599" s="1" t="s">
        <v>25</v>
      </c>
      <c r="J599" s="1" t="s">
        <v>25</v>
      </c>
      <c r="K599" s="1" t="s">
        <v>26</v>
      </c>
      <c r="L599" s="1" t="s">
        <v>25</v>
      </c>
      <c r="M599" s="1" t="s">
        <v>25</v>
      </c>
      <c r="N599" s="1" t="s">
        <v>26</v>
      </c>
      <c r="O599" s="1" t="s">
        <v>25</v>
      </c>
      <c r="P599" s="1" t="s">
        <v>26</v>
      </c>
      <c r="Q599" s="1" t="s">
        <v>26</v>
      </c>
      <c r="R599" s="1" t="s">
        <v>25</v>
      </c>
      <c r="S599" s="2">
        <v>0</v>
      </c>
    </row>
    <row r="600" spans="1:19" x14ac:dyDescent="0.3">
      <c r="A600" t="s">
        <v>1225</v>
      </c>
      <c r="B600" s="5" t="e" cm="1">
        <f t="array" ref="B600">MAX(#REF!,MIN(#REF!,#REF!+SUMPRODUCT(--(FoodData[[#This Row],[Healthy]:[Refined]]="Yes"),#REF!)+FoodData[[#This Row],[Adjust]]))</f>
        <v>#REF!</v>
      </c>
      <c r="C600" s="1" t="e">
        <f>LOOKUP(FoodData[[#This Row],[Score]],#REF!,#REF!)</f>
        <v>#REF!</v>
      </c>
      <c r="D600" t="s">
        <v>1153</v>
      </c>
      <c r="E600" t="s">
        <v>28</v>
      </c>
      <c r="F600" t="s">
        <v>22</v>
      </c>
      <c r="G600" t="s">
        <v>23</v>
      </c>
      <c r="H600" t="s">
        <v>1226</v>
      </c>
      <c r="I600" s="1" t="s">
        <v>25</v>
      </c>
      <c r="J600" s="1" t="s">
        <v>25</v>
      </c>
      <c r="K600" s="1" t="s">
        <v>25</v>
      </c>
      <c r="L600" s="1" t="s">
        <v>25</v>
      </c>
      <c r="M600" s="1" t="s">
        <v>25</v>
      </c>
      <c r="N600" s="1" t="s">
        <v>26</v>
      </c>
      <c r="O600" s="1" t="s">
        <v>25</v>
      </c>
      <c r="P600" s="1" t="s">
        <v>26</v>
      </c>
      <c r="Q600" s="1" t="s">
        <v>25</v>
      </c>
      <c r="R600" s="1" t="s">
        <v>25</v>
      </c>
      <c r="S600" s="2">
        <v>0</v>
      </c>
    </row>
    <row r="601" spans="1:19" x14ac:dyDescent="0.3">
      <c r="A601" t="s">
        <v>1227</v>
      </c>
      <c r="B601" s="5" t="e" cm="1">
        <f t="array" ref="B601">MAX(#REF!,MIN(#REF!,#REF!+SUMPRODUCT(--(FoodData[[#This Row],[Healthy]:[Refined]]="Yes"),#REF!)+FoodData[[#This Row],[Adjust]]))</f>
        <v>#REF!</v>
      </c>
      <c r="C601" s="1" t="e">
        <f>LOOKUP(FoodData[[#This Row],[Score]],#REF!,#REF!)</f>
        <v>#REF!</v>
      </c>
      <c r="D601" t="s">
        <v>1153</v>
      </c>
      <c r="E601" t="s">
        <v>28</v>
      </c>
      <c r="F601" t="s">
        <v>22</v>
      </c>
      <c r="G601" t="s">
        <v>23</v>
      </c>
      <c r="H601" t="s">
        <v>1228</v>
      </c>
      <c r="I601" s="1" t="s">
        <v>25</v>
      </c>
      <c r="J601" s="1" t="s">
        <v>25</v>
      </c>
      <c r="K601" s="1" t="s">
        <v>25</v>
      </c>
      <c r="L601" s="1" t="s">
        <v>26</v>
      </c>
      <c r="M601" s="1" t="s">
        <v>25</v>
      </c>
      <c r="N601" s="1" t="s">
        <v>26</v>
      </c>
      <c r="O601" s="1" t="s">
        <v>25</v>
      </c>
      <c r="P601" s="1" t="s">
        <v>26</v>
      </c>
      <c r="Q601" s="1" t="s">
        <v>25</v>
      </c>
      <c r="R601" s="1" t="s">
        <v>25</v>
      </c>
      <c r="S601" s="2">
        <v>0</v>
      </c>
    </row>
    <row r="602" spans="1:19" x14ac:dyDescent="0.3">
      <c r="A602" t="s">
        <v>1229</v>
      </c>
      <c r="B602" s="5" t="e" cm="1">
        <f t="array" ref="B602">MAX(#REF!,MIN(#REF!,#REF!+SUMPRODUCT(--(FoodData[[#This Row],[Healthy]:[Refined]]="Yes"),#REF!)+FoodData[[#This Row],[Adjust]]))</f>
        <v>#REF!</v>
      </c>
      <c r="C602" s="1" t="e">
        <f>LOOKUP(FoodData[[#This Row],[Score]],#REF!,#REF!)</f>
        <v>#REF!</v>
      </c>
      <c r="D602" t="s">
        <v>1153</v>
      </c>
      <c r="E602" t="s">
        <v>28</v>
      </c>
      <c r="F602" t="s">
        <v>22</v>
      </c>
      <c r="G602" t="s">
        <v>23</v>
      </c>
      <c r="H602" t="s">
        <v>1230</v>
      </c>
      <c r="I602" s="1" t="s">
        <v>25</v>
      </c>
      <c r="J602" s="1" t="s">
        <v>25</v>
      </c>
      <c r="K602" s="1" t="s">
        <v>26</v>
      </c>
      <c r="L602" s="1" t="s">
        <v>25</v>
      </c>
      <c r="M602" s="1" t="s">
        <v>25</v>
      </c>
      <c r="N602" s="1" t="s">
        <v>26</v>
      </c>
      <c r="O602" s="1" t="s">
        <v>25</v>
      </c>
      <c r="P602" s="1" t="s">
        <v>26</v>
      </c>
      <c r="Q602" s="1" t="s">
        <v>25</v>
      </c>
      <c r="R602" s="1" t="s">
        <v>25</v>
      </c>
      <c r="S602" s="2">
        <v>0</v>
      </c>
    </row>
    <row r="603" spans="1:19" x14ac:dyDescent="0.3">
      <c r="A603" t="s">
        <v>1231</v>
      </c>
      <c r="B603" s="5" t="e" cm="1">
        <f t="array" ref="B603">MAX(#REF!,MIN(#REF!,#REF!+SUMPRODUCT(--(FoodData[[#This Row],[Healthy]:[Refined]]="Yes"),#REF!)+FoodData[[#This Row],[Adjust]]))</f>
        <v>#REF!</v>
      </c>
      <c r="C603" s="1" t="e">
        <f>LOOKUP(FoodData[[#This Row],[Score]],#REF!,#REF!)</f>
        <v>#REF!</v>
      </c>
      <c r="D603" t="s">
        <v>1153</v>
      </c>
      <c r="E603" t="s">
        <v>28</v>
      </c>
      <c r="F603" t="s">
        <v>22</v>
      </c>
      <c r="G603" t="s">
        <v>23</v>
      </c>
      <c r="H603" t="s">
        <v>1232</v>
      </c>
      <c r="I603" s="1" t="s">
        <v>25</v>
      </c>
      <c r="J603" s="1" t="s">
        <v>25</v>
      </c>
      <c r="K603" s="1" t="s">
        <v>26</v>
      </c>
      <c r="L603" s="1" t="s">
        <v>25</v>
      </c>
      <c r="M603" s="1" t="s">
        <v>25</v>
      </c>
      <c r="N603" s="1" t="s">
        <v>26</v>
      </c>
      <c r="O603" s="1" t="s">
        <v>25</v>
      </c>
      <c r="P603" s="1" t="s">
        <v>26</v>
      </c>
      <c r="Q603" s="1" t="s">
        <v>25</v>
      </c>
      <c r="R603" s="1" t="s">
        <v>25</v>
      </c>
      <c r="S603" s="2">
        <v>0</v>
      </c>
    </row>
    <row r="604" spans="1:19" x14ac:dyDescent="0.3">
      <c r="A604" t="s">
        <v>1233</v>
      </c>
      <c r="B604" s="5" t="e" cm="1">
        <f t="array" ref="B604">MAX(#REF!,MIN(#REF!,#REF!+SUMPRODUCT(--(FoodData[[#This Row],[Healthy]:[Refined]]="Yes"),#REF!)+FoodData[[#This Row],[Adjust]]))</f>
        <v>#REF!</v>
      </c>
      <c r="C604" s="1" t="e">
        <f>LOOKUP(FoodData[[#This Row],[Score]],#REF!,#REF!)</f>
        <v>#REF!</v>
      </c>
      <c r="D604" t="s">
        <v>1153</v>
      </c>
      <c r="E604" t="s">
        <v>28</v>
      </c>
      <c r="F604" t="s">
        <v>60</v>
      </c>
      <c r="G604" t="s">
        <v>23</v>
      </c>
      <c r="H604" t="s">
        <v>1234</v>
      </c>
      <c r="I604" s="1" t="s">
        <v>25</v>
      </c>
      <c r="J604" s="1" t="s">
        <v>25</v>
      </c>
      <c r="K604" s="1" t="s">
        <v>26</v>
      </c>
      <c r="L604" s="1" t="s">
        <v>25</v>
      </c>
      <c r="M604" s="1" t="s">
        <v>25</v>
      </c>
      <c r="N604" s="1" t="s">
        <v>26</v>
      </c>
      <c r="O604" s="1" t="s">
        <v>25</v>
      </c>
      <c r="P604" s="1" t="s">
        <v>26</v>
      </c>
      <c r="Q604" s="1" t="s">
        <v>26</v>
      </c>
      <c r="R604" s="1" t="s">
        <v>25</v>
      </c>
      <c r="S604" s="2">
        <v>0</v>
      </c>
    </row>
    <row r="605" spans="1:19" x14ac:dyDescent="0.3">
      <c r="A605" t="s">
        <v>1235</v>
      </c>
      <c r="B605" s="5" t="e" cm="1">
        <f t="array" ref="B605">MAX(#REF!,MIN(#REF!,#REF!+SUMPRODUCT(--(FoodData[[#This Row],[Healthy]:[Refined]]="Yes"),#REF!)+FoodData[[#This Row],[Adjust]]))</f>
        <v>#REF!</v>
      </c>
      <c r="C605" s="1" t="e">
        <f>LOOKUP(FoodData[[#This Row],[Score]],#REF!,#REF!)</f>
        <v>#REF!</v>
      </c>
      <c r="D605" t="s">
        <v>1153</v>
      </c>
      <c r="E605" t="s">
        <v>28</v>
      </c>
      <c r="F605" t="s">
        <v>22</v>
      </c>
      <c r="G605" t="s">
        <v>23</v>
      </c>
      <c r="H605" t="s">
        <v>1236</v>
      </c>
      <c r="I605" s="1" t="s">
        <v>25</v>
      </c>
      <c r="J605" s="1" t="s">
        <v>25</v>
      </c>
      <c r="K605" s="1" t="s">
        <v>25</v>
      </c>
      <c r="L605" s="1" t="s">
        <v>25</v>
      </c>
      <c r="M605" s="1" t="s">
        <v>25</v>
      </c>
      <c r="N605" s="1" t="s">
        <v>26</v>
      </c>
      <c r="O605" s="1" t="s">
        <v>25</v>
      </c>
      <c r="P605" s="1" t="s">
        <v>26</v>
      </c>
      <c r="Q605" s="1" t="s">
        <v>25</v>
      </c>
      <c r="R605" s="1" t="s">
        <v>25</v>
      </c>
      <c r="S605" s="2">
        <v>0</v>
      </c>
    </row>
    <row r="606" spans="1:19" x14ac:dyDescent="0.3">
      <c r="A606" t="s">
        <v>1237</v>
      </c>
      <c r="B606" s="5" t="e" cm="1">
        <f t="array" ref="B606">MAX(#REF!,MIN(#REF!,#REF!+SUMPRODUCT(--(FoodData[[#This Row],[Healthy]:[Refined]]="Yes"),#REF!)+FoodData[[#This Row],[Adjust]]))</f>
        <v>#REF!</v>
      </c>
      <c r="C606" s="1" t="e">
        <f>LOOKUP(FoodData[[#This Row],[Score]],#REF!,#REF!)</f>
        <v>#REF!</v>
      </c>
      <c r="D606" t="s">
        <v>1153</v>
      </c>
      <c r="E606" t="s">
        <v>28</v>
      </c>
      <c r="F606" t="s">
        <v>60</v>
      </c>
      <c r="G606" t="s">
        <v>23</v>
      </c>
      <c r="H606" t="s">
        <v>1238</v>
      </c>
      <c r="I606" s="1" t="s">
        <v>25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26</v>
      </c>
      <c r="O606" s="1" t="s">
        <v>26</v>
      </c>
      <c r="P606" s="1" t="s">
        <v>25</v>
      </c>
      <c r="Q606" s="1" t="s">
        <v>26</v>
      </c>
      <c r="R606" s="1" t="s">
        <v>26</v>
      </c>
      <c r="S606" s="2">
        <v>0</v>
      </c>
    </row>
    <row r="607" spans="1:19" x14ac:dyDescent="0.3">
      <c r="A607" t="s">
        <v>1239</v>
      </c>
      <c r="B607" s="5" t="e" cm="1">
        <f t="array" ref="B607">MAX(#REF!,MIN(#REF!,#REF!+SUMPRODUCT(--(FoodData[[#This Row],[Healthy]:[Refined]]="Yes"),#REF!)+FoodData[[#This Row],[Adjust]]))</f>
        <v>#REF!</v>
      </c>
      <c r="C607" s="1" t="e">
        <f>LOOKUP(FoodData[[#This Row],[Score]],#REF!,#REF!)</f>
        <v>#REF!</v>
      </c>
      <c r="D607" t="s">
        <v>1153</v>
      </c>
      <c r="E607" t="s">
        <v>28</v>
      </c>
      <c r="F607" t="s">
        <v>60</v>
      </c>
      <c r="G607" t="s">
        <v>23</v>
      </c>
      <c r="H607" t="s">
        <v>1240</v>
      </c>
      <c r="I607" s="1" t="s">
        <v>25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26</v>
      </c>
      <c r="O607" s="1" t="s">
        <v>25</v>
      </c>
      <c r="P607" s="1" t="s">
        <v>26</v>
      </c>
      <c r="Q607" s="1" t="s">
        <v>26</v>
      </c>
      <c r="R607" s="1" t="s">
        <v>25</v>
      </c>
      <c r="S607" s="2">
        <v>0</v>
      </c>
    </row>
    <row r="608" spans="1:19" x14ac:dyDescent="0.3">
      <c r="A608" t="s">
        <v>1241</v>
      </c>
      <c r="B608" s="5" t="e" cm="1">
        <f t="array" ref="B608">MAX(#REF!,MIN(#REF!,#REF!+SUMPRODUCT(--(FoodData[[#This Row],[Healthy]:[Refined]]="Yes"),#REF!)+FoodData[[#This Row],[Adjust]]))</f>
        <v>#REF!</v>
      </c>
      <c r="C608" s="1" t="e">
        <f>LOOKUP(FoodData[[#This Row],[Score]],#REF!,#REF!)</f>
        <v>#REF!</v>
      </c>
      <c r="D608" t="s">
        <v>1153</v>
      </c>
      <c r="E608" t="s">
        <v>28</v>
      </c>
      <c r="F608" t="s">
        <v>60</v>
      </c>
      <c r="G608" t="s">
        <v>23</v>
      </c>
      <c r="H608" t="s">
        <v>1242</v>
      </c>
      <c r="I608" s="1" t="s">
        <v>25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26</v>
      </c>
      <c r="O608" s="1" t="s">
        <v>25</v>
      </c>
      <c r="P608" s="1" t="s">
        <v>25</v>
      </c>
      <c r="Q608" s="1" t="s">
        <v>26</v>
      </c>
      <c r="R608" s="1" t="s">
        <v>26</v>
      </c>
      <c r="S608" s="2">
        <v>0</v>
      </c>
    </row>
    <row r="609" spans="1:19" x14ac:dyDescent="0.3">
      <c r="A609" t="s">
        <v>1243</v>
      </c>
      <c r="B609" s="5" t="e" cm="1">
        <f t="array" ref="B609">MAX(#REF!,MIN(#REF!,#REF!+SUMPRODUCT(--(FoodData[[#This Row],[Healthy]:[Refined]]="Yes"),#REF!)+FoodData[[#This Row],[Adjust]]))</f>
        <v>#REF!</v>
      </c>
      <c r="C609" s="1" t="e">
        <f>LOOKUP(FoodData[[#This Row],[Score]],#REF!,#REF!)</f>
        <v>#REF!</v>
      </c>
      <c r="D609" t="s">
        <v>1153</v>
      </c>
      <c r="E609" t="s">
        <v>28</v>
      </c>
      <c r="F609" t="s">
        <v>60</v>
      </c>
      <c r="G609" t="s">
        <v>23</v>
      </c>
      <c r="H609" t="s">
        <v>1244</v>
      </c>
      <c r="I609" s="1" t="s">
        <v>25</v>
      </c>
      <c r="J609" s="1" t="s">
        <v>25</v>
      </c>
      <c r="K609" s="1" t="s">
        <v>26</v>
      </c>
      <c r="L609" s="1" t="s">
        <v>25</v>
      </c>
      <c r="M609" s="1" t="s">
        <v>25</v>
      </c>
      <c r="N609" s="1" t="s">
        <v>26</v>
      </c>
      <c r="O609" s="1" t="s">
        <v>25</v>
      </c>
      <c r="P609" s="1" t="s">
        <v>25</v>
      </c>
      <c r="Q609" s="1" t="s">
        <v>25</v>
      </c>
      <c r="R609" s="1" t="s">
        <v>25</v>
      </c>
      <c r="S609" s="2">
        <v>0</v>
      </c>
    </row>
    <row r="610" spans="1:19" x14ac:dyDescent="0.3">
      <c r="A610" t="s">
        <v>1245</v>
      </c>
      <c r="B610" s="5" t="e" cm="1">
        <f t="array" ref="B610">MAX(#REF!,MIN(#REF!,#REF!+SUMPRODUCT(--(FoodData[[#This Row],[Healthy]:[Refined]]="Yes"),#REF!)+FoodData[[#This Row],[Adjust]]))</f>
        <v>#REF!</v>
      </c>
      <c r="C610" s="1" t="e">
        <f>LOOKUP(FoodData[[#This Row],[Score]],#REF!,#REF!)</f>
        <v>#REF!</v>
      </c>
      <c r="D610" t="s">
        <v>1153</v>
      </c>
      <c r="E610" t="s">
        <v>28</v>
      </c>
      <c r="F610" t="s">
        <v>22</v>
      </c>
      <c r="G610" t="s">
        <v>23</v>
      </c>
      <c r="H610" t="s">
        <v>1246</v>
      </c>
      <c r="I610" s="1" t="s">
        <v>25</v>
      </c>
      <c r="J610" s="1" t="s">
        <v>25</v>
      </c>
      <c r="K610" s="1" t="s">
        <v>25</v>
      </c>
      <c r="L610" s="1" t="s">
        <v>26</v>
      </c>
      <c r="M610" s="1" t="s">
        <v>25</v>
      </c>
      <c r="N610" s="1" t="s">
        <v>25</v>
      </c>
      <c r="O610" s="1" t="s">
        <v>26</v>
      </c>
      <c r="P610" s="1" t="s">
        <v>25</v>
      </c>
      <c r="Q610" s="1" t="s">
        <v>26</v>
      </c>
      <c r="R610" s="1" t="s">
        <v>26</v>
      </c>
      <c r="S610" s="2">
        <v>0</v>
      </c>
    </row>
    <row r="611" spans="1:19" x14ac:dyDescent="0.3">
      <c r="A611" t="s">
        <v>1247</v>
      </c>
      <c r="B611" s="5" t="e" cm="1">
        <f t="array" ref="B611">MAX(#REF!,MIN(#REF!,#REF!+SUMPRODUCT(--(FoodData[[#This Row],[Healthy]:[Refined]]="Yes"),#REF!)+FoodData[[#This Row],[Adjust]]))</f>
        <v>#REF!</v>
      </c>
      <c r="C611" s="1" t="e">
        <f>LOOKUP(FoodData[[#This Row],[Score]],#REF!,#REF!)</f>
        <v>#REF!</v>
      </c>
      <c r="D611" t="s">
        <v>1153</v>
      </c>
      <c r="E611" t="s">
        <v>28</v>
      </c>
      <c r="F611" t="s">
        <v>60</v>
      </c>
      <c r="G611" t="s">
        <v>23</v>
      </c>
      <c r="H611" t="s">
        <v>1248</v>
      </c>
      <c r="I611" s="1" t="s">
        <v>25</v>
      </c>
      <c r="J611" s="1" t="s">
        <v>25</v>
      </c>
      <c r="K611" s="1" t="s">
        <v>26</v>
      </c>
      <c r="L611" s="1" t="s">
        <v>25</v>
      </c>
      <c r="M611" s="1" t="s">
        <v>25</v>
      </c>
      <c r="N611" s="1" t="s">
        <v>26</v>
      </c>
      <c r="O611" s="1" t="s">
        <v>25</v>
      </c>
      <c r="P611" s="1" t="s">
        <v>26</v>
      </c>
      <c r="Q611" s="1" t="s">
        <v>26</v>
      </c>
      <c r="R611" s="1" t="s">
        <v>26</v>
      </c>
      <c r="S611" s="2">
        <v>0</v>
      </c>
    </row>
    <row r="612" spans="1:19" x14ac:dyDescent="0.3">
      <c r="A612" t="s">
        <v>1249</v>
      </c>
      <c r="B612" s="5" t="e" cm="1">
        <f t="array" ref="B612">MAX(#REF!,MIN(#REF!,#REF!+SUMPRODUCT(--(FoodData[[#This Row],[Healthy]:[Refined]]="Yes"),#REF!)+FoodData[[#This Row],[Adjust]]))</f>
        <v>#REF!</v>
      </c>
      <c r="C612" s="1" t="e">
        <f>LOOKUP(FoodData[[#This Row],[Score]],#REF!,#REF!)</f>
        <v>#REF!</v>
      </c>
      <c r="D612" t="s">
        <v>1153</v>
      </c>
      <c r="E612" t="s">
        <v>63</v>
      </c>
      <c r="F612" t="s">
        <v>22</v>
      </c>
      <c r="G612" t="s">
        <v>29</v>
      </c>
      <c r="H612" t="s">
        <v>1250</v>
      </c>
      <c r="I612" s="1" t="s">
        <v>25</v>
      </c>
      <c r="J612" s="1" t="s">
        <v>25</v>
      </c>
      <c r="K612" s="1" t="s">
        <v>25</v>
      </c>
      <c r="L612" s="1" t="s">
        <v>25</v>
      </c>
      <c r="M612" s="1" t="s">
        <v>25</v>
      </c>
      <c r="N612" s="1" t="s">
        <v>26</v>
      </c>
      <c r="O612" s="1" t="s">
        <v>25</v>
      </c>
      <c r="P612" s="1" t="s">
        <v>26</v>
      </c>
      <c r="Q612" s="1" t="s">
        <v>26</v>
      </c>
      <c r="R612" s="1" t="s">
        <v>25</v>
      </c>
      <c r="S612" s="2">
        <v>0</v>
      </c>
    </row>
    <row r="613" spans="1:19" x14ac:dyDescent="0.3">
      <c r="A613" t="s">
        <v>1251</v>
      </c>
      <c r="B613" s="5" t="e" cm="1">
        <f t="array" ref="B613">MAX(#REF!,MIN(#REF!,#REF!+SUMPRODUCT(--(FoodData[[#This Row],[Healthy]:[Refined]]="Yes"),#REF!)+FoodData[[#This Row],[Adjust]]))</f>
        <v>#REF!</v>
      </c>
      <c r="C613" s="1" t="e">
        <f>LOOKUP(FoodData[[#This Row],[Score]],#REF!,#REF!)</f>
        <v>#REF!</v>
      </c>
      <c r="D613" t="s">
        <v>1153</v>
      </c>
      <c r="E613" t="s">
        <v>28</v>
      </c>
      <c r="F613" t="s">
        <v>60</v>
      </c>
      <c r="G613" t="s">
        <v>23</v>
      </c>
      <c r="H613" t="s">
        <v>1252</v>
      </c>
      <c r="I613" s="1" t="s">
        <v>25</v>
      </c>
      <c r="J613" s="1" t="s">
        <v>25</v>
      </c>
      <c r="K613" s="1" t="s">
        <v>26</v>
      </c>
      <c r="L613" s="1" t="s">
        <v>25</v>
      </c>
      <c r="M613" s="1" t="s">
        <v>25</v>
      </c>
      <c r="N613" s="1" t="s">
        <v>25</v>
      </c>
      <c r="O613" s="1" t="s">
        <v>25</v>
      </c>
      <c r="P613" s="1" t="s">
        <v>26</v>
      </c>
      <c r="Q613" s="1" t="s">
        <v>26</v>
      </c>
      <c r="R613" s="1" t="s">
        <v>26</v>
      </c>
      <c r="S613" s="2">
        <v>0</v>
      </c>
    </row>
    <row r="614" spans="1:19" x14ac:dyDescent="0.3">
      <c r="A614" t="s">
        <v>1253</v>
      </c>
      <c r="B614" s="5" t="e" cm="1">
        <f t="array" ref="B614">MAX(#REF!,MIN(#REF!,#REF!+SUMPRODUCT(--(FoodData[[#This Row],[Healthy]:[Refined]]="Yes"),#REF!)+FoodData[[#This Row],[Adjust]]))</f>
        <v>#REF!</v>
      </c>
      <c r="C614" s="1" t="e">
        <f>LOOKUP(FoodData[[#This Row],[Score]],#REF!,#REF!)</f>
        <v>#REF!</v>
      </c>
      <c r="D614" t="s">
        <v>1153</v>
      </c>
      <c r="E614" t="s">
        <v>63</v>
      </c>
      <c r="F614" t="s">
        <v>22</v>
      </c>
      <c r="G614" t="s">
        <v>23</v>
      </c>
      <c r="H614" t="s">
        <v>1254</v>
      </c>
      <c r="I614" s="1" t="s">
        <v>25</v>
      </c>
      <c r="J614" s="1" t="s">
        <v>25</v>
      </c>
      <c r="K614" s="1" t="s">
        <v>25</v>
      </c>
      <c r="L614" s="1" t="s">
        <v>26</v>
      </c>
      <c r="M614" s="1" t="s">
        <v>25</v>
      </c>
      <c r="N614" s="1" t="s">
        <v>26</v>
      </c>
      <c r="O614" s="1" t="s">
        <v>25</v>
      </c>
      <c r="P614" s="1" t="s">
        <v>26</v>
      </c>
      <c r="Q614" s="1" t="s">
        <v>26</v>
      </c>
      <c r="R614" s="1" t="s">
        <v>26</v>
      </c>
      <c r="S614" s="2">
        <v>0</v>
      </c>
    </row>
    <row r="615" spans="1:19" x14ac:dyDescent="0.3">
      <c r="A615" t="s">
        <v>1255</v>
      </c>
      <c r="B615" s="5" t="e" cm="1">
        <f t="array" ref="B615">MAX(#REF!,MIN(#REF!,#REF!+SUMPRODUCT(--(FoodData[[#This Row],[Healthy]:[Refined]]="Yes"),#REF!)+FoodData[[#This Row],[Adjust]]))</f>
        <v>#REF!</v>
      </c>
      <c r="C615" s="1" t="e">
        <f>LOOKUP(FoodData[[#This Row],[Score]],#REF!,#REF!)</f>
        <v>#REF!</v>
      </c>
      <c r="D615" t="s">
        <v>1153</v>
      </c>
      <c r="E615" t="s">
        <v>28</v>
      </c>
      <c r="F615" t="s">
        <v>22</v>
      </c>
      <c r="G615" t="s">
        <v>23</v>
      </c>
      <c r="H615" t="s">
        <v>1256</v>
      </c>
      <c r="I615" s="1" t="s">
        <v>25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25</v>
      </c>
      <c r="O615" s="1" t="s">
        <v>26</v>
      </c>
      <c r="P615" s="1" t="s">
        <v>25</v>
      </c>
      <c r="Q615" s="1" t="s">
        <v>26</v>
      </c>
      <c r="R615" s="1" t="s">
        <v>26</v>
      </c>
      <c r="S615" s="2">
        <v>0</v>
      </c>
    </row>
    <row r="616" spans="1:19" x14ac:dyDescent="0.3">
      <c r="A616" t="s">
        <v>1257</v>
      </c>
      <c r="B616" s="5" t="e" cm="1">
        <f t="array" ref="B616">MAX(#REF!,MIN(#REF!,#REF!+SUMPRODUCT(--(FoodData[[#This Row],[Healthy]:[Refined]]="Yes"),#REF!)+FoodData[[#This Row],[Adjust]]))</f>
        <v>#REF!</v>
      </c>
      <c r="C616" s="1" t="e">
        <f>LOOKUP(FoodData[[#This Row],[Score]],#REF!,#REF!)</f>
        <v>#REF!</v>
      </c>
      <c r="D616" t="s">
        <v>1153</v>
      </c>
      <c r="E616" t="s">
        <v>28</v>
      </c>
      <c r="F616" t="s">
        <v>60</v>
      </c>
      <c r="G616" t="s">
        <v>23</v>
      </c>
      <c r="H616" t="s">
        <v>1258</v>
      </c>
      <c r="I616" s="1" t="s">
        <v>25</v>
      </c>
      <c r="J616" s="1" t="s">
        <v>25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26</v>
      </c>
      <c r="P616" s="1" t="s">
        <v>25</v>
      </c>
      <c r="Q616" s="1" t="s">
        <v>25</v>
      </c>
      <c r="R616" s="1" t="s">
        <v>25</v>
      </c>
      <c r="S616" s="2">
        <v>0</v>
      </c>
    </row>
    <row r="617" spans="1:19" x14ac:dyDescent="0.3">
      <c r="A617" t="s">
        <v>1259</v>
      </c>
      <c r="B617" s="5" t="e" cm="1">
        <f t="array" ref="B617">MAX(#REF!,MIN(#REF!,#REF!+SUMPRODUCT(--(FoodData[[#This Row],[Healthy]:[Refined]]="Yes"),#REF!)+FoodData[[#This Row],[Adjust]]))</f>
        <v>#REF!</v>
      </c>
      <c r="C617" s="1" t="e">
        <f>LOOKUP(FoodData[[#This Row],[Score]],#REF!,#REF!)</f>
        <v>#REF!</v>
      </c>
      <c r="D617" t="s">
        <v>1153</v>
      </c>
      <c r="E617" t="s">
        <v>199</v>
      </c>
      <c r="F617" t="s">
        <v>22</v>
      </c>
      <c r="G617" t="s">
        <v>23</v>
      </c>
      <c r="H617" t="s">
        <v>1260</v>
      </c>
      <c r="I617" s="1" t="s">
        <v>25</v>
      </c>
      <c r="J617" s="1" t="s">
        <v>25</v>
      </c>
      <c r="K617" s="1" t="s">
        <v>26</v>
      </c>
      <c r="L617" s="1" t="s">
        <v>26</v>
      </c>
      <c r="M617" s="1" t="s">
        <v>25</v>
      </c>
      <c r="N617" s="1" t="s">
        <v>26</v>
      </c>
      <c r="O617" s="1" t="s">
        <v>25</v>
      </c>
      <c r="P617" s="1" t="s">
        <v>26</v>
      </c>
      <c r="Q617" s="1" t="s">
        <v>26</v>
      </c>
      <c r="R617" s="1" t="s">
        <v>26</v>
      </c>
      <c r="S617" s="2">
        <v>0</v>
      </c>
    </row>
    <row r="618" spans="1:19" x14ac:dyDescent="0.3">
      <c r="A618" t="s">
        <v>1261</v>
      </c>
      <c r="B618" s="5" t="e" cm="1">
        <f t="array" ref="B618">MAX(#REF!,MIN(#REF!,#REF!+SUMPRODUCT(--(FoodData[[#This Row],[Healthy]:[Refined]]="Yes"),#REF!)+FoodData[[#This Row],[Adjust]]))</f>
        <v>#REF!</v>
      </c>
      <c r="C618" s="1" t="e">
        <f>LOOKUP(FoodData[[#This Row],[Score]],#REF!,#REF!)</f>
        <v>#REF!</v>
      </c>
      <c r="D618" t="s">
        <v>1153</v>
      </c>
      <c r="E618" t="s">
        <v>28</v>
      </c>
      <c r="F618" t="s">
        <v>60</v>
      </c>
      <c r="G618" t="s">
        <v>23</v>
      </c>
      <c r="H618" t="s">
        <v>1262</v>
      </c>
      <c r="I618" s="1" t="s">
        <v>25</v>
      </c>
      <c r="J618" s="1" t="s">
        <v>25</v>
      </c>
      <c r="K618" s="1" t="s">
        <v>26</v>
      </c>
      <c r="L618" s="1" t="s">
        <v>25</v>
      </c>
      <c r="M618" s="1" t="s">
        <v>25</v>
      </c>
      <c r="N618" s="1" t="s">
        <v>26</v>
      </c>
      <c r="O618" s="1" t="s">
        <v>25</v>
      </c>
      <c r="P618" s="1" t="s">
        <v>25</v>
      </c>
      <c r="Q618" s="1" t="s">
        <v>25</v>
      </c>
      <c r="R618" s="1" t="s">
        <v>25</v>
      </c>
      <c r="S618" s="2">
        <v>0</v>
      </c>
    </row>
    <row r="619" spans="1:19" x14ac:dyDescent="0.3">
      <c r="A619" t="s">
        <v>1263</v>
      </c>
      <c r="B619" s="5" t="e" cm="1">
        <f t="array" ref="B619">MAX(#REF!,MIN(#REF!,#REF!+SUMPRODUCT(--(FoodData[[#This Row],[Healthy]:[Refined]]="Yes"),#REF!)+FoodData[[#This Row],[Adjust]]))</f>
        <v>#REF!</v>
      </c>
      <c r="C619" s="1" t="e">
        <f>LOOKUP(FoodData[[#This Row],[Score]],#REF!,#REF!)</f>
        <v>#REF!</v>
      </c>
      <c r="D619" t="s">
        <v>1153</v>
      </c>
      <c r="E619" t="s">
        <v>28</v>
      </c>
      <c r="F619" t="s">
        <v>22</v>
      </c>
      <c r="G619" t="s">
        <v>23</v>
      </c>
      <c r="H619" t="s">
        <v>1264</v>
      </c>
      <c r="I619" s="1" t="s">
        <v>25</v>
      </c>
      <c r="J619" s="1" t="s">
        <v>25</v>
      </c>
      <c r="K619" s="1" t="s">
        <v>26</v>
      </c>
      <c r="L619" s="1" t="s">
        <v>26</v>
      </c>
      <c r="M619" s="1" t="s">
        <v>25</v>
      </c>
      <c r="N619" s="1" t="s">
        <v>26</v>
      </c>
      <c r="O619" s="1" t="s">
        <v>25</v>
      </c>
      <c r="P619" s="1" t="s">
        <v>25</v>
      </c>
      <c r="Q619" s="1" t="s">
        <v>26</v>
      </c>
      <c r="R619" s="1" t="s">
        <v>26</v>
      </c>
      <c r="S619" s="2">
        <v>0</v>
      </c>
    </row>
    <row r="620" spans="1:19" x14ac:dyDescent="0.3">
      <c r="A620" t="s">
        <v>1265</v>
      </c>
      <c r="B620" s="5" t="e" cm="1">
        <f t="array" ref="B620">MAX(#REF!,MIN(#REF!,#REF!+SUMPRODUCT(--(FoodData[[#This Row],[Healthy]:[Refined]]="Yes"),#REF!)+FoodData[[#This Row],[Adjust]]))</f>
        <v>#REF!</v>
      </c>
      <c r="C620" s="1" t="e">
        <f>LOOKUP(FoodData[[#This Row],[Score]],#REF!,#REF!)</f>
        <v>#REF!</v>
      </c>
      <c r="D620" t="s">
        <v>1153</v>
      </c>
      <c r="E620" t="s">
        <v>28</v>
      </c>
      <c r="F620" t="s">
        <v>22</v>
      </c>
      <c r="G620" t="s">
        <v>23</v>
      </c>
      <c r="H620" t="s">
        <v>1266</v>
      </c>
      <c r="I620" s="1" t="s">
        <v>25</v>
      </c>
      <c r="J620" s="1" t="s">
        <v>25</v>
      </c>
      <c r="K620" s="1" t="s">
        <v>25</v>
      </c>
      <c r="L620" s="1" t="s">
        <v>25</v>
      </c>
      <c r="M620" s="1" t="s">
        <v>26</v>
      </c>
      <c r="N620" s="1" t="s">
        <v>26</v>
      </c>
      <c r="O620" s="1" t="s">
        <v>25</v>
      </c>
      <c r="P620" s="1" t="s">
        <v>26</v>
      </c>
      <c r="Q620" s="1" t="s">
        <v>26</v>
      </c>
      <c r="R620" s="1" t="s">
        <v>25</v>
      </c>
      <c r="S620" s="2">
        <v>0</v>
      </c>
    </row>
    <row r="621" spans="1:19" x14ac:dyDescent="0.3">
      <c r="A621" t="s">
        <v>1267</v>
      </c>
      <c r="B621" s="5" t="e" cm="1">
        <f t="array" ref="B621">MAX(#REF!,MIN(#REF!,#REF!+SUMPRODUCT(--(FoodData[[#This Row],[Healthy]:[Refined]]="Yes"),#REF!)+FoodData[[#This Row],[Adjust]]))</f>
        <v>#REF!</v>
      </c>
      <c r="C621" s="1" t="e">
        <f>LOOKUP(FoodData[[#This Row],[Score]],#REF!,#REF!)</f>
        <v>#REF!</v>
      </c>
      <c r="D621" t="s">
        <v>1153</v>
      </c>
      <c r="E621" t="s">
        <v>199</v>
      </c>
      <c r="F621" t="s">
        <v>22</v>
      </c>
      <c r="G621" t="s">
        <v>162</v>
      </c>
      <c r="H621" t="s">
        <v>1268</v>
      </c>
      <c r="I621" s="1" t="s">
        <v>25</v>
      </c>
      <c r="J621" s="1" t="s">
        <v>25</v>
      </c>
      <c r="K621" s="1" t="s">
        <v>25</v>
      </c>
      <c r="L621" s="1" t="s">
        <v>26</v>
      </c>
      <c r="M621" s="1" t="s">
        <v>25</v>
      </c>
      <c r="N621" s="1" t="s">
        <v>25</v>
      </c>
      <c r="O621" s="1" t="s">
        <v>25</v>
      </c>
      <c r="P621" s="1" t="s">
        <v>25</v>
      </c>
      <c r="Q621" s="1" t="s">
        <v>25</v>
      </c>
      <c r="R621" s="1" t="s">
        <v>25</v>
      </c>
      <c r="S621" s="2">
        <v>0</v>
      </c>
    </row>
    <row r="622" spans="1:19" x14ac:dyDescent="0.3">
      <c r="A622" t="s">
        <v>1269</v>
      </c>
      <c r="B622" s="5" t="e" cm="1">
        <f t="array" ref="B622">MAX(#REF!,MIN(#REF!,#REF!+SUMPRODUCT(--(FoodData[[#This Row],[Healthy]:[Refined]]="Yes"),#REF!)+FoodData[[#This Row],[Adjust]]))</f>
        <v>#REF!</v>
      </c>
      <c r="C622" s="1" t="e">
        <f>LOOKUP(FoodData[[#This Row],[Score]],#REF!,#REF!)</f>
        <v>#REF!</v>
      </c>
      <c r="D622" t="s">
        <v>1153</v>
      </c>
      <c r="E622" t="s">
        <v>28</v>
      </c>
      <c r="F622" t="s">
        <v>60</v>
      </c>
      <c r="G622" t="s">
        <v>23</v>
      </c>
      <c r="H622" t="s">
        <v>1270</v>
      </c>
      <c r="I622" s="1" t="s">
        <v>25</v>
      </c>
      <c r="J622" s="1" t="s">
        <v>25</v>
      </c>
      <c r="K622" s="1" t="s">
        <v>26</v>
      </c>
      <c r="L622" s="1" t="s">
        <v>25</v>
      </c>
      <c r="M622" s="1" t="s">
        <v>25</v>
      </c>
      <c r="N622" s="1" t="s">
        <v>25</v>
      </c>
      <c r="O622" s="1" t="s">
        <v>25</v>
      </c>
      <c r="P622" s="1" t="s">
        <v>25</v>
      </c>
      <c r="Q622" s="1" t="s">
        <v>26</v>
      </c>
      <c r="R622" s="1" t="s">
        <v>26</v>
      </c>
      <c r="S622" s="2">
        <v>0</v>
      </c>
    </row>
    <row r="623" spans="1:19" x14ac:dyDescent="0.3">
      <c r="A623" t="s">
        <v>1271</v>
      </c>
      <c r="B623" s="5" t="e" cm="1">
        <f t="array" ref="B623">MAX(#REF!,MIN(#REF!,#REF!+SUMPRODUCT(--(FoodData[[#This Row],[Healthy]:[Refined]]="Yes"),#REF!)+FoodData[[#This Row],[Adjust]]))</f>
        <v>#REF!</v>
      </c>
      <c r="C623" s="1" t="e">
        <f>LOOKUP(FoodData[[#This Row],[Score]],#REF!,#REF!)</f>
        <v>#REF!</v>
      </c>
      <c r="D623" t="s">
        <v>1153</v>
      </c>
      <c r="E623" t="s">
        <v>28</v>
      </c>
      <c r="F623" t="s">
        <v>60</v>
      </c>
      <c r="G623" t="s">
        <v>23</v>
      </c>
      <c r="H623" t="s">
        <v>1272</v>
      </c>
      <c r="I623" s="1" t="s">
        <v>25</v>
      </c>
      <c r="J623" s="1" t="s">
        <v>25</v>
      </c>
      <c r="K623" s="1" t="s">
        <v>26</v>
      </c>
      <c r="L623" s="1" t="s">
        <v>25</v>
      </c>
      <c r="M623" s="1" t="s">
        <v>25</v>
      </c>
      <c r="N623" s="1" t="s">
        <v>26</v>
      </c>
      <c r="O623" s="1" t="s">
        <v>25</v>
      </c>
      <c r="P623" s="1" t="s">
        <v>26</v>
      </c>
      <c r="Q623" s="1" t="s">
        <v>26</v>
      </c>
      <c r="R623" s="1" t="s">
        <v>25</v>
      </c>
      <c r="S623" s="2">
        <v>0</v>
      </c>
    </row>
    <row r="624" spans="1:19" x14ac:dyDescent="0.3">
      <c r="A624" t="s">
        <v>1273</v>
      </c>
      <c r="B624" s="5" t="e" cm="1">
        <f t="array" ref="B624">MAX(#REF!,MIN(#REF!,#REF!+SUMPRODUCT(--(FoodData[[#This Row],[Healthy]:[Refined]]="Yes"),#REF!)+FoodData[[#This Row],[Adjust]]))</f>
        <v>#REF!</v>
      </c>
      <c r="C624" s="1" t="e">
        <f>LOOKUP(FoodData[[#This Row],[Score]],#REF!,#REF!)</f>
        <v>#REF!</v>
      </c>
      <c r="D624" t="s">
        <v>1153</v>
      </c>
      <c r="E624" t="s">
        <v>28</v>
      </c>
      <c r="F624" t="s">
        <v>22</v>
      </c>
      <c r="G624" t="s">
        <v>23</v>
      </c>
      <c r="H624" t="s">
        <v>1274</v>
      </c>
      <c r="I624" s="1" t="s">
        <v>25</v>
      </c>
      <c r="J624" s="1" t="s">
        <v>25</v>
      </c>
      <c r="K624" s="1" t="s">
        <v>25</v>
      </c>
      <c r="L624" s="1" t="s">
        <v>25</v>
      </c>
      <c r="M624" s="1" t="s">
        <v>25</v>
      </c>
      <c r="N624" s="1" t="s">
        <v>25</v>
      </c>
      <c r="O624" s="1" t="s">
        <v>25</v>
      </c>
      <c r="P624" s="1" t="s">
        <v>26</v>
      </c>
      <c r="Q624" s="1" t="s">
        <v>26</v>
      </c>
      <c r="R624" s="1" t="s">
        <v>26</v>
      </c>
      <c r="S624" s="2">
        <v>0</v>
      </c>
    </row>
    <row r="625" spans="1:19" x14ac:dyDescent="0.3">
      <c r="A625" t="s">
        <v>1275</v>
      </c>
      <c r="B625" s="5" t="e" cm="1">
        <f t="array" ref="B625">MAX(#REF!,MIN(#REF!,#REF!+SUMPRODUCT(--(FoodData[[#This Row],[Healthy]:[Refined]]="Yes"),#REF!)+FoodData[[#This Row],[Adjust]]))</f>
        <v>#REF!</v>
      </c>
      <c r="C625" s="1" t="e">
        <f>LOOKUP(FoodData[[#This Row],[Score]],#REF!,#REF!)</f>
        <v>#REF!</v>
      </c>
      <c r="D625" t="s">
        <v>1153</v>
      </c>
      <c r="E625" t="s">
        <v>28</v>
      </c>
      <c r="F625" t="s">
        <v>60</v>
      </c>
      <c r="G625" t="s">
        <v>29</v>
      </c>
      <c r="H625" t="s">
        <v>1276</v>
      </c>
      <c r="I625" s="1" t="s">
        <v>25</v>
      </c>
      <c r="J625" s="1" t="s">
        <v>25</v>
      </c>
      <c r="K625" s="1" t="s">
        <v>26</v>
      </c>
      <c r="L625" s="1" t="s">
        <v>25</v>
      </c>
      <c r="M625" s="1" t="s">
        <v>25</v>
      </c>
      <c r="N625" s="1" t="s">
        <v>25</v>
      </c>
      <c r="O625" s="1" t="s">
        <v>25</v>
      </c>
      <c r="P625" s="1" t="s">
        <v>25</v>
      </c>
      <c r="Q625" s="1" t="s">
        <v>26</v>
      </c>
      <c r="R625" s="1" t="s">
        <v>26</v>
      </c>
      <c r="S625" s="2">
        <v>0</v>
      </c>
    </row>
    <row r="626" spans="1:19" x14ac:dyDescent="0.3">
      <c r="A626" t="s">
        <v>1277</v>
      </c>
      <c r="B626" s="5" t="e" cm="1">
        <f t="array" ref="B626">MAX(#REF!,MIN(#REF!,#REF!+SUMPRODUCT(--(FoodData[[#This Row],[Healthy]:[Refined]]="Yes"),#REF!)+FoodData[[#This Row],[Adjust]]))</f>
        <v>#REF!</v>
      </c>
      <c r="C626" s="1" t="e">
        <f>LOOKUP(FoodData[[#This Row],[Score]],#REF!,#REF!)</f>
        <v>#REF!</v>
      </c>
      <c r="D626" t="s">
        <v>1153</v>
      </c>
      <c r="E626" t="s">
        <v>199</v>
      </c>
      <c r="F626" t="s">
        <v>22</v>
      </c>
      <c r="G626" t="s">
        <v>162</v>
      </c>
      <c r="H626" t="s">
        <v>1278</v>
      </c>
      <c r="I626" s="1" t="s">
        <v>26</v>
      </c>
      <c r="J626" s="1" t="s">
        <v>25</v>
      </c>
      <c r="K626" s="1" t="s">
        <v>25</v>
      </c>
      <c r="L626" s="1" t="s">
        <v>26</v>
      </c>
      <c r="M626" s="1" t="s">
        <v>25</v>
      </c>
      <c r="N626" s="1" t="s">
        <v>25</v>
      </c>
      <c r="O626" s="1" t="s">
        <v>25</v>
      </c>
      <c r="P626" s="1" t="s">
        <v>25</v>
      </c>
      <c r="Q626" s="1" t="s">
        <v>25</v>
      </c>
      <c r="R626" s="1" t="s">
        <v>25</v>
      </c>
      <c r="S626" s="2">
        <v>0</v>
      </c>
    </row>
    <row r="627" spans="1:19" x14ac:dyDescent="0.3">
      <c r="A627" t="s">
        <v>1279</v>
      </c>
      <c r="B627" s="5" t="e" cm="1">
        <f t="array" ref="B627">MAX(#REF!,MIN(#REF!,#REF!+SUMPRODUCT(--(FoodData[[#This Row],[Healthy]:[Refined]]="Yes"),#REF!)+FoodData[[#This Row],[Adjust]]))</f>
        <v>#REF!</v>
      </c>
      <c r="C627" s="1" t="e">
        <f>LOOKUP(FoodData[[#This Row],[Score]],#REF!,#REF!)</f>
        <v>#REF!</v>
      </c>
      <c r="D627" t="s">
        <v>1153</v>
      </c>
      <c r="E627" t="s">
        <v>28</v>
      </c>
      <c r="F627" t="s">
        <v>22</v>
      </c>
      <c r="G627" t="s">
        <v>23</v>
      </c>
      <c r="H627" t="s">
        <v>1280</v>
      </c>
      <c r="I627" s="1" t="s">
        <v>25</v>
      </c>
      <c r="J627" s="1" t="s">
        <v>25</v>
      </c>
      <c r="K627" s="1" t="s">
        <v>25</v>
      </c>
      <c r="L627" s="1" t="s">
        <v>25</v>
      </c>
      <c r="M627" s="1" t="s">
        <v>25</v>
      </c>
      <c r="N627" s="1" t="s">
        <v>25</v>
      </c>
      <c r="O627" s="1" t="s">
        <v>26</v>
      </c>
      <c r="P627" s="1" t="s">
        <v>26</v>
      </c>
      <c r="Q627" s="1" t="s">
        <v>26</v>
      </c>
      <c r="R627" s="1" t="s">
        <v>25</v>
      </c>
      <c r="S627" s="2">
        <v>0</v>
      </c>
    </row>
    <row r="628" spans="1:19" x14ac:dyDescent="0.3">
      <c r="A628" t="s">
        <v>1281</v>
      </c>
      <c r="B628" s="5" t="e" cm="1">
        <f t="array" ref="B628">MAX(#REF!,MIN(#REF!,#REF!+SUMPRODUCT(--(FoodData[[#This Row],[Healthy]:[Refined]]="Yes"),#REF!)+FoodData[[#This Row],[Adjust]]))</f>
        <v>#REF!</v>
      </c>
      <c r="C628" s="1" t="e">
        <f>LOOKUP(FoodData[[#This Row],[Score]],#REF!,#REF!)</f>
        <v>#REF!</v>
      </c>
      <c r="D628" t="s">
        <v>1153</v>
      </c>
      <c r="E628" t="s">
        <v>28</v>
      </c>
      <c r="F628" t="s">
        <v>22</v>
      </c>
      <c r="G628" t="s">
        <v>29</v>
      </c>
      <c r="H628" t="s">
        <v>1282</v>
      </c>
      <c r="I628" s="1" t="s">
        <v>25</v>
      </c>
      <c r="J628" s="1" t="s">
        <v>25</v>
      </c>
      <c r="K628" s="1" t="s">
        <v>26</v>
      </c>
      <c r="L628" s="1" t="s">
        <v>25</v>
      </c>
      <c r="M628" s="1" t="s">
        <v>25</v>
      </c>
      <c r="N628" s="1" t="s">
        <v>25</v>
      </c>
      <c r="O628" s="1" t="s">
        <v>26</v>
      </c>
      <c r="P628" s="1" t="s">
        <v>25</v>
      </c>
      <c r="Q628" s="1" t="s">
        <v>26</v>
      </c>
      <c r="R628" s="1" t="s">
        <v>26</v>
      </c>
      <c r="S628" s="2">
        <v>0</v>
      </c>
    </row>
    <row r="629" spans="1:19" x14ac:dyDescent="0.3">
      <c r="A629" t="s">
        <v>1283</v>
      </c>
      <c r="B629" s="5" t="e" cm="1">
        <f t="array" ref="B629">MAX(#REF!,MIN(#REF!,#REF!+SUMPRODUCT(--(FoodData[[#This Row],[Healthy]:[Refined]]="Yes"),#REF!)+FoodData[[#This Row],[Adjust]]))</f>
        <v>#REF!</v>
      </c>
      <c r="C629" s="1" t="e">
        <f>LOOKUP(FoodData[[#This Row],[Score]],#REF!,#REF!)</f>
        <v>#REF!</v>
      </c>
      <c r="D629" t="s">
        <v>1153</v>
      </c>
      <c r="E629" t="s">
        <v>63</v>
      </c>
      <c r="F629" t="s">
        <v>22</v>
      </c>
      <c r="G629" t="s">
        <v>23</v>
      </c>
      <c r="H629" t="s">
        <v>1284</v>
      </c>
      <c r="I629" s="1" t="s">
        <v>25</v>
      </c>
      <c r="J629" s="1" t="s">
        <v>25</v>
      </c>
      <c r="K629" s="1" t="s">
        <v>25</v>
      </c>
      <c r="L629" s="1" t="s">
        <v>25</v>
      </c>
      <c r="M629" s="1" t="s">
        <v>25</v>
      </c>
      <c r="N629" s="1" t="s">
        <v>26</v>
      </c>
      <c r="O629" s="1" t="s">
        <v>25</v>
      </c>
      <c r="P629" s="1" t="s">
        <v>25</v>
      </c>
      <c r="Q629" s="1" t="s">
        <v>26</v>
      </c>
      <c r="R629" s="1" t="s">
        <v>26</v>
      </c>
      <c r="S629" s="2">
        <v>0</v>
      </c>
    </row>
    <row r="630" spans="1:19" x14ac:dyDescent="0.3">
      <c r="A630" t="s">
        <v>1285</v>
      </c>
      <c r="B630" s="5" t="e" cm="1">
        <f t="array" ref="B630">MAX(#REF!,MIN(#REF!,#REF!+SUMPRODUCT(--(FoodData[[#This Row],[Healthy]:[Refined]]="Yes"),#REF!)+FoodData[[#This Row],[Adjust]]))</f>
        <v>#REF!</v>
      </c>
      <c r="C630" s="1" t="e">
        <f>LOOKUP(FoodData[[#This Row],[Score]],#REF!,#REF!)</f>
        <v>#REF!</v>
      </c>
      <c r="D630" t="s">
        <v>1153</v>
      </c>
      <c r="E630" t="s">
        <v>28</v>
      </c>
      <c r="F630" t="s">
        <v>22</v>
      </c>
      <c r="G630" t="s">
        <v>23</v>
      </c>
      <c r="H630" t="s">
        <v>1286</v>
      </c>
      <c r="I630" s="1" t="s">
        <v>25</v>
      </c>
      <c r="J630" s="1" t="s">
        <v>25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26</v>
      </c>
      <c r="P630" s="1" t="s">
        <v>25</v>
      </c>
      <c r="Q630" s="1" t="s">
        <v>26</v>
      </c>
      <c r="R630" s="1" t="s">
        <v>26</v>
      </c>
      <c r="S630" s="2">
        <v>0</v>
      </c>
    </row>
    <row r="631" spans="1:19" x14ac:dyDescent="0.3">
      <c r="A631" t="s">
        <v>1287</v>
      </c>
      <c r="B631" s="5" t="e" cm="1">
        <f t="array" ref="B631">MAX(#REF!,MIN(#REF!,#REF!+SUMPRODUCT(--(FoodData[[#This Row],[Healthy]:[Refined]]="Yes"),#REF!)+FoodData[[#This Row],[Adjust]]))</f>
        <v>#REF!</v>
      </c>
      <c r="C631" s="1" t="e">
        <f>LOOKUP(FoodData[[#This Row],[Score]],#REF!,#REF!)</f>
        <v>#REF!</v>
      </c>
      <c r="D631" t="s">
        <v>1153</v>
      </c>
      <c r="E631" t="s">
        <v>28</v>
      </c>
      <c r="F631" t="s">
        <v>22</v>
      </c>
      <c r="G631" t="s">
        <v>23</v>
      </c>
      <c r="H631" t="s">
        <v>1288</v>
      </c>
      <c r="I631" s="1" t="s">
        <v>25</v>
      </c>
      <c r="J631" s="1" t="s">
        <v>25</v>
      </c>
      <c r="K631" s="1" t="s">
        <v>25</v>
      </c>
      <c r="L631" s="1" t="s">
        <v>25</v>
      </c>
      <c r="M631" s="1" t="s">
        <v>25</v>
      </c>
      <c r="N631" s="1" t="s">
        <v>26</v>
      </c>
      <c r="O631" s="1" t="s">
        <v>25</v>
      </c>
      <c r="P631" s="1" t="s">
        <v>26</v>
      </c>
      <c r="Q631" s="1" t="s">
        <v>26</v>
      </c>
      <c r="R631" s="1" t="s">
        <v>25</v>
      </c>
      <c r="S631" s="2">
        <v>0</v>
      </c>
    </row>
    <row r="632" spans="1:19" x14ac:dyDescent="0.3">
      <c r="A632" t="s">
        <v>1289</v>
      </c>
      <c r="B632" s="5" t="e" cm="1">
        <f t="array" ref="B632">MAX(#REF!,MIN(#REF!,#REF!+SUMPRODUCT(--(FoodData[[#This Row],[Healthy]:[Refined]]="Yes"),#REF!)+FoodData[[#This Row],[Adjust]]))</f>
        <v>#REF!</v>
      </c>
      <c r="C632" s="1" t="e">
        <f>LOOKUP(FoodData[[#This Row],[Score]],#REF!,#REF!)</f>
        <v>#REF!</v>
      </c>
      <c r="D632" t="s">
        <v>1153</v>
      </c>
      <c r="E632" t="s">
        <v>63</v>
      </c>
      <c r="F632" t="s">
        <v>22</v>
      </c>
      <c r="G632" t="s">
        <v>23</v>
      </c>
      <c r="H632" t="s">
        <v>1290</v>
      </c>
      <c r="I632" s="1" t="s">
        <v>25</v>
      </c>
      <c r="J632" s="1" t="s">
        <v>25</v>
      </c>
      <c r="K632" s="1" t="s">
        <v>26</v>
      </c>
      <c r="L632" s="1" t="s">
        <v>26</v>
      </c>
      <c r="M632" s="1" t="s">
        <v>25</v>
      </c>
      <c r="N632" s="1" t="s">
        <v>26</v>
      </c>
      <c r="O632" s="1" t="s">
        <v>25</v>
      </c>
      <c r="P632" s="1" t="s">
        <v>26</v>
      </c>
      <c r="Q632" s="1" t="s">
        <v>26</v>
      </c>
      <c r="R632" s="1" t="s">
        <v>26</v>
      </c>
      <c r="S632" s="2">
        <v>0</v>
      </c>
    </row>
    <row r="633" spans="1:19" x14ac:dyDescent="0.3">
      <c r="A633" t="s">
        <v>1291</v>
      </c>
      <c r="B633" s="5" t="e" cm="1">
        <f t="array" ref="B633">MAX(#REF!,MIN(#REF!,#REF!+SUMPRODUCT(--(FoodData[[#This Row],[Healthy]:[Refined]]="Yes"),#REF!)+FoodData[[#This Row],[Adjust]]))</f>
        <v>#REF!</v>
      </c>
      <c r="C633" s="1" t="e">
        <f>LOOKUP(FoodData[[#This Row],[Score]],#REF!,#REF!)</f>
        <v>#REF!</v>
      </c>
      <c r="D633" t="s">
        <v>1153</v>
      </c>
      <c r="E633" t="s">
        <v>28</v>
      </c>
      <c r="F633" t="s">
        <v>22</v>
      </c>
      <c r="G633" t="s">
        <v>23</v>
      </c>
      <c r="H633" t="s">
        <v>1292</v>
      </c>
      <c r="I633" s="1" t="s">
        <v>25</v>
      </c>
      <c r="J633" s="1" t="s">
        <v>25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26</v>
      </c>
      <c r="P633" s="1" t="s">
        <v>26</v>
      </c>
      <c r="Q633" s="1" t="s">
        <v>26</v>
      </c>
      <c r="R633" s="1" t="s">
        <v>25</v>
      </c>
      <c r="S633" s="2">
        <v>0</v>
      </c>
    </row>
    <row r="634" spans="1:19" x14ac:dyDescent="0.3">
      <c r="A634" t="s">
        <v>1293</v>
      </c>
      <c r="B634" s="5" t="e" cm="1">
        <f t="array" ref="B634">MAX(#REF!,MIN(#REF!,#REF!+SUMPRODUCT(--(FoodData[[#This Row],[Healthy]:[Refined]]="Yes"),#REF!)+FoodData[[#This Row],[Adjust]]))</f>
        <v>#REF!</v>
      </c>
      <c r="C634" s="1" t="e">
        <f>LOOKUP(FoodData[[#This Row],[Score]],#REF!,#REF!)</f>
        <v>#REF!</v>
      </c>
      <c r="D634" t="s">
        <v>1153</v>
      </c>
      <c r="E634" t="s">
        <v>63</v>
      </c>
      <c r="F634" t="s">
        <v>22</v>
      </c>
      <c r="G634" t="s">
        <v>29</v>
      </c>
      <c r="H634" t="s">
        <v>1294</v>
      </c>
      <c r="I634" s="1" t="s">
        <v>25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26</v>
      </c>
      <c r="O634" s="1" t="s">
        <v>25</v>
      </c>
      <c r="P634" s="1" t="s">
        <v>26</v>
      </c>
      <c r="Q634" s="1" t="s">
        <v>26</v>
      </c>
      <c r="R634" s="1" t="s">
        <v>26</v>
      </c>
      <c r="S634" s="2">
        <v>0</v>
      </c>
    </row>
    <row r="635" spans="1:19" x14ac:dyDescent="0.3">
      <c r="A635" t="s">
        <v>1295</v>
      </c>
      <c r="B635" s="5" t="e" cm="1">
        <f t="array" ref="B635">MAX(#REF!,MIN(#REF!,#REF!+SUMPRODUCT(--(FoodData[[#This Row],[Healthy]:[Refined]]="Yes"),#REF!)+FoodData[[#This Row],[Adjust]]))</f>
        <v>#REF!</v>
      </c>
      <c r="C635" s="1" t="e">
        <f>LOOKUP(FoodData[[#This Row],[Score]],#REF!,#REF!)</f>
        <v>#REF!</v>
      </c>
      <c r="D635" t="s">
        <v>1153</v>
      </c>
      <c r="E635" t="s">
        <v>28</v>
      </c>
      <c r="F635" t="s">
        <v>22</v>
      </c>
      <c r="G635" t="s">
        <v>23</v>
      </c>
      <c r="H635" t="s">
        <v>1296</v>
      </c>
      <c r="I635" s="1" t="s">
        <v>25</v>
      </c>
      <c r="J635" s="1" t="s">
        <v>25</v>
      </c>
      <c r="K635" s="1" t="s">
        <v>26</v>
      </c>
      <c r="L635" s="1" t="s">
        <v>25</v>
      </c>
      <c r="M635" s="1" t="s">
        <v>25</v>
      </c>
      <c r="N635" s="1" t="s">
        <v>26</v>
      </c>
      <c r="O635" s="1" t="s">
        <v>25</v>
      </c>
      <c r="P635" s="1" t="s">
        <v>26</v>
      </c>
      <c r="Q635" s="1" t="s">
        <v>26</v>
      </c>
      <c r="R635" s="1" t="s">
        <v>26</v>
      </c>
      <c r="S635" s="2">
        <v>0</v>
      </c>
    </row>
    <row r="636" spans="1:19" x14ac:dyDescent="0.3">
      <c r="A636" t="s">
        <v>1297</v>
      </c>
      <c r="B636" s="5" t="e" cm="1">
        <f t="array" ref="B636">MAX(#REF!,MIN(#REF!,#REF!+SUMPRODUCT(--(FoodData[[#This Row],[Healthy]:[Refined]]="Yes"),#REF!)+FoodData[[#This Row],[Adjust]]))</f>
        <v>#REF!</v>
      </c>
      <c r="C636" s="1" t="e">
        <f>LOOKUP(FoodData[[#This Row],[Score]],#REF!,#REF!)</f>
        <v>#REF!</v>
      </c>
      <c r="D636" t="s">
        <v>1153</v>
      </c>
      <c r="E636" t="s">
        <v>28</v>
      </c>
      <c r="F636" t="s">
        <v>22</v>
      </c>
      <c r="G636" t="s">
        <v>23</v>
      </c>
      <c r="H636" t="s">
        <v>1298</v>
      </c>
      <c r="I636" s="1" t="s">
        <v>25</v>
      </c>
      <c r="J636" s="1" t="s">
        <v>25</v>
      </c>
      <c r="K636" s="1" t="s">
        <v>26</v>
      </c>
      <c r="L636" s="1" t="s">
        <v>25</v>
      </c>
      <c r="M636" s="1" t="s">
        <v>25</v>
      </c>
      <c r="N636" s="1" t="s">
        <v>26</v>
      </c>
      <c r="O636" s="1" t="s">
        <v>25</v>
      </c>
      <c r="P636" s="1" t="s">
        <v>25</v>
      </c>
      <c r="Q636" s="1" t="s">
        <v>25</v>
      </c>
      <c r="R636" s="1" t="s">
        <v>25</v>
      </c>
      <c r="S636" s="2">
        <v>0</v>
      </c>
    </row>
    <row r="637" spans="1:19" x14ac:dyDescent="0.3">
      <c r="A637" t="s">
        <v>1299</v>
      </c>
      <c r="B637" s="5" t="e" cm="1">
        <f t="array" ref="B637">MAX(#REF!,MIN(#REF!,#REF!+SUMPRODUCT(--(FoodData[[#This Row],[Healthy]:[Refined]]="Yes"),#REF!)+FoodData[[#This Row],[Adjust]]))</f>
        <v>#REF!</v>
      </c>
      <c r="C637" s="1" t="e">
        <f>LOOKUP(FoodData[[#This Row],[Score]],#REF!,#REF!)</f>
        <v>#REF!</v>
      </c>
      <c r="D637" t="s">
        <v>1153</v>
      </c>
      <c r="E637" t="s">
        <v>28</v>
      </c>
      <c r="F637" t="s">
        <v>22</v>
      </c>
      <c r="G637" t="s">
        <v>23</v>
      </c>
      <c r="H637" t="s">
        <v>1300</v>
      </c>
      <c r="I637" s="1" t="s">
        <v>25</v>
      </c>
      <c r="J637" s="1" t="s">
        <v>25</v>
      </c>
      <c r="K637" s="1" t="s">
        <v>26</v>
      </c>
      <c r="L637" s="1" t="s">
        <v>25</v>
      </c>
      <c r="M637" s="1" t="s">
        <v>25</v>
      </c>
      <c r="N637" s="1" t="s">
        <v>26</v>
      </c>
      <c r="O637" s="1" t="s">
        <v>25</v>
      </c>
      <c r="P637" s="1" t="s">
        <v>26</v>
      </c>
      <c r="Q637" s="1" t="s">
        <v>26</v>
      </c>
      <c r="R637" s="1" t="s">
        <v>25</v>
      </c>
      <c r="S637" s="2">
        <v>0</v>
      </c>
    </row>
    <row r="638" spans="1:19" x14ac:dyDescent="0.3">
      <c r="A638" t="s">
        <v>1301</v>
      </c>
      <c r="B638" s="5" t="e" cm="1">
        <f t="array" ref="B638">MAX(#REF!,MIN(#REF!,#REF!+SUMPRODUCT(--(FoodData[[#This Row],[Healthy]:[Refined]]="Yes"),#REF!)+FoodData[[#This Row],[Adjust]]))</f>
        <v>#REF!</v>
      </c>
      <c r="C638" s="1" t="e">
        <f>LOOKUP(FoodData[[#This Row],[Score]],#REF!,#REF!)</f>
        <v>#REF!</v>
      </c>
      <c r="D638" t="s">
        <v>1153</v>
      </c>
      <c r="E638" t="s">
        <v>28</v>
      </c>
      <c r="F638" t="s">
        <v>22</v>
      </c>
      <c r="G638" t="s">
        <v>23</v>
      </c>
      <c r="H638" t="s">
        <v>1302</v>
      </c>
      <c r="I638" s="1" t="s">
        <v>25</v>
      </c>
      <c r="J638" s="1" t="s">
        <v>25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25</v>
      </c>
      <c r="Q638" s="1" t="s">
        <v>25</v>
      </c>
      <c r="R638" s="1" t="s">
        <v>26</v>
      </c>
      <c r="S638" s="2">
        <v>0</v>
      </c>
    </row>
    <row r="639" spans="1:19" x14ac:dyDescent="0.3">
      <c r="A639" t="s">
        <v>1303</v>
      </c>
      <c r="B639" s="5" t="e" cm="1">
        <f t="array" ref="B639">MAX(#REF!,MIN(#REF!,#REF!+SUMPRODUCT(--(FoodData[[#This Row],[Healthy]:[Refined]]="Yes"),#REF!)+FoodData[[#This Row],[Adjust]]))</f>
        <v>#REF!</v>
      </c>
      <c r="C639" s="1" t="e">
        <f>LOOKUP(FoodData[[#This Row],[Score]],#REF!,#REF!)</f>
        <v>#REF!</v>
      </c>
      <c r="D639" t="s">
        <v>1153</v>
      </c>
      <c r="E639" t="s">
        <v>28</v>
      </c>
      <c r="F639" t="s">
        <v>22</v>
      </c>
      <c r="G639" t="s">
        <v>23</v>
      </c>
      <c r="H639" t="s">
        <v>1304</v>
      </c>
      <c r="I639" s="1" t="s">
        <v>25</v>
      </c>
      <c r="J639" s="1" t="s">
        <v>25</v>
      </c>
      <c r="K639" s="1" t="s">
        <v>26</v>
      </c>
      <c r="L639" s="1" t="s">
        <v>25</v>
      </c>
      <c r="M639" s="1" t="s">
        <v>25</v>
      </c>
      <c r="N639" s="1" t="s">
        <v>25</v>
      </c>
      <c r="O639" s="1" t="s">
        <v>26</v>
      </c>
      <c r="P639" s="1" t="s">
        <v>25</v>
      </c>
      <c r="Q639" s="1" t="s">
        <v>26</v>
      </c>
      <c r="R639" s="1" t="s">
        <v>26</v>
      </c>
      <c r="S639" s="2">
        <v>0</v>
      </c>
    </row>
    <row r="640" spans="1:19" x14ac:dyDescent="0.3">
      <c r="A640" t="s">
        <v>1305</v>
      </c>
      <c r="B640" s="5" t="e" cm="1">
        <f t="array" ref="B640">MAX(#REF!,MIN(#REF!,#REF!+SUMPRODUCT(--(FoodData[[#This Row],[Healthy]:[Refined]]="Yes"),#REF!)+FoodData[[#This Row],[Adjust]]))</f>
        <v>#REF!</v>
      </c>
      <c r="C640" s="1" t="e">
        <f>LOOKUP(FoodData[[#This Row],[Score]],#REF!,#REF!)</f>
        <v>#REF!</v>
      </c>
      <c r="D640" t="s">
        <v>1153</v>
      </c>
      <c r="E640" t="s">
        <v>28</v>
      </c>
      <c r="F640" t="s">
        <v>22</v>
      </c>
      <c r="G640" t="s">
        <v>23</v>
      </c>
      <c r="H640" t="s">
        <v>1306</v>
      </c>
      <c r="I640" s="1" t="s">
        <v>25</v>
      </c>
      <c r="J640" s="1" t="s">
        <v>25</v>
      </c>
      <c r="K640" s="1" t="s">
        <v>25</v>
      </c>
      <c r="L640" s="1" t="s">
        <v>25</v>
      </c>
      <c r="M640" s="1" t="s">
        <v>25</v>
      </c>
      <c r="N640" s="1" t="s">
        <v>26</v>
      </c>
      <c r="O640" s="1" t="s">
        <v>25</v>
      </c>
      <c r="P640" s="1" t="s">
        <v>25</v>
      </c>
      <c r="Q640" s="1" t="s">
        <v>26</v>
      </c>
      <c r="R640" s="1" t="s">
        <v>26</v>
      </c>
      <c r="S640" s="2">
        <v>0</v>
      </c>
    </row>
    <row r="641" spans="1:19" x14ac:dyDescent="0.3">
      <c r="A641" t="s">
        <v>1307</v>
      </c>
      <c r="B641" s="5" t="e" cm="1">
        <f t="array" ref="B641">MAX(#REF!,MIN(#REF!,#REF!+SUMPRODUCT(--(FoodData[[#This Row],[Healthy]:[Refined]]="Yes"),#REF!)+FoodData[[#This Row],[Adjust]]))</f>
        <v>#REF!</v>
      </c>
      <c r="C641" s="1" t="e">
        <f>LOOKUP(FoodData[[#This Row],[Score]],#REF!,#REF!)</f>
        <v>#REF!</v>
      </c>
      <c r="D641" t="s">
        <v>1153</v>
      </c>
      <c r="E641" t="s">
        <v>28</v>
      </c>
      <c r="F641" t="s">
        <v>22</v>
      </c>
      <c r="G641" t="s">
        <v>29</v>
      </c>
      <c r="H641" t="s">
        <v>1308</v>
      </c>
      <c r="I641" s="1" t="s">
        <v>25</v>
      </c>
      <c r="J641" s="1" t="s">
        <v>25</v>
      </c>
      <c r="K641" s="1" t="s">
        <v>26</v>
      </c>
      <c r="L641" s="1" t="s">
        <v>25</v>
      </c>
      <c r="M641" s="1" t="s">
        <v>25</v>
      </c>
      <c r="N641" s="1" t="s">
        <v>25</v>
      </c>
      <c r="O641" s="1" t="s">
        <v>26</v>
      </c>
      <c r="P641" s="1" t="s">
        <v>25</v>
      </c>
      <c r="Q641" s="1" t="s">
        <v>26</v>
      </c>
      <c r="R641" s="1" t="s">
        <v>26</v>
      </c>
      <c r="S641" s="2">
        <v>0</v>
      </c>
    </row>
    <row r="642" spans="1:19" x14ac:dyDescent="0.3">
      <c r="A642" t="s">
        <v>1309</v>
      </c>
      <c r="B642" s="5" t="e" cm="1">
        <f t="array" ref="B642">MAX(#REF!,MIN(#REF!,#REF!+SUMPRODUCT(--(FoodData[[#This Row],[Healthy]:[Refined]]="Yes"),#REF!)+FoodData[[#This Row],[Adjust]]))</f>
        <v>#REF!</v>
      </c>
      <c r="C642" s="1" t="e">
        <f>LOOKUP(FoodData[[#This Row],[Score]],#REF!,#REF!)</f>
        <v>#REF!</v>
      </c>
      <c r="D642" t="s">
        <v>1153</v>
      </c>
      <c r="E642" t="s">
        <v>28</v>
      </c>
      <c r="F642" t="s">
        <v>22</v>
      </c>
      <c r="G642" t="s">
        <v>23</v>
      </c>
      <c r="H642" t="s">
        <v>1310</v>
      </c>
      <c r="I642" s="1" t="s">
        <v>25</v>
      </c>
      <c r="J642" s="1" t="s">
        <v>25</v>
      </c>
      <c r="K642" s="1" t="s">
        <v>25</v>
      </c>
      <c r="L642" s="1" t="s">
        <v>25</v>
      </c>
      <c r="M642" s="1" t="s">
        <v>25</v>
      </c>
      <c r="N642" s="1" t="s">
        <v>26</v>
      </c>
      <c r="O642" s="1" t="s">
        <v>25</v>
      </c>
      <c r="P642" s="1" t="s">
        <v>25</v>
      </c>
      <c r="Q642" s="1" t="s">
        <v>25</v>
      </c>
      <c r="R642" s="1" t="s">
        <v>26</v>
      </c>
      <c r="S642" s="2">
        <v>0</v>
      </c>
    </row>
    <row r="643" spans="1:19" x14ac:dyDescent="0.3">
      <c r="A643" t="s">
        <v>1311</v>
      </c>
      <c r="B643" s="5" t="e" cm="1">
        <f t="array" ref="B643">MAX(#REF!,MIN(#REF!,#REF!+SUMPRODUCT(--(FoodData[[#This Row],[Healthy]:[Refined]]="Yes"),#REF!)+FoodData[[#This Row],[Adjust]]))</f>
        <v>#REF!</v>
      </c>
      <c r="C643" s="1" t="e">
        <f>LOOKUP(FoodData[[#This Row],[Score]],#REF!,#REF!)</f>
        <v>#REF!</v>
      </c>
      <c r="D643" t="s">
        <v>1153</v>
      </c>
      <c r="E643" t="s">
        <v>28</v>
      </c>
      <c r="F643" t="s">
        <v>60</v>
      </c>
      <c r="G643" t="s">
        <v>23</v>
      </c>
      <c r="H643" t="s">
        <v>1312</v>
      </c>
      <c r="I643" s="1" t="s">
        <v>25</v>
      </c>
      <c r="J643" s="1" t="s">
        <v>25</v>
      </c>
      <c r="K643" s="1" t="s">
        <v>25</v>
      </c>
      <c r="L643" s="1" t="s">
        <v>25</v>
      </c>
      <c r="M643" s="1" t="s">
        <v>25</v>
      </c>
      <c r="N643" s="1" t="s">
        <v>26</v>
      </c>
      <c r="O643" s="1" t="s">
        <v>26</v>
      </c>
      <c r="P643" s="1" t="s">
        <v>25</v>
      </c>
      <c r="Q643" s="1" t="s">
        <v>26</v>
      </c>
      <c r="R643" s="1" t="s">
        <v>26</v>
      </c>
      <c r="S643" s="2">
        <v>0</v>
      </c>
    </row>
    <row r="644" spans="1:19" x14ac:dyDescent="0.3">
      <c r="A644" t="s">
        <v>1313</v>
      </c>
      <c r="B644" s="5" t="e" cm="1">
        <f t="array" ref="B644">MAX(#REF!,MIN(#REF!,#REF!+SUMPRODUCT(--(FoodData[[#This Row],[Healthy]:[Refined]]="Yes"),#REF!)+FoodData[[#This Row],[Adjust]]))</f>
        <v>#REF!</v>
      </c>
      <c r="C644" s="1" t="e">
        <f>LOOKUP(FoodData[[#This Row],[Score]],#REF!,#REF!)</f>
        <v>#REF!</v>
      </c>
      <c r="D644" t="s">
        <v>1153</v>
      </c>
      <c r="E644" t="s">
        <v>28</v>
      </c>
      <c r="F644" t="s">
        <v>22</v>
      </c>
      <c r="G644" t="s">
        <v>23</v>
      </c>
      <c r="H644" t="s">
        <v>1314</v>
      </c>
      <c r="I644" s="1" t="s">
        <v>25</v>
      </c>
      <c r="J644" s="1" t="s">
        <v>25</v>
      </c>
      <c r="K644" s="1" t="s">
        <v>25</v>
      </c>
      <c r="L644" s="1" t="s">
        <v>25</v>
      </c>
      <c r="M644" s="1" t="s">
        <v>25</v>
      </c>
      <c r="N644" s="1" t="s">
        <v>26</v>
      </c>
      <c r="O644" s="1" t="s">
        <v>25</v>
      </c>
      <c r="P644" s="1" t="s">
        <v>26</v>
      </c>
      <c r="Q644" s="1" t="s">
        <v>26</v>
      </c>
      <c r="R644" s="1" t="s">
        <v>25</v>
      </c>
      <c r="S644" s="2">
        <v>0</v>
      </c>
    </row>
    <row r="645" spans="1:19" x14ac:dyDescent="0.3">
      <c r="A645" t="s">
        <v>1315</v>
      </c>
      <c r="B645" s="5" t="e" cm="1">
        <f t="array" ref="B645">MAX(#REF!,MIN(#REF!,#REF!+SUMPRODUCT(--(FoodData[[#This Row],[Healthy]:[Refined]]="Yes"),#REF!)+FoodData[[#This Row],[Adjust]]))</f>
        <v>#REF!</v>
      </c>
      <c r="C645" s="1" t="e">
        <f>LOOKUP(FoodData[[#This Row],[Score]],#REF!,#REF!)</f>
        <v>#REF!</v>
      </c>
      <c r="D645" t="s">
        <v>1153</v>
      </c>
      <c r="E645" t="s">
        <v>28</v>
      </c>
      <c r="F645" t="s">
        <v>22</v>
      </c>
      <c r="G645" t="s">
        <v>23</v>
      </c>
      <c r="H645" t="s">
        <v>1316</v>
      </c>
      <c r="I645" s="1" t="s">
        <v>25</v>
      </c>
      <c r="J645" s="1" t="s">
        <v>25</v>
      </c>
      <c r="K645" s="1" t="s">
        <v>26</v>
      </c>
      <c r="L645" s="1" t="s">
        <v>25</v>
      </c>
      <c r="M645" s="1" t="s">
        <v>25</v>
      </c>
      <c r="N645" s="1" t="s">
        <v>26</v>
      </c>
      <c r="O645" s="1" t="s">
        <v>25</v>
      </c>
      <c r="P645" s="1" t="s">
        <v>25</v>
      </c>
      <c r="Q645" s="1" t="s">
        <v>26</v>
      </c>
      <c r="R645" s="1" t="s">
        <v>26</v>
      </c>
      <c r="S645" s="2">
        <v>0</v>
      </c>
    </row>
    <row r="646" spans="1:19" x14ac:dyDescent="0.3">
      <c r="A646" t="s">
        <v>1317</v>
      </c>
      <c r="B646" s="5" t="e" cm="1">
        <f t="array" ref="B646">MAX(#REF!,MIN(#REF!,#REF!+SUMPRODUCT(--(FoodData[[#This Row],[Healthy]:[Refined]]="Yes"),#REF!)+FoodData[[#This Row],[Adjust]]))</f>
        <v>#REF!</v>
      </c>
      <c r="C646" s="1" t="e">
        <f>LOOKUP(FoodData[[#This Row],[Score]],#REF!,#REF!)</f>
        <v>#REF!</v>
      </c>
      <c r="D646" t="s">
        <v>1153</v>
      </c>
      <c r="E646" t="s">
        <v>28</v>
      </c>
      <c r="F646" t="s">
        <v>22</v>
      </c>
      <c r="G646" t="s">
        <v>23</v>
      </c>
      <c r="H646" t="s">
        <v>1318</v>
      </c>
      <c r="I646" s="1" t="s">
        <v>25</v>
      </c>
      <c r="J646" s="1" t="s">
        <v>25</v>
      </c>
      <c r="K646" s="1" t="s">
        <v>25</v>
      </c>
      <c r="L646" s="1" t="s">
        <v>25</v>
      </c>
      <c r="M646" s="1" t="s">
        <v>25</v>
      </c>
      <c r="N646" s="1" t="s">
        <v>26</v>
      </c>
      <c r="O646" s="1" t="s">
        <v>25</v>
      </c>
      <c r="P646" s="1" t="s">
        <v>25</v>
      </c>
      <c r="Q646" s="1" t="s">
        <v>25</v>
      </c>
      <c r="R646" s="1" t="s">
        <v>25</v>
      </c>
      <c r="S646" s="2">
        <v>0</v>
      </c>
    </row>
    <row r="647" spans="1:19" x14ac:dyDescent="0.3">
      <c r="A647" t="s">
        <v>1319</v>
      </c>
      <c r="B647" s="5" t="e" cm="1">
        <f t="array" ref="B647">MAX(#REF!,MIN(#REF!,#REF!+SUMPRODUCT(--(FoodData[[#This Row],[Healthy]:[Refined]]="Yes"),#REF!)+FoodData[[#This Row],[Adjust]]))</f>
        <v>#REF!</v>
      </c>
      <c r="C647" s="1" t="e">
        <f>LOOKUP(FoodData[[#This Row],[Score]],#REF!,#REF!)</f>
        <v>#REF!</v>
      </c>
      <c r="D647" t="s">
        <v>1153</v>
      </c>
      <c r="E647" t="s">
        <v>28</v>
      </c>
      <c r="F647" t="s">
        <v>22</v>
      </c>
      <c r="G647" t="s">
        <v>23</v>
      </c>
      <c r="H647" t="s">
        <v>1320</v>
      </c>
      <c r="I647" s="1" t="s">
        <v>25</v>
      </c>
      <c r="J647" s="1" t="s">
        <v>25</v>
      </c>
      <c r="K647" s="1" t="s">
        <v>25</v>
      </c>
      <c r="L647" s="1" t="s">
        <v>25</v>
      </c>
      <c r="M647" s="1" t="s">
        <v>25</v>
      </c>
      <c r="N647" s="1" t="s">
        <v>26</v>
      </c>
      <c r="O647" s="1" t="s">
        <v>25</v>
      </c>
      <c r="P647" s="1" t="s">
        <v>25</v>
      </c>
      <c r="Q647" s="1" t="s">
        <v>25</v>
      </c>
      <c r="R647" s="1" t="s">
        <v>26</v>
      </c>
      <c r="S647" s="2">
        <v>0</v>
      </c>
    </row>
    <row r="648" spans="1:19" x14ac:dyDescent="0.3">
      <c r="A648" t="s">
        <v>1321</v>
      </c>
      <c r="B648" s="5" t="e" cm="1">
        <f t="array" ref="B648">MAX(#REF!,MIN(#REF!,#REF!+SUMPRODUCT(--(FoodData[[#This Row],[Healthy]:[Refined]]="Yes"),#REF!)+FoodData[[#This Row],[Adjust]]))</f>
        <v>#REF!</v>
      </c>
      <c r="C648" s="1" t="e">
        <f>LOOKUP(FoodData[[#This Row],[Score]],#REF!,#REF!)</f>
        <v>#REF!</v>
      </c>
      <c r="D648" t="s">
        <v>1153</v>
      </c>
      <c r="E648" t="s">
        <v>28</v>
      </c>
      <c r="F648" t="s">
        <v>60</v>
      </c>
      <c r="G648" t="s">
        <v>23</v>
      </c>
      <c r="H648" t="s">
        <v>1322</v>
      </c>
      <c r="I648" s="1" t="s">
        <v>25</v>
      </c>
      <c r="J648" s="1" t="s">
        <v>25</v>
      </c>
      <c r="K648" s="1" t="s">
        <v>26</v>
      </c>
      <c r="L648" s="1" t="s">
        <v>25</v>
      </c>
      <c r="M648" s="1" t="s">
        <v>25</v>
      </c>
      <c r="N648" s="1" t="s">
        <v>26</v>
      </c>
      <c r="O648" s="1" t="s">
        <v>25</v>
      </c>
      <c r="P648" s="1" t="s">
        <v>25</v>
      </c>
      <c r="Q648" s="1" t="s">
        <v>26</v>
      </c>
      <c r="R648" s="1" t="s">
        <v>25</v>
      </c>
      <c r="S648" s="2">
        <v>0</v>
      </c>
    </row>
    <row r="649" spans="1:19" x14ac:dyDescent="0.3">
      <c r="A649" t="s">
        <v>1323</v>
      </c>
      <c r="B649" s="5" t="e" cm="1">
        <f t="array" ref="B649">MAX(#REF!,MIN(#REF!,#REF!+SUMPRODUCT(--(FoodData[[#This Row],[Healthy]:[Refined]]="Yes"),#REF!)+FoodData[[#This Row],[Adjust]]))</f>
        <v>#REF!</v>
      </c>
      <c r="C649" s="1" t="e">
        <f>LOOKUP(FoodData[[#This Row],[Score]],#REF!,#REF!)</f>
        <v>#REF!</v>
      </c>
      <c r="D649" t="s">
        <v>1153</v>
      </c>
      <c r="E649" t="s">
        <v>28</v>
      </c>
      <c r="F649" t="s">
        <v>22</v>
      </c>
      <c r="G649" t="s">
        <v>23</v>
      </c>
      <c r="H649" t="s">
        <v>1324</v>
      </c>
      <c r="I649" s="1" t="s">
        <v>25</v>
      </c>
      <c r="J649" s="1" t="s">
        <v>25</v>
      </c>
      <c r="K649" s="1" t="s">
        <v>25</v>
      </c>
      <c r="L649" s="1" t="s">
        <v>26</v>
      </c>
      <c r="M649" s="1" t="s">
        <v>25</v>
      </c>
      <c r="N649" s="1" t="s">
        <v>26</v>
      </c>
      <c r="O649" s="1" t="s">
        <v>25</v>
      </c>
      <c r="P649" s="1" t="s">
        <v>25</v>
      </c>
      <c r="Q649" s="1" t="s">
        <v>26</v>
      </c>
      <c r="R649" s="1" t="s">
        <v>25</v>
      </c>
      <c r="S649" s="2">
        <v>0</v>
      </c>
    </row>
    <row r="650" spans="1:19" x14ac:dyDescent="0.3">
      <c r="A650" t="s">
        <v>1325</v>
      </c>
      <c r="B650" s="5" t="e" cm="1">
        <f t="array" ref="B650">MAX(#REF!,MIN(#REF!,#REF!+SUMPRODUCT(--(FoodData[[#This Row],[Healthy]:[Refined]]="Yes"),#REF!)+FoodData[[#This Row],[Adjust]]))</f>
        <v>#REF!</v>
      </c>
      <c r="C650" s="1" t="e">
        <f>LOOKUP(FoodData[[#This Row],[Score]],#REF!,#REF!)</f>
        <v>#REF!</v>
      </c>
      <c r="D650" t="s">
        <v>1153</v>
      </c>
      <c r="E650" t="s">
        <v>28</v>
      </c>
      <c r="F650" t="s">
        <v>22</v>
      </c>
      <c r="G650" t="s">
        <v>23</v>
      </c>
      <c r="H650" t="s">
        <v>1326</v>
      </c>
      <c r="I650" s="1" t="s">
        <v>25</v>
      </c>
      <c r="J650" s="1" t="s">
        <v>25</v>
      </c>
      <c r="K650" s="1" t="s">
        <v>25</v>
      </c>
      <c r="L650" s="1" t="s">
        <v>25</v>
      </c>
      <c r="M650" s="1" t="s">
        <v>25</v>
      </c>
      <c r="N650" s="1" t="s">
        <v>26</v>
      </c>
      <c r="O650" s="1" t="s">
        <v>25</v>
      </c>
      <c r="P650" s="1" t="s">
        <v>25</v>
      </c>
      <c r="Q650" s="1" t="s">
        <v>26</v>
      </c>
      <c r="R650" s="1" t="s">
        <v>26</v>
      </c>
      <c r="S650" s="2">
        <v>0</v>
      </c>
    </row>
    <row r="651" spans="1:19" x14ac:dyDescent="0.3">
      <c r="A651" t="s">
        <v>1327</v>
      </c>
      <c r="B651" s="5" t="e" cm="1">
        <f t="array" ref="B651">MAX(#REF!,MIN(#REF!,#REF!+SUMPRODUCT(--(FoodData[[#This Row],[Healthy]:[Refined]]="Yes"),#REF!)+FoodData[[#This Row],[Adjust]]))</f>
        <v>#REF!</v>
      </c>
      <c r="C651" s="1" t="e">
        <f>LOOKUP(FoodData[[#This Row],[Score]],#REF!,#REF!)</f>
        <v>#REF!</v>
      </c>
      <c r="D651" t="s">
        <v>1153</v>
      </c>
      <c r="E651" t="s">
        <v>28</v>
      </c>
      <c r="F651" t="s">
        <v>60</v>
      </c>
      <c r="G651" t="s">
        <v>23</v>
      </c>
      <c r="H651" t="s">
        <v>1328</v>
      </c>
      <c r="I651" s="1" t="s">
        <v>25</v>
      </c>
      <c r="J651" s="1" t="s">
        <v>25</v>
      </c>
      <c r="K651" s="1" t="s">
        <v>26</v>
      </c>
      <c r="L651" s="1" t="s">
        <v>26</v>
      </c>
      <c r="M651" s="1" t="s">
        <v>25</v>
      </c>
      <c r="N651" s="1" t="s">
        <v>25</v>
      </c>
      <c r="O651" s="1" t="s">
        <v>25</v>
      </c>
      <c r="P651" s="1" t="s">
        <v>25</v>
      </c>
      <c r="Q651" s="1" t="s">
        <v>26</v>
      </c>
      <c r="R651" s="1" t="s">
        <v>26</v>
      </c>
      <c r="S651" s="2">
        <v>0</v>
      </c>
    </row>
    <row r="652" spans="1:19" x14ac:dyDescent="0.3">
      <c r="A652" t="s">
        <v>1329</v>
      </c>
      <c r="B652" s="5" t="e" cm="1">
        <f t="array" ref="B652">MAX(#REF!,MIN(#REF!,#REF!+SUMPRODUCT(--(FoodData[[#This Row],[Healthy]:[Refined]]="Yes"),#REF!)+FoodData[[#This Row],[Adjust]]))</f>
        <v>#REF!</v>
      </c>
      <c r="C652" s="1" t="e">
        <f>LOOKUP(FoodData[[#This Row],[Score]],#REF!,#REF!)</f>
        <v>#REF!</v>
      </c>
      <c r="D652" t="s">
        <v>1153</v>
      </c>
      <c r="E652" t="s">
        <v>28</v>
      </c>
      <c r="F652" t="s">
        <v>22</v>
      </c>
      <c r="G652" t="s">
        <v>23</v>
      </c>
      <c r="H652" t="s">
        <v>1330</v>
      </c>
      <c r="I652" s="1" t="s">
        <v>25</v>
      </c>
      <c r="J652" s="1" t="s">
        <v>25</v>
      </c>
      <c r="K652" s="1" t="s">
        <v>25</v>
      </c>
      <c r="L652" s="1" t="s">
        <v>25</v>
      </c>
      <c r="M652" s="1" t="s">
        <v>25</v>
      </c>
      <c r="N652" s="1" t="s">
        <v>26</v>
      </c>
      <c r="O652" s="1" t="s">
        <v>25</v>
      </c>
      <c r="P652" s="1" t="s">
        <v>25</v>
      </c>
      <c r="Q652" s="1" t="s">
        <v>25</v>
      </c>
      <c r="R652" s="1" t="s">
        <v>26</v>
      </c>
      <c r="S652" s="2">
        <v>0</v>
      </c>
    </row>
    <row r="653" spans="1:19" x14ac:dyDescent="0.3">
      <c r="A653" t="s">
        <v>1331</v>
      </c>
      <c r="B653" s="5" t="e" cm="1">
        <f t="array" ref="B653">MAX(#REF!,MIN(#REF!,#REF!+SUMPRODUCT(--(FoodData[[#This Row],[Healthy]:[Refined]]="Yes"),#REF!)+FoodData[[#This Row],[Adjust]]))</f>
        <v>#REF!</v>
      </c>
      <c r="C653" s="1" t="e">
        <f>LOOKUP(FoodData[[#This Row],[Score]],#REF!,#REF!)</f>
        <v>#REF!</v>
      </c>
      <c r="D653" t="s">
        <v>1153</v>
      </c>
      <c r="E653" t="s">
        <v>28</v>
      </c>
      <c r="F653" t="s">
        <v>22</v>
      </c>
      <c r="G653" t="s">
        <v>23</v>
      </c>
      <c r="H653" t="s">
        <v>1332</v>
      </c>
      <c r="I653" s="1" t="s">
        <v>25</v>
      </c>
      <c r="J653" s="1" t="s">
        <v>25</v>
      </c>
      <c r="K653" s="1" t="s">
        <v>25</v>
      </c>
      <c r="L653" s="1" t="s">
        <v>26</v>
      </c>
      <c r="M653" s="1" t="s">
        <v>25</v>
      </c>
      <c r="N653" s="1" t="s">
        <v>25</v>
      </c>
      <c r="O653" s="1" t="s">
        <v>25</v>
      </c>
      <c r="P653" s="1" t="s">
        <v>25</v>
      </c>
      <c r="Q653" s="1" t="s">
        <v>25</v>
      </c>
      <c r="R653" s="1" t="s">
        <v>26</v>
      </c>
      <c r="S653" s="2">
        <v>0</v>
      </c>
    </row>
    <row r="654" spans="1:19" x14ac:dyDescent="0.3">
      <c r="A654" t="s">
        <v>1333</v>
      </c>
      <c r="B654" s="5" t="e" cm="1">
        <f t="array" ref="B654">MAX(#REF!,MIN(#REF!,#REF!+SUMPRODUCT(--(FoodData[[#This Row],[Healthy]:[Refined]]="Yes"),#REF!)+FoodData[[#This Row],[Adjust]]))</f>
        <v>#REF!</v>
      </c>
      <c r="C654" s="1" t="e">
        <f>LOOKUP(FoodData[[#This Row],[Score]],#REF!,#REF!)</f>
        <v>#REF!</v>
      </c>
      <c r="D654" t="s">
        <v>1153</v>
      </c>
      <c r="E654" t="s">
        <v>28</v>
      </c>
      <c r="F654" t="s">
        <v>22</v>
      </c>
      <c r="G654" t="s">
        <v>23</v>
      </c>
      <c r="H654" t="s">
        <v>1334</v>
      </c>
      <c r="I654" s="1" t="s">
        <v>25</v>
      </c>
      <c r="J654" s="1" t="s">
        <v>25</v>
      </c>
      <c r="K654" s="1" t="s">
        <v>25</v>
      </c>
      <c r="L654" s="1" t="s">
        <v>25</v>
      </c>
      <c r="M654" s="1" t="s">
        <v>25</v>
      </c>
      <c r="N654" s="1" t="s">
        <v>25</v>
      </c>
      <c r="O654" s="1" t="s">
        <v>26</v>
      </c>
      <c r="P654" s="1" t="s">
        <v>25</v>
      </c>
      <c r="Q654" s="1" t="s">
        <v>26</v>
      </c>
      <c r="R654" s="1" t="s">
        <v>26</v>
      </c>
      <c r="S654" s="2">
        <v>0</v>
      </c>
    </row>
    <row r="655" spans="1:19" x14ac:dyDescent="0.3">
      <c r="A655" t="s">
        <v>1335</v>
      </c>
      <c r="B655" s="5" t="e" cm="1">
        <f t="array" ref="B655">MAX(#REF!,MIN(#REF!,#REF!+SUMPRODUCT(--(FoodData[[#This Row],[Healthy]:[Refined]]="Yes"),#REF!)+FoodData[[#This Row],[Adjust]]))</f>
        <v>#REF!</v>
      </c>
      <c r="C655" s="1" t="e">
        <f>LOOKUP(FoodData[[#This Row],[Score]],#REF!,#REF!)</f>
        <v>#REF!</v>
      </c>
      <c r="D655" t="s">
        <v>1153</v>
      </c>
      <c r="E655" t="s">
        <v>28</v>
      </c>
      <c r="F655" t="s">
        <v>60</v>
      </c>
      <c r="G655" t="s">
        <v>29</v>
      </c>
      <c r="H655" t="s">
        <v>1336</v>
      </c>
      <c r="I655" s="1" t="s">
        <v>26</v>
      </c>
      <c r="J655" s="1" t="s">
        <v>25</v>
      </c>
      <c r="K655" s="1" t="s">
        <v>26</v>
      </c>
      <c r="L655" s="1" t="s">
        <v>25</v>
      </c>
      <c r="M655" s="1" t="s">
        <v>25</v>
      </c>
      <c r="N655" s="1" t="s">
        <v>25</v>
      </c>
      <c r="O655" s="1" t="s">
        <v>25</v>
      </c>
      <c r="P655" s="1" t="s">
        <v>25</v>
      </c>
      <c r="Q655" s="1" t="s">
        <v>25</v>
      </c>
      <c r="R655" s="1" t="s">
        <v>25</v>
      </c>
      <c r="S655" s="2">
        <v>0</v>
      </c>
    </row>
    <row r="656" spans="1:19" x14ac:dyDescent="0.3">
      <c r="A656" t="s">
        <v>1337</v>
      </c>
      <c r="B656" s="5" t="e" cm="1">
        <f t="array" ref="B656">MAX(#REF!,MIN(#REF!,#REF!+SUMPRODUCT(--(FoodData[[#This Row],[Healthy]:[Refined]]="Yes"),#REF!)+FoodData[[#This Row],[Adjust]]))</f>
        <v>#REF!</v>
      </c>
      <c r="C656" s="1" t="e">
        <f>LOOKUP(FoodData[[#This Row],[Score]],#REF!,#REF!)</f>
        <v>#REF!</v>
      </c>
      <c r="D656" t="s">
        <v>1153</v>
      </c>
      <c r="E656" t="s">
        <v>28</v>
      </c>
      <c r="F656" t="s">
        <v>22</v>
      </c>
      <c r="G656" t="s">
        <v>23</v>
      </c>
      <c r="H656" t="s">
        <v>1338</v>
      </c>
      <c r="I656" s="1" t="s">
        <v>25</v>
      </c>
      <c r="J656" s="1" t="s">
        <v>25</v>
      </c>
      <c r="K656" s="1" t="s">
        <v>25</v>
      </c>
      <c r="L656" s="1" t="s">
        <v>25</v>
      </c>
      <c r="M656" s="1" t="s">
        <v>25</v>
      </c>
      <c r="N656" s="1" t="s">
        <v>26</v>
      </c>
      <c r="O656" s="1" t="s">
        <v>25</v>
      </c>
      <c r="P656" s="1" t="s">
        <v>26</v>
      </c>
      <c r="Q656" s="1" t="s">
        <v>25</v>
      </c>
      <c r="R656" s="1" t="s">
        <v>25</v>
      </c>
      <c r="S656" s="2">
        <v>0</v>
      </c>
    </row>
    <row r="657" spans="1:19" x14ac:dyDescent="0.3">
      <c r="A657" t="s">
        <v>1339</v>
      </c>
      <c r="B657" s="5" t="e" cm="1">
        <f t="array" ref="B657">MAX(#REF!,MIN(#REF!,#REF!+SUMPRODUCT(--(FoodData[[#This Row],[Healthy]:[Refined]]="Yes"),#REF!)+FoodData[[#This Row],[Adjust]]))</f>
        <v>#REF!</v>
      </c>
      <c r="C657" s="1" t="e">
        <f>LOOKUP(FoodData[[#This Row],[Score]],#REF!,#REF!)</f>
        <v>#REF!</v>
      </c>
      <c r="D657" t="s">
        <v>1153</v>
      </c>
      <c r="E657" t="s">
        <v>28</v>
      </c>
      <c r="F657" t="s">
        <v>60</v>
      </c>
      <c r="G657" t="s">
        <v>23</v>
      </c>
      <c r="H657" t="s">
        <v>1340</v>
      </c>
      <c r="I657" s="1" t="s">
        <v>25</v>
      </c>
      <c r="J657" s="1" t="s">
        <v>25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25</v>
      </c>
      <c r="Q657" s="1" t="s">
        <v>25</v>
      </c>
      <c r="R657" s="1" t="s">
        <v>26</v>
      </c>
      <c r="S657" s="2">
        <v>0</v>
      </c>
    </row>
    <row r="658" spans="1:19" x14ac:dyDescent="0.3">
      <c r="A658" t="s">
        <v>1341</v>
      </c>
      <c r="B658" s="5" t="e" cm="1">
        <f t="array" ref="B658">MAX(#REF!,MIN(#REF!,#REF!+SUMPRODUCT(--(FoodData[[#This Row],[Healthy]:[Refined]]="Yes"),#REF!)+FoodData[[#This Row],[Adjust]]))</f>
        <v>#REF!</v>
      </c>
      <c r="C658" s="1" t="e">
        <f>LOOKUP(FoodData[[#This Row],[Score]],#REF!,#REF!)</f>
        <v>#REF!</v>
      </c>
      <c r="D658" t="s">
        <v>1153</v>
      </c>
      <c r="E658" t="s">
        <v>28</v>
      </c>
      <c r="F658" t="s">
        <v>22</v>
      </c>
      <c r="G658" t="s">
        <v>23</v>
      </c>
      <c r="H658" t="s">
        <v>1342</v>
      </c>
      <c r="I658" s="1" t="s">
        <v>25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26</v>
      </c>
      <c r="O658" s="1" t="s">
        <v>25</v>
      </c>
      <c r="P658" s="1" t="s">
        <v>25</v>
      </c>
      <c r="Q658" s="1" t="s">
        <v>25</v>
      </c>
      <c r="R658" s="1" t="s">
        <v>26</v>
      </c>
      <c r="S658" s="2">
        <v>0</v>
      </c>
    </row>
    <row r="659" spans="1:19" x14ac:dyDescent="0.3">
      <c r="A659" t="s">
        <v>1343</v>
      </c>
      <c r="B659" s="5" t="e" cm="1">
        <f t="array" ref="B659">MAX(#REF!,MIN(#REF!,#REF!+SUMPRODUCT(--(FoodData[[#This Row],[Healthy]:[Refined]]="Yes"),#REF!)+FoodData[[#This Row],[Adjust]]))</f>
        <v>#REF!</v>
      </c>
      <c r="C659" s="1" t="e">
        <f>LOOKUP(FoodData[[#This Row],[Score]],#REF!,#REF!)</f>
        <v>#REF!</v>
      </c>
      <c r="D659" t="s">
        <v>1153</v>
      </c>
      <c r="E659" t="s">
        <v>28</v>
      </c>
      <c r="F659" t="s">
        <v>22</v>
      </c>
      <c r="G659" t="s">
        <v>23</v>
      </c>
      <c r="H659" t="s">
        <v>1344</v>
      </c>
      <c r="I659" s="1" t="s">
        <v>25</v>
      </c>
      <c r="J659" s="1" t="s">
        <v>25</v>
      </c>
      <c r="K659" s="1" t="s">
        <v>25</v>
      </c>
      <c r="L659" s="1" t="s">
        <v>25</v>
      </c>
      <c r="M659" s="1" t="s">
        <v>25</v>
      </c>
      <c r="N659" s="1" t="s">
        <v>25</v>
      </c>
      <c r="O659" s="1" t="s">
        <v>26</v>
      </c>
      <c r="P659" s="1" t="s">
        <v>25</v>
      </c>
      <c r="Q659" s="1" t="s">
        <v>25</v>
      </c>
      <c r="R659" s="1" t="s">
        <v>26</v>
      </c>
      <c r="S659" s="2">
        <v>0</v>
      </c>
    </row>
    <row r="660" spans="1:19" x14ac:dyDescent="0.3">
      <c r="A660" t="s">
        <v>1345</v>
      </c>
      <c r="B660" s="5" t="e" cm="1">
        <f t="array" ref="B660">MAX(#REF!,MIN(#REF!,#REF!+SUMPRODUCT(--(FoodData[[#This Row],[Healthy]:[Refined]]="Yes"),#REF!)+FoodData[[#This Row],[Adjust]]))</f>
        <v>#REF!</v>
      </c>
      <c r="C660" s="1" t="e">
        <f>LOOKUP(FoodData[[#This Row],[Score]],#REF!,#REF!)</f>
        <v>#REF!</v>
      </c>
      <c r="D660" t="s">
        <v>1153</v>
      </c>
      <c r="E660" t="s">
        <v>28</v>
      </c>
      <c r="F660" t="s">
        <v>22</v>
      </c>
      <c r="G660" t="s">
        <v>23</v>
      </c>
      <c r="H660" t="s">
        <v>1346</v>
      </c>
      <c r="I660" s="1" t="s">
        <v>25</v>
      </c>
      <c r="J660" s="1" t="s">
        <v>25</v>
      </c>
      <c r="K660" s="1" t="s">
        <v>25</v>
      </c>
      <c r="L660" s="1" t="s">
        <v>26</v>
      </c>
      <c r="M660" s="1" t="s">
        <v>25</v>
      </c>
      <c r="N660" s="1" t="s">
        <v>25</v>
      </c>
      <c r="O660" s="1" t="s">
        <v>25</v>
      </c>
      <c r="P660" s="1" t="s">
        <v>25</v>
      </c>
      <c r="Q660" s="1" t="s">
        <v>25</v>
      </c>
      <c r="R660" s="1" t="s">
        <v>26</v>
      </c>
      <c r="S660" s="2">
        <v>0</v>
      </c>
    </row>
    <row r="661" spans="1:19" x14ac:dyDescent="0.3">
      <c r="A661" t="s">
        <v>1347</v>
      </c>
      <c r="B661" s="5" t="e" cm="1">
        <f t="array" ref="B661">MAX(#REF!,MIN(#REF!,#REF!+SUMPRODUCT(--(FoodData[[#This Row],[Healthy]:[Refined]]="Yes"),#REF!)+FoodData[[#This Row],[Adjust]]))</f>
        <v>#REF!</v>
      </c>
      <c r="C661" s="1" t="e">
        <f>LOOKUP(FoodData[[#This Row],[Score]],#REF!,#REF!)</f>
        <v>#REF!</v>
      </c>
      <c r="D661" t="s">
        <v>1153</v>
      </c>
      <c r="E661" t="s">
        <v>28</v>
      </c>
      <c r="F661" t="s">
        <v>22</v>
      </c>
      <c r="G661" t="s">
        <v>23</v>
      </c>
      <c r="H661" t="s">
        <v>1348</v>
      </c>
      <c r="I661" s="1" t="s">
        <v>25</v>
      </c>
      <c r="J661" s="1" t="s">
        <v>25</v>
      </c>
      <c r="K661" s="1" t="s">
        <v>25</v>
      </c>
      <c r="L661" s="1" t="s">
        <v>25</v>
      </c>
      <c r="M661" s="1" t="s">
        <v>25</v>
      </c>
      <c r="N661" s="1" t="s">
        <v>26</v>
      </c>
      <c r="O661" s="1" t="s">
        <v>25</v>
      </c>
      <c r="P661" s="1" t="s">
        <v>26</v>
      </c>
      <c r="Q661" s="1" t="s">
        <v>26</v>
      </c>
      <c r="R661" s="1" t="s">
        <v>26</v>
      </c>
      <c r="S661" s="2">
        <v>0</v>
      </c>
    </row>
    <row r="662" spans="1:19" x14ac:dyDescent="0.3">
      <c r="A662" t="s">
        <v>1349</v>
      </c>
      <c r="B662" s="5" t="e" cm="1">
        <f t="array" ref="B662">MAX(#REF!,MIN(#REF!,#REF!+SUMPRODUCT(--(FoodData[[#This Row],[Healthy]:[Refined]]="Yes"),#REF!)+FoodData[[#This Row],[Adjust]]))</f>
        <v>#REF!</v>
      </c>
      <c r="C662" s="1" t="e">
        <f>LOOKUP(FoodData[[#This Row],[Score]],#REF!,#REF!)</f>
        <v>#REF!</v>
      </c>
      <c r="D662" t="s">
        <v>1153</v>
      </c>
      <c r="E662" t="s">
        <v>28</v>
      </c>
      <c r="F662" t="s">
        <v>22</v>
      </c>
      <c r="G662" t="s">
        <v>23</v>
      </c>
      <c r="H662" t="s">
        <v>1350</v>
      </c>
      <c r="I662" s="1" t="s">
        <v>25</v>
      </c>
      <c r="J662" s="1" t="s">
        <v>25</v>
      </c>
      <c r="K662" s="1" t="s">
        <v>26</v>
      </c>
      <c r="L662" s="1" t="s">
        <v>26</v>
      </c>
      <c r="M662" s="1" t="s">
        <v>25</v>
      </c>
      <c r="N662" s="1" t="s">
        <v>26</v>
      </c>
      <c r="O662" s="1" t="s">
        <v>25</v>
      </c>
      <c r="P662" s="1" t="s">
        <v>25</v>
      </c>
      <c r="Q662" s="1" t="s">
        <v>26</v>
      </c>
      <c r="R662" s="1" t="s">
        <v>26</v>
      </c>
      <c r="S662" s="2">
        <v>0</v>
      </c>
    </row>
    <row r="663" spans="1:19" x14ac:dyDescent="0.3">
      <c r="A663" t="s">
        <v>1351</v>
      </c>
      <c r="B663" s="5" t="e" cm="1">
        <f t="array" ref="B663">MAX(#REF!,MIN(#REF!,#REF!+SUMPRODUCT(--(FoodData[[#This Row],[Healthy]:[Refined]]="Yes"),#REF!)+FoodData[[#This Row],[Adjust]]))</f>
        <v>#REF!</v>
      </c>
      <c r="C663" s="1" t="e">
        <f>LOOKUP(FoodData[[#This Row],[Score]],#REF!,#REF!)</f>
        <v>#REF!</v>
      </c>
      <c r="D663" t="s">
        <v>1153</v>
      </c>
      <c r="E663" t="s">
        <v>28</v>
      </c>
      <c r="F663" t="s">
        <v>22</v>
      </c>
      <c r="G663" t="s">
        <v>23</v>
      </c>
      <c r="H663" t="s">
        <v>1352</v>
      </c>
      <c r="I663" s="1" t="s">
        <v>25</v>
      </c>
      <c r="J663" s="1" t="s">
        <v>25</v>
      </c>
      <c r="K663" s="1" t="s">
        <v>26</v>
      </c>
      <c r="L663" s="1" t="s">
        <v>26</v>
      </c>
      <c r="M663" s="1" t="s">
        <v>25</v>
      </c>
      <c r="N663" s="1" t="s">
        <v>25</v>
      </c>
      <c r="O663" s="1" t="s">
        <v>25</v>
      </c>
      <c r="P663" s="1" t="s">
        <v>25</v>
      </c>
      <c r="Q663" s="1" t="s">
        <v>25</v>
      </c>
      <c r="R663" s="1" t="s">
        <v>26</v>
      </c>
      <c r="S663" s="2">
        <v>0</v>
      </c>
    </row>
    <row r="664" spans="1:19" x14ac:dyDescent="0.3">
      <c r="A664" t="s">
        <v>1353</v>
      </c>
      <c r="B664" s="5" t="e" cm="1">
        <f t="array" ref="B664">MAX(#REF!,MIN(#REF!,#REF!+SUMPRODUCT(--(FoodData[[#This Row],[Healthy]:[Refined]]="Yes"),#REF!)+FoodData[[#This Row],[Adjust]]))</f>
        <v>#REF!</v>
      </c>
      <c r="C664" s="1" t="e">
        <f>LOOKUP(FoodData[[#This Row],[Score]],#REF!,#REF!)</f>
        <v>#REF!</v>
      </c>
      <c r="D664" t="s">
        <v>1153</v>
      </c>
      <c r="E664" t="s">
        <v>28</v>
      </c>
      <c r="F664" t="s">
        <v>22</v>
      </c>
      <c r="G664" t="s">
        <v>23</v>
      </c>
      <c r="H664" t="s">
        <v>1354</v>
      </c>
      <c r="I664" s="1" t="s">
        <v>25</v>
      </c>
      <c r="J664" s="1" t="s">
        <v>25</v>
      </c>
      <c r="K664" s="1" t="s">
        <v>25</v>
      </c>
      <c r="L664" s="1" t="s">
        <v>26</v>
      </c>
      <c r="M664" s="1" t="s">
        <v>25</v>
      </c>
      <c r="N664" s="1" t="s">
        <v>26</v>
      </c>
      <c r="O664" s="1" t="s">
        <v>25</v>
      </c>
      <c r="P664" s="1" t="s">
        <v>25</v>
      </c>
      <c r="Q664" s="1" t="s">
        <v>25</v>
      </c>
      <c r="R664" s="1" t="s">
        <v>25</v>
      </c>
      <c r="S664" s="2">
        <v>0</v>
      </c>
    </row>
    <row r="665" spans="1:19" x14ac:dyDescent="0.3">
      <c r="A665" t="s">
        <v>1355</v>
      </c>
      <c r="B665" s="5" t="e" cm="1">
        <f t="array" ref="B665">MAX(#REF!,MIN(#REF!,#REF!+SUMPRODUCT(--(FoodData[[#This Row],[Healthy]:[Refined]]="Yes"),#REF!)+FoodData[[#This Row],[Adjust]]))</f>
        <v>#REF!</v>
      </c>
      <c r="C665" s="1" t="e">
        <f>LOOKUP(FoodData[[#This Row],[Score]],#REF!,#REF!)</f>
        <v>#REF!</v>
      </c>
      <c r="D665" t="s">
        <v>1153</v>
      </c>
      <c r="E665" t="s">
        <v>28</v>
      </c>
      <c r="F665" t="s">
        <v>22</v>
      </c>
      <c r="G665" t="s">
        <v>23</v>
      </c>
      <c r="H665" t="s">
        <v>1356</v>
      </c>
      <c r="I665" s="1" t="s">
        <v>25</v>
      </c>
      <c r="J665" s="1" t="s">
        <v>25</v>
      </c>
      <c r="K665" s="1" t="s">
        <v>25</v>
      </c>
      <c r="L665" s="1" t="s">
        <v>26</v>
      </c>
      <c r="M665" s="1" t="s">
        <v>25</v>
      </c>
      <c r="N665" s="1" t="s">
        <v>26</v>
      </c>
      <c r="O665" s="1" t="s">
        <v>25</v>
      </c>
      <c r="P665" s="1" t="s">
        <v>25</v>
      </c>
      <c r="Q665" s="1" t="s">
        <v>25</v>
      </c>
      <c r="R665" s="1" t="s">
        <v>26</v>
      </c>
      <c r="S665" s="2">
        <v>0</v>
      </c>
    </row>
    <row r="666" spans="1:19" x14ac:dyDescent="0.3">
      <c r="A666" t="s">
        <v>1357</v>
      </c>
      <c r="B666" s="5" t="e" cm="1">
        <f t="array" ref="B666">MAX(#REF!,MIN(#REF!,#REF!+SUMPRODUCT(--(FoodData[[#This Row],[Healthy]:[Refined]]="Yes"),#REF!)+FoodData[[#This Row],[Adjust]]))</f>
        <v>#REF!</v>
      </c>
      <c r="C666" s="1" t="e">
        <f>LOOKUP(FoodData[[#This Row],[Score]],#REF!,#REF!)</f>
        <v>#REF!</v>
      </c>
      <c r="D666" t="s">
        <v>1153</v>
      </c>
      <c r="E666" t="s">
        <v>28</v>
      </c>
      <c r="F666" t="s">
        <v>22</v>
      </c>
      <c r="G666" t="s">
        <v>23</v>
      </c>
      <c r="H666" t="s">
        <v>1358</v>
      </c>
      <c r="I666" s="1" t="s">
        <v>25</v>
      </c>
      <c r="J666" s="1" t="s">
        <v>25</v>
      </c>
      <c r="K666" s="1" t="s">
        <v>25</v>
      </c>
      <c r="L666" s="1" t="s">
        <v>25</v>
      </c>
      <c r="M666" s="1" t="s">
        <v>25</v>
      </c>
      <c r="N666" s="1" t="s">
        <v>26</v>
      </c>
      <c r="O666" s="1" t="s">
        <v>25</v>
      </c>
      <c r="P666" s="1" t="s">
        <v>26</v>
      </c>
      <c r="Q666" s="1" t="s">
        <v>25</v>
      </c>
      <c r="R666" s="1" t="s">
        <v>25</v>
      </c>
      <c r="S666" s="2">
        <v>0</v>
      </c>
    </row>
    <row r="667" spans="1:19" x14ac:dyDescent="0.3">
      <c r="A667" t="s">
        <v>1359</v>
      </c>
      <c r="B667" s="5" t="e" cm="1">
        <f t="array" ref="B667">MAX(#REF!,MIN(#REF!,#REF!+SUMPRODUCT(--(FoodData[[#This Row],[Healthy]:[Refined]]="Yes"),#REF!)+FoodData[[#This Row],[Adjust]]))</f>
        <v>#REF!</v>
      </c>
      <c r="C667" s="1" t="e">
        <f>LOOKUP(FoodData[[#This Row],[Score]],#REF!,#REF!)</f>
        <v>#REF!</v>
      </c>
      <c r="D667" t="s">
        <v>1153</v>
      </c>
      <c r="E667" t="s">
        <v>199</v>
      </c>
      <c r="F667" t="s">
        <v>22</v>
      </c>
      <c r="G667" t="s">
        <v>23</v>
      </c>
      <c r="H667" t="s">
        <v>1360</v>
      </c>
      <c r="I667" s="1" t="s">
        <v>25</v>
      </c>
      <c r="J667" s="1" t="s">
        <v>25</v>
      </c>
      <c r="K667" s="1" t="s">
        <v>26</v>
      </c>
      <c r="L667" s="1" t="s">
        <v>26</v>
      </c>
      <c r="M667" s="1" t="s">
        <v>25</v>
      </c>
      <c r="N667" s="1" t="s">
        <v>26</v>
      </c>
      <c r="O667" s="1" t="s">
        <v>25</v>
      </c>
      <c r="P667" s="1" t="s">
        <v>26</v>
      </c>
      <c r="Q667" s="1" t="s">
        <v>26</v>
      </c>
      <c r="R667" s="1" t="s">
        <v>26</v>
      </c>
      <c r="S667" s="2">
        <v>0</v>
      </c>
    </row>
    <row r="668" spans="1:19" x14ac:dyDescent="0.3">
      <c r="A668" t="s">
        <v>1361</v>
      </c>
      <c r="B668" s="5" t="e" cm="1">
        <f t="array" ref="B668">MAX(#REF!,MIN(#REF!,#REF!+SUMPRODUCT(--(FoodData[[#This Row],[Healthy]:[Refined]]="Yes"),#REF!)+FoodData[[#This Row],[Adjust]]))</f>
        <v>#REF!</v>
      </c>
      <c r="C668" s="1" t="e">
        <f>LOOKUP(FoodData[[#This Row],[Score]],#REF!,#REF!)</f>
        <v>#REF!</v>
      </c>
      <c r="D668" t="s">
        <v>1153</v>
      </c>
      <c r="E668" t="s">
        <v>63</v>
      </c>
      <c r="F668" t="s">
        <v>22</v>
      </c>
      <c r="G668" t="s">
        <v>23</v>
      </c>
      <c r="H668" t="s">
        <v>1362</v>
      </c>
      <c r="I668" s="1" t="s">
        <v>25</v>
      </c>
      <c r="J668" s="1" t="s">
        <v>25</v>
      </c>
      <c r="K668" s="1" t="s">
        <v>25</v>
      </c>
      <c r="L668" s="1" t="s">
        <v>26</v>
      </c>
      <c r="M668" s="1" t="s">
        <v>25</v>
      </c>
      <c r="N668" s="1" t="s">
        <v>25</v>
      </c>
      <c r="O668" s="1" t="s">
        <v>25</v>
      </c>
      <c r="P668" s="1" t="s">
        <v>25</v>
      </c>
      <c r="Q668" s="1" t="s">
        <v>25</v>
      </c>
      <c r="R668" s="1" t="s">
        <v>26</v>
      </c>
      <c r="S668" s="2">
        <v>0</v>
      </c>
    </row>
    <row r="669" spans="1:19" x14ac:dyDescent="0.3">
      <c r="A669" t="s">
        <v>1363</v>
      </c>
      <c r="B669" s="5" t="e" cm="1">
        <f t="array" ref="B669">MAX(#REF!,MIN(#REF!,#REF!+SUMPRODUCT(--(FoodData[[#This Row],[Healthy]:[Refined]]="Yes"),#REF!)+FoodData[[#This Row],[Adjust]]))</f>
        <v>#REF!</v>
      </c>
      <c r="C669" s="1" t="e">
        <f>LOOKUP(FoodData[[#This Row],[Score]],#REF!,#REF!)</f>
        <v>#REF!</v>
      </c>
      <c r="D669" t="s">
        <v>1153</v>
      </c>
      <c r="E669" t="s">
        <v>28</v>
      </c>
      <c r="F669" t="s">
        <v>22</v>
      </c>
      <c r="G669" t="s">
        <v>23</v>
      </c>
      <c r="H669" t="s">
        <v>1364</v>
      </c>
      <c r="I669" s="1" t="s">
        <v>25</v>
      </c>
      <c r="J669" s="1" t="s">
        <v>25</v>
      </c>
      <c r="K669" s="1" t="s">
        <v>25</v>
      </c>
      <c r="L669" s="1" t="s">
        <v>26</v>
      </c>
      <c r="M669" s="1" t="s">
        <v>25</v>
      </c>
      <c r="N669" s="1" t="s">
        <v>25</v>
      </c>
      <c r="O669" s="1" t="s">
        <v>26</v>
      </c>
      <c r="P669" s="1" t="s">
        <v>25</v>
      </c>
      <c r="Q669" s="1" t="s">
        <v>26</v>
      </c>
      <c r="R669" s="1" t="s">
        <v>26</v>
      </c>
      <c r="S669" s="2">
        <v>0</v>
      </c>
    </row>
    <row r="670" spans="1:19" x14ac:dyDescent="0.3">
      <c r="A670" t="s">
        <v>1365</v>
      </c>
      <c r="B670" s="5" t="e" cm="1">
        <f t="array" ref="B670">MAX(#REF!,MIN(#REF!,#REF!+SUMPRODUCT(--(FoodData[[#This Row],[Healthy]:[Refined]]="Yes"),#REF!)+FoodData[[#This Row],[Adjust]]))</f>
        <v>#REF!</v>
      </c>
      <c r="C670" s="1" t="e">
        <f>LOOKUP(FoodData[[#This Row],[Score]],#REF!,#REF!)</f>
        <v>#REF!</v>
      </c>
      <c r="D670" t="s">
        <v>1153</v>
      </c>
      <c r="E670" t="s">
        <v>28</v>
      </c>
      <c r="F670" t="s">
        <v>22</v>
      </c>
      <c r="G670" t="s">
        <v>23</v>
      </c>
      <c r="H670" t="s">
        <v>1366</v>
      </c>
      <c r="I670" s="1" t="s">
        <v>25</v>
      </c>
      <c r="J670" s="1" t="s">
        <v>25</v>
      </c>
      <c r="K670" s="1" t="s">
        <v>26</v>
      </c>
      <c r="L670" s="1" t="s">
        <v>26</v>
      </c>
      <c r="M670" s="1" t="s">
        <v>25</v>
      </c>
      <c r="N670" s="1" t="s">
        <v>25</v>
      </c>
      <c r="O670" s="1" t="s">
        <v>25</v>
      </c>
      <c r="P670" s="1" t="s">
        <v>26</v>
      </c>
      <c r="Q670" s="1" t="s">
        <v>25</v>
      </c>
      <c r="R670" s="1" t="s">
        <v>25</v>
      </c>
      <c r="S670" s="2">
        <v>0</v>
      </c>
    </row>
    <row r="671" spans="1:19" x14ac:dyDescent="0.3">
      <c r="A671" t="s">
        <v>1367</v>
      </c>
      <c r="B671" s="5" t="e" cm="1">
        <f t="array" ref="B671">MAX(#REF!,MIN(#REF!,#REF!+SUMPRODUCT(--(FoodData[[#This Row],[Healthy]:[Refined]]="Yes"),#REF!)+FoodData[[#This Row],[Adjust]]))</f>
        <v>#REF!</v>
      </c>
      <c r="C671" s="1" t="e">
        <f>LOOKUP(FoodData[[#This Row],[Score]],#REF!,#REF!)</f>
        <v>#REF!</v>
      </c>
      <c r="D671" t="s">
        <v>1153</v>
      </c>
      <c r="E671" t="s">
        <v>28</v>
      </c>
      <c r="F671" t="s">
        <v>22</v>
      </c>
      <c r="G671" t="s">
        <v>23</v>
      </c>
      <c r="H671" t="s">
        <v>1368</v>
      </c>
      <c r="I671" s="1" t="s">
        <v>25</v>
      </c>
      <c r="J671" s="1" t="s">
        <v>25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26</v>
      </c>
      <c r="Q671" s="1" t="s">
        <v>26</v>
      </c>
      <c r="R671" s="1" t="s">
        <v>26</v>
      </c>
      <c r="S671" s="2">
        <v>0</v>
      </c>
    </row>
    <row r="672" spans="1:19" x14ac:dyDescent="0.3">
      <c r="A672" t="s">
        <v>1369</v>
      </c>
      <c r="B672" s="5" t="e" cm="1">
        <f t="array" ref="B672">MAX(#REF!,MIN(#REF!,#REF!+SUMPRODUCT(--(FoodData[[#This Row],[Healthy]:[Refined]]="Yes"),#REF!)+FoodData[[#This Row],[Adjust]]))</f>
        <v>#REF!</v>
      </c>
      <c r="C672" s="1" t="e">
        <f>LOOKUP(FoodData[[#This Row],[Score]],#REF!,#REF!)</f>
        <v>#REF!</v>
      </c>
      <c r="D672" t="s">
        <v>1153</v>
      </c>
      <c r="E672" t="s">
        <v>28</v>
      </c>
      <c r="F672" t="s">
        <v>22</v>
      </c>
      <c r="G672" t="s">
        <v>23</v>
      </c>
      <c r="H672" t="s">
        <v>1370</v>
      </c>
      <c r="I672" s="1" t="s">
        <v>25</v>
      </c>
      <c r="J672" s="1" t="s">
        <v>25</v>
      </c>
      <c r="K672" s="1" t="s">
        <v>25</v>
      </c>
      <c r="L672" s="1" t="s">
        <v>25</v>
      </c>
      <c r="M672" s="1" t="s">
        <v>25</v>
      </c>
      <c r="N672" s="1" t="s">
        <v>25</v>
      </c>
      <c r="O672" s="1" t="s">
        <v>26</v>
      </c>
      <c r="P672" s="1" t="s">
        <v>25</v>
      </c>
      <c r="Q672" s="1" t="s">
        <v>26</v>
      </c>
      <c r="R672" s="1" t="s">
        <v>26</v>
      </c>
      <c r="S672" s="2">
        <v>0</v>
      </c>
    </row>
    <row r="673" spans="1:19" x14ac:dyDescent="0.3">
      <c r="A673" t="s">
        <v>1371</v>
      </c>
      <c r="B673" s="5" t="e" cm="1">
        <f t="array" ref="B673">MAX(#REF!,MIN(#REF!,#REF!+SUMPRODUCT(--(FoodData[[#This Row],[Healthy]:[Refined]]="Yes"),#REF!)+FoodData[[#This Row],[Adjust]]))</f>
        <v>#REF!</v>
      </c>
      <c r="C673" s="1" t="e">
        <f>LOOKUP(FoodData[[#This Row],[Score]],#REF!,#REF!)</f>
        <v>#REF!</v>
      </c>
      <c r="D673" t="s">
        <v>1153</v>
      </c>
      <c r="E673" t="s">
        <v>28</v>
      </c>
      <c r="F673" t="s">
        <v>22</v>
      </c>
      <c r="G673" t="s">
        <v>23</v>
      </c>
      <c r="H673" t="s">
        <v>1372</v>
      </c>
      <c r="I673" s="1" t="s">
        <v>25</v>
      </c>
      <c r="J673" s="1" t="s">
        <v>25</v>
      </c>
      <c r="K673" s="1" t="s">
        <v>25</v>
      </c>
      <c r="L673" s="1" t="s">
        <v>26</v>
      </c>
      <c r="M673" s="1" t="s">
        <v>25</v>
      </c>
      <c r="N673" s="1" t="s">
        <v>26</v>
      </c>
      <c r="O673" s="1" t="s">
        <v>25</v>
      </c>
      <c r="P673" s="1" t="s">
        <v>25</v>
      </c>
      <c r="Q673" s="1" t="s">
        <v>25</v>
      </c>
      <c r="R673" s="1" t="s">
        <v>25</v>
      </c>
      <c r="S673" s="2">
        <v>0</v>
      </c>
    </row>
    <row r="674" spans="1:19" x14ac:dyDescent="0.3">
      <c r="A674" t="s">
        <v>1373</v>
      </c>
      <c r="B674" s="5" t="e" cm="1">
        <f t="array" ref="B674">MAX(#REF!,MIN(#REF!,#REF!+SUMPRODUCT(--(FoodData[[#This Row],[Healthy]:[Refined]]="Yes"),#REF!)+FoodData[[#This Row],[Adjust]]))</f>
        <v>#REF!</v>
      </c>
      <c r="C674" s="1" t="e">
        <f>LOOKUP(FoodData[[#This Row],[Score]],#REF!,#REF!)</f>
        <v>#REF!</v>
      </c>
      <c r="D674" t="s">
        <v>1153</v>
      </c>
      <c r="E674" t="s">
        <v>28</v>
      </c>
      <c r="F674" t="s">
        <v>22</v>
      </c>
      <c r="G674" t="s">
        <v>23</v>
      </c>
      <c r="H674" t="s">
        <v>1374</v>
      </c>
      <c r="I674" s="1" t="s">
        <v>25</v>
      </c>
      <c r="J674" s="1" t="s">
        <v>25</v>
      </c>
      <c r="K674" s="1" t="s">
        <v>25</v>
      </c>
      <c r="L674" s="1" t="s">
        <v>26</v>
      </c>
      <c r="M674" s="1" t="s">
        <v>25</v>
      </c>
      <c r="N674" s="1" t="s">
        <v>25</v>
      </c>
      <c r="O674" s="1" t="s">
        <v>26</v>
      </c>
      <c r="P674" s="1" t="s">
        <v>25</v>
      </c>
      <c r="Q674" s="1" t="s">
        <v>25</v>
      </c>
      <c r="R674" s="1" t="s">
        <v>25</v>
      </c>
      <c r="S674" s="2">
        <v>0</v>
      </c>
    </row>
    <row r="675" spans="1:19" x14ac:dyDescent="0.3">
      <c r="A675" t="s">
        <v>1375</v>
      </c>
      <c r="B675" s="5" t="e" cm="1">
        <f t="array" ref="B675">MAX(#REF!,MIN(#REF!,#REF!+SUMPRODUCT(--(FoodData[[#This Row],[Healthy]:[Refined]]="Yes"),#REF!)+FoodData[[#This Row],[Adjust]]))</f>
        <v>#REF!</v>
      </c>
      <c r="C675" s="1" t="e">
        <f>LOOKUP(FoodData[[#This Row],[Score]],#REF!,#REF!)</f>
        <v>#REF!</v>
      </c>
      <c r="D675" t="s">
        <v>1153</v>
      </c>
      <c r="E675" t="s">
        <v>28</v>
      </c>
      <c r="F675" t="s">
        <v>60</v>
      </c>
      <c r="G675" t="s">
        <v>23</v>
      </c>
      <c r="H675" t="s">
        <v>1376</v>
      </c>
      <c r="I675" s="1" t="s">
        <v>25</v>
      </c>
      <c r="J675" s="1" t="s">
        <v>25</v>
      </c>
      <c r="K675" s="1" t="s">
        <v>26</v>
      </c>
      <c r="L675" s="1" t="s">
        <v>25</v>
      </c>
      <c r="M675" s="1" t="s">
        <v>25</v>
      </c>
      <c r="N675" s="1" t="s">
        <v>26</v>
      </c>
      <c r="O675" s="1" t="s">
        <v>25</v>
      </c>
      <c r="P675" s="1" t="s">
        <v>26</v>
      </c>
      <c r="Q675" s="1" t="s">
        <v>26</v>
      </c>
      <c r="R675" s="1" t="s">
        <v>26</v>
      </c>
      <c r="S675" s="2">
        <v>0</v>
      </c>
    </row>
    <row r="676" spans="1:19" x14ac:dyDescent="0.3">
      <c r="A676" t="s">
        <v>1377</v>
      </c>
      <c r="B676" s="5" t="e" cm="1">
        <f t="array" ref="B676">MAX(#REF!,MIN(#REF!,#REF!+SUMPRODUCT(--(FoodData[[#This Row],[Healthy]:[Refined]]="Yes"),#REF!)+FoodData[[#This Row],[Adjust]]))</f>
        <v>#REF!</v>
      </c>
      <c r="C676" s="1" t="e">
        <f>LOOKUP(FoodData[[#This Row],[Score]],#REF!,#REF!)</f>
        <v>#REF!</v>
      </c>
      <c r="D676" t="s">
        <v>1378</v>
      </c>
      <c r="E676" t="s">
        <v>1379</v>
      </c>
      <c r="F676" t="s">
        <v>22</v>
      </c>
      <c r="G676" t="s">
        <v>162</v>
      </c>
      <c r="H676" t="s">
        <v>1380</v>
      </c>
      <c r="I676" s="1" t="s">
        <v>26</v>
      </c>
      <c r="J676" s="1" t="s">
        <v>26</v>
      </c>
      <c r="K676" s="1" t="s">
        <v>25</v>
      </c>
      <c r="L676" s="1" t="s">
        <v>26</v>
      </c>
      <c r="M676" s="1" t="s">
        <v>25</v>
      </c>
      <c r="N676" s="1" t="s">
        <v>25</v>
      </c>
      <c r="O676" s="1" t="s">
        <v>25</v>
      </c>
      <c r="P676" s="1" t="s">
        <v>25</v>
      </c>
      <c r="Q676" s="1" t="s">
        <v>25</v>
      </c>
      <c r="R676" s="1" t="s">
        <v>25</v>
      </c>
      <c r="S676" s="2">
        <v>0</v>
      </c>
    </row>
    <row r="677" spans="1:19" x14ac:dyDescent="0.3">
      <c r="A677" t="s">
        <v>1381</v>
      </c>
      <c r="B677" s="5" t="e" cm="1">
        <f t="array" ref="B677">MAX(#REF!,MIN(#REF!,#REF!+SUMPRODUCT(--(FoodData[[#This Row],[Healthy]:[Refined]]="Yes"),#REF!)+FoodData[[#This Row],[Adjust]]))</f>
        <v>#REF!</v>
      </c>
      <c r="C677" s="1" t="e">
        <f>LOOKUP(FoodData[[#This Row],[Score]],#REF!,#REF!)</f>
        <v>#REF!</v>
      </c>
      <c r="D677" t="s">
        <v>1378</v>
      </c>
      <c r="E677" t="s">
        <v>1379</v>
      </c>
      <c r="F677" t="s">
        <v>22</v>
      </c>
      <c r="G677" t="s">
        <v>489</v>
      </c>
      <c r="H677" t="s">
        <v>1381</v>
      </c>
      <c r="I677" s="1" t="s">
        <v>26</v>
      </c>
      <c r="J677" s="1" t="s">
        <v>26</v>
      </c>
      <c r="K677" s="1" t="s">
        <v>25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25</v>
      </c>
      <c r="Q677" s="1" t="s">
        <v>25</v>
      </c>
      <c r="R677" s="1" t="s">
        <v>25</v>
      </c>
      <c r="S677" s="2">
        <v>0</v>
      </c>
    </row>
    <row r="678" spans="1:19" x14ac:dyDescent="0.3">
      <c r="A678" t="s">
        <v>1382</v>
      </c>
      <c r="B678" s="5" t="e" cm="1">
        <f t="array" ref="B678">MAX(#REF!,MIN(#REF!,#REF!+SUMPRODUCT(--(FoodData[[#This Row],[Healthy]:[Refined]]="Yes"),#REF!)+FoodData[[#This Row],[Adjust]]))</f>
        <v>#REF!</v>
      </c>
      <c r="C678" s="1" t="e">
        <f>LOOKUP(FoodData[[#This Row],[Score]],#REF!,#REF!)</f>
        <v>#REF!</v>
      </c>
      <c r="D678" t="s">
        <v>1378</v>
      </c>
      <c r="E678" t="s">
        <v>1379</v>
      </c>
      <c r="F678" t="s">
        <v>22</v>
      </c>
      <c r="G678" t="s">
        <v>489</v>
      </c>
      <c r="H678" t="s">
        <v>1383</v>
      </c>
      <c r="I678" s="1" t="s">
        <v>26</v>
      </c>
      <c r="J678" s="1" t="s">
        <v>26</v>
      </c>
      <c r="K678" s="1" t="s">
        <v>26</v>
      </c>
      <c r="L678" s="1" t="s">
        <v>26</v>
      </c>
      <c r="M678" s="1" t="s">
        <v>25</v>
      </c>
      <c r="N678" s="1" t="s">
        <v>25</v>
      </c>
      <c r="O678" s="1" t="s">
        <v>25</v>
      </c>
      <c r="P678" s="1" t="s">
        <v>25</v>
      </c>
      <c r="Q678" s="1" t="s">
        <v>25</v>
      </c>
      <c r="R678" s="1" t="s">
        <v>25</v>
      </c>
      <c r="S678" s="2">
        <v>0</v>
      </c>
    </row>
    <row r="679" spans="1:19" x14ac:dyDescent="0.3">
      <c r="A679" t="s">
        <v>1384</v>
      </c>
      <c r="B679" s="5" t="e" cm="1">
        <f t="array" ref="B679">MAX(#REF!,MIN(#REF!,#REF!+SUMPRODUCT(--(FoodData[[#This Row],[Healthy]:[Refined]]="Yes"),#REF!)+FoodData[[#This Row],[Adjust]]))</f>
        <v>#REF!</v>
      </c>
      <c r="C679" s="1" t="e">
        <f>LOOKUP(FoodData[[#This Row],[Score]],#REF!,#REF!)</f>
        <v>#REF!</v>
      </c>
      <c r="D679" t="s">
        <v>1378</v>
      </c>
      <c r="E679" t="s">
        <v>1379</v>
      </c>
      <c r="F679" t="s">
        <v>22</v>
      </c>
      <c r="G679" t="s">
        <v>489</v>
      </c>
      <c r="H679" t="s">
        <v>1385</v>
      </c>
      <c r="I679" s="1" t="s">
        <v>26</v>
      </c>
      <c r="J679" s="1" t="s">
        <v>26</v>
      </c>
      <c r="K679" s="1" t="s">
        <v>25</v>
      </c>
      <c r="L679" s="1" t="s">
        <v>26</v>
      </c>
      <c r="M679" s="1" t="s">
        <v>25</v>
      </c>
      <c r="N679" s="1" t="s">
        <v>25</v>
      </c>
      <c r="O679" s="1" t="s">
        <v>25</v>
      </c>
      <c r="P679" s="1" t="s">
        <v>25</v>
      </c>
      <c r="Q679" s="1" t="s">
        <v>25</v>
      </c>
      <c r="R679" s="1" t="s">
        <v>25</v>
      </c>
      <c r="S679" s="2">
        <v>0</v>
      </c>
    </row>
    <row r="680" spans="1:19" x14ac:dyDescent="0.3">
      <c r="A680" t="s">
        <v>1386</v>
      </c>
      <c r="B680" s="5" t="e" cm="1">
        <f t="array" ref="B680">MAX(#REF!,MIN(#REF!,#REF!+SUMPRODUCT(--(FoodData[[#This Row],[Healthy]:[Refined]]="Yes"),#REF!)+FoodData[[#This Row],[Adjust]]))</f>
        <v>#REF!</v>
      </c>
      <c r="C680" s="1" t="e">
        <f>LOOKUP(FoodData[[#This Row],[Score]],#REF!,#REF!)</f>
        <v>#REF!</v>
      </c>
      <c r="D680" t="s">
        <v>1378</v>
      </c>
      <c r="E680" t="s">
        <v>1379</v>
      </c>
      <c r="F680" t="s">
        <v>22</v>
      </c>
      <c r="G680" t="s">
        <v>489</v>
      </c>
      <c r="H680" t="s">
        <v>1386</v>
      </c>
      <c r="I680" s="1" t="s">
        <v>26</v>
      </c>
      <c r="J680" s="1" t="s">
        <v>26</v>
      </c>
      <c r="K680" s="1" t="s">
        <v>25</v>
      </c>
      <c r="L680" s="1" t="s">
        <v>25</v>
      </c>
      <c r="M680" s="1" t="s">
        <v>25</v>
      </c>
      <c r="N680" s="1" t="s">
        <v>25</v>
      </c>
      <c r="O680" s="1" t="s">
        <v>25</v>
      </c>
      <c r="P680" s="1" t="s">
        <v>25</v>
      </c>
      <c r="Q680" s="1" t="s">
        <v>25</v>
      </c>
      <c r="R680" s="1" t="s">
        <v>25</v>
      </c>
      <c r="S680" s="2">
        <v>0</v>
      </c>
    </row>
    <row r="681" spans="1:19" x14ac:dyDescent="0.3">
      <c r="A681" t="s">
        <v>1387</v>
      </c>
      <c r="B681" s="5" t="e" cm="1">
        <f t="array" ref="B681">MAX(#REF!,MIN(#REF!,#REF!+SUMPRODUCT(--(FoodData[[#This Row],[Healthy]:[Refined]]="Yes"),#REF!)+FoodData[[#This Row],[Adjust]]))</f>
        <v>#REF!</v>
      </c>
      <c r="C681" s="1" t="e">
        <f>LOOKUP(FoodData[[#This Row],[Score]],#REF!,#REF!)</f>
        <v>#REF!</v>
      </c>
      <c r="D681" t="s">
        <v>1378</v>
      </c>
      <c r="E681" t="s">
        <v>1379</v>
      </c>
      <c r="F681" t="s">
        <v>22</v>
      </c>
      <c r="G681" t="s">
        <v>489</v>
      </c>
      <c r="H681" t="s">
        <v>1388</v>
      </c>
      <c r="I681" s="1" t="s">
        <v>26</v>
      </c>
      <c r="J681" s="1" t="s">
        <v>26</v>
      </c>
      <c r="K681" s="1" t="s">
        <v>26</v>
      </c>
      <c r="L681" s="1" t="s">
        <v>26</v>
      </c>
      <c r="M681" s="1" t="s">
        <v>25</v>
      </c>
      <c r="N681" s="1" t="s">
        <v>25</v>
      </c>
      <c r="O681" s="1" t="s">
        <v>25</v>
      </c>
      <c r="P681" s="1" t="s">
        <v>25</v>
      </c>
      <c r="Q681" s="1" t="s">
        <v>25</v>
      </c>
      <c r="R681" s="1" t="s">
        <v>25</v>
      </c>
      <c r="S681" s="2">
        <v>0</v>
      </c>
    </row>
    <row r="682" spans="1:19" x14ac:dyDescent="0.3">
      <c r="A682" t="s">
        <v>1389</v>
      </c>
      <c r="B682" s="5" t="e" cm="1">
        <f t="array" ref="B682">MAX(#REF!,MIN(#REF!,#REF!+SUMPRODUCT(--(FoodData[[#This Row],[Healthy]:[Refined]]="Yes"),#REF!)+FoodData[[#This Row],[Adjust]]))</f>
        <v>#REF!</v>
      </c>
      <c r="C682" s="1" t="e">
        <f>LOOKUP(FoodData[[#This Row],[Score]],#REF!,#REF!)</f>
        <v>#REF!</v>
      </c>
      <c r="D682" t="s">
        <v>1378</v>
      </c>
      <c r="E682" t="s">
        <v>1379</v>
      </c>
      <c r="F682" t="s">
        <v>22</v>
      </c>
      <c r="G682" t="s">
        <v>489</v>
      </c>
      <c r="H682" t="s">
        <v>1390</v>
      </c>
      <c r="I682" s="1" t="s">
        <v>26</v>
      </c>
      <c r="J682" s="1" t="s">
        <v>26</v>
      </c>
      <c r="K682" s="1" t="s">
        <v>25</v>
      </c>
      <c r="L682" s="1" t="s">
        <v>26</v>
      </c>
      <c r="M682" s="1" t="s">
        <v>25</v>
      </c>
      <c r="N682" s="1" t="s">
        <v>25</v>
      </c>
      <c r="O682" s="1" t="s">
        <v>25</v>
      </c>
      <c r="P682" s="1" t="s">
        <v>25</v>
      </c>
      <c r="Q682" s="1" t="s">
        <v>25</v>
      </c>
      <c r="R682" s="1" t="s">
        <v>25</v>
      </c>
      <c r="S682" s="2">
        <v>0</v>
      </c>
    </row>
    <row r="683" spans="1:19" x14ac:dyDescent="0.3">
      <c r="A683" t="s">
        <v>1391</v>
      </c>
      <c r="B683" s="5" t="e" cm="1">
        <f t="array" ref="B683">MAX(#REF!,MIN(#REF!,#REF!+SUMPRODUCT(--(FoodData[[#This Row],[Healthy]:[Refined]]="Yes"),#REF!)+FoodData[[#This Row],[Adjust]]))</f>
        <v>#REF!</v>
      </c>
      <c r="C683" s="1" t="e">
        <f>LOOKUP(FoodData[[#This Row],[Score]],#REF!,#REF!)</f>
        <v>#REF!</v>
      </c>
      <c r="D683" t="s">
        <v>1378</v>
      </c>
      <c r="E683" t="s">
        <v>1379</v>
      </c>
      <c r="F683" t="s">
        <v>22</v>
      </c>
      <c r="G683" t="s">
        <v>489</v>
      </c>
      <c r="H683" t="s">
        <v>1392</v>
      </c>
      <c r="I683" s="1" t="s">
        <v>26</v>
      </c>
      <c r="J683" s="1" t="s">
        <v>26</v>
      </c>
      <c r="K683" s="1" t="s">
        <v>25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25</v>
      </c>
      <c r="Q683" s="1" t="s">
        <v>25</v>
      </c>
      <c r="R683" s="1" t="s">
        <v>25</v>
      </c>
      <c r="S683" s="2">
        <v>0</v>
      </c>
    </row>
    <row r="684" spans="1:19" x14ac:dyDescent="0.3">
      <c r="A684" t="s">
        <v>1393</v>
      </c>
      <c r="B684" s="5" t="e" cm="1">
        <f t="array" ref="B684">MAX(#REF!,MIN(#REF!,#REF!+SUMPRODUCT(--(FoodData[[#This Row],[Healthy]:[Refined]]="Yes"),#REF!)+FoodData[[#This Row],[Adjust]]))</f>
        <v>#REF!</v>
      </c>
      <c r="C684" s="1" t="e">
        <f>LOOKUP(FoodData[[#This Row],[Score]],#REF!,#REF!)</f>
        <v>#REF!</v>
      </c>
      <c r="D684" t="s">
        <v>1378</v>
      </c>
      <c r="E684" t="s">
        <v>1379</v>
      </c>
      <c r="F684" t="s">
        <v>22</v>
      </c>
      <c r="G684" t="s">
        <v>489</v>
      </c>
      <c r="H684" t="s">
        <v>1394</v>
      </c>
      <c r="I684" s="1" t="s">
        <v>26</v>
      </c>
      <c r="J684" s="1" t="s">
        <v>25</v>
      </c>
      <c r="K684" s="1" t="s">
        <v>25</v>
      </c>
      <c r="L684" s="1" t="s">
        <v>26</v>
      </c>
      <c r="M684" s="1" t="s">
        <v>25</v>
      </c>
      <c r="N684" s="1" t="s">
        <v>25</v>
      </c>
      <c r="O684" s="1" t="s">
        <v>25</v>
      </c>
      <c r="P684" s="1" t="s">
        <v>25</v>
      </c>
      <c r="Q684" s="1" t="s">
        <v>25</v>
      </c>
      <c r="R684" s="1" t="s">
        <v>25</v>
      </c>
      <c r="S684" s="2">
        <v>0</v>
      </c>
    </row>
    <row r="685" spans="1:19" x14ac:dyDescent="0.3">
      <c r="A685" t="s">
        <v>1395</v>
      </c>
      <c r="B685" s="5" t="e" cm="1">
        <f t="array" ref="B685">MAX(#REF!,MIN(#REF!,#REF!+SUMPRODUCT(--(FoodData[[#This Row],[Healthy]:[Refined]]="Yes"),#REF!)+FoodData[[#This Row],[Adjust]]))</f>
        <v>#REF!</v>
      </c>
      <c r="C685" s="1" t="e">
        <f>LOOKUP(FoodData[[#This Row],[Score]],#REF!,#REF!)</f>
        <v>#REF!</v>
      </c>
      <c r="D685" t="s">
        <v>1378</v>
      </c>
      <c r="E685" t="s">
        <v>1379</v>
      </c>
      <c r="F685" t="s">
        <v>22</v>
      </c>
      <c r="G685" t="s">
        <v>489</v>
      </c>
      <c r="H685" t="s">
        <v>1396</v>
      </c>
      <c r="I685" s="1" t="s">
        <v>26</v>
      </c>
      <c r="J685" s="1" t="s">
        <v>25</v>
      </c>
      <c r="K685" s="1" t="s">
        <v>25</v>
      </c>
      <c r="L685" s="1" t="s">
        <v>26</v>
      </c>
      <c r="M685" s="1" t="s">
        <v>25</v>
      </c>
      <c r="N685" s="1" t="s">
        <v>25</v>
      </c>
      <c r="O685" s="1" t="s">
        <v>25</v>
      </c>
      <c r="P685" s="1" t="s">
        <v>25</v>
      </c>
      <c r="Q685" s="1" t="s">
        <v>25</v>
      </c>
      <c r="R685" s="1" t="s">
        <v>25</v>
      </c>
      <c r="S685" s="2">
        <v>0</v>
      </c>
    </row>
    <row r="686" spans="1:19" x14ac:dyDescent="0.3">
      <c r="A686" t="s">
        <v>1397</v>
      </c>
      <c r="B686" s="5" t="e" cm="1">
        <f t="array" ref="B686">MAX(#REF!,MIN(#REF!,#REF!+SUMPRODUCT(--(FoodData[[#This Row],[Healthy]:[Refined]]="Yes"),#REF!)+FoodData[[#This Row],[Adjust]]))</f>
        <v>#REF!</v>
      </c>
      <c r="C686" s="1" t="e">
        <f>LOOKUP(FoodData[[#This Row],[Score]],#REF!,#REF!)</f>
        <v>#REF!</v>
      </c>
      <c r="D686" t="s">
        <v>1378</v>
      </c>
      <c r="E686" t="s">
        <v>1379</v>
      </c>
      <c r="F686" t="s">
        <v>22</v>
      </c>
      <c r="G686" t="s">
        <v>489</v>
      </c>
      <c r="H686" t="s">
        <v>1398</v>
      </c>
      <c r="I686" s="1" t="s">
        <v>26</v>
      </c>
      <c r="J686" s="1" t="s">
        <v>25</v>
      </c>
      <c r="K686" s="1" t="s">
        <v>25</v>
      </c>
      <c r="L686" s="1" t="s">
        <v>26</v>
      </c>
      <c r="M686" s="1" t="s">
        <v>25</v>
      </c>
      <c r="N686" s="1" t="s">
        <v>25</v>
      </c>
      <c r="O686" s="1" t="s">
        <v>25</v>
      </c>
      <c r="P686" s="1" t="s">
        <v>25</v>
      </c>
      <c r="Q686" s="1" t="s">
        <v>25</v>
      </c>
      <c r="R686" s="1" t="s">
        <v>25</v>
      </c>
      <c r="S686" s="2">
        <v>0</v>
      </c>
    </row>
    <row r="687" spans="1:19" x14ac:dyDescent="0.3">
      <c r="A687" t="s">
        <v>1399</v>
      </c>
      <c r="B687" s="5" t="e" cm="1">
        <f t="array" ref="B687">MAX(#REF!,MIN(#REF!,#REF!+SUMPRODUCT(--(FoodData[[#This Row],[Healthy]:[Refined]]="Yes"),#REF!)+FoodData[[#This Row],[Adjust]]))</f>
        <v>#REF!</v>
      </c>
      <c r="C687" s="1" t="e">
        <f>LOOKUP(FoodData[[#This Row],[Score]],#REF!,#REF!)</f>
        <v>#REF!</v>
      </c>
      <c r="D687" t="s">
        <v>1378</v>
      </c>
      <c r="E687" t="s">
        <v>1379</v>
      </c>
      <c r="F687" t="s">
        <v>22</v>
      </c>
      <c r="G687" t="s">
        <v>489</v>
      </c>
      <c r="H687" t="s">
        <v>1400</v>
      </c>
      <c r="I687" s="1" t="s">
        <v>26</v>
      </c>
      <c r="J687" s="1" t="s">
        <v>25</v>
      </c>
      <c r="K687" s="1" t="s">
        <v>25</v>
      </c>
      <c r="L687" s="1" t="s">
        <v>26</v>
      </c>
      <c r="M687" s="1" t="s">
        <v>26</v>
      </c>
      <c r="N687" s="1" t="s">
        <v>25</v>
      </c>
      <c r="O687" s="1" t="s">
        <v>25</v>
      </c>
      <c r="P687" s="1" t="s">
        <v>25</v>
      </c>
      <c r="Q687" s="1" t="s">
        <v>25</v>
      </c>
      <c r="R687" s="1" t="s">
        <v>25</v>
      </c>
      <c r="S687" s="2">
        <v>0</v>
      </c>
    </row>
    <row r="688" spans="1:19" x14ac:dyDescent="0.3">
      <c r="A688" t="s">
        <v>1401</v>
      </c>
      <c r="B688" s="5" t="e" cm="1">
        <f t="array" ref="B688">MAX(#REF!,MIN(#REF!,#REF!+SUMPRODUCT(--(FoodData[[#This Row],[Healthy]:[Refined]]="Yes"),#REF!)+FoodData[[#This Row],[Adjust]]))</f>
        <v>#REF!</v>
      </c>
      <c r="C688" s="1" t="e">
        <f>LOOKUP(FoodData[[#This Row],[Score]],#REF!,#REF!)</f>
        <v>#REF!</v>
      </c>
      <c r="D688" t="s">
        <v>1378</v>
      </c>
      <c r="E688" t="s">
        <v>1379</v>
      </c>
      <c r="F688" t="s">
        <v>22</v>
      </c>
      <c r="G688" t="s">
        <v>489</v>
      </c>
      <c r="H688" t="s">
        <v>1402</v>
      </c>
      <c r="I688" s="1" t="s">
        <v>26</v>
      </c>
      <c r="J688" s="1" t="s">
        <v>26</v>
      </c>
      <c r="K688" s="1" t="s">
        <v>25</v>
      </c>
      <c r="L688" s="1" t="s">
        <v>26</v>
      </c>
      <c r="M688" s="1" t="s">
        <v>25</v>
      </c>
      <c r="N688" s="1" t="s">
        <v>25</v>
      </c>
      <c r="O688" s="1" t="s">
        <v>25</v>
      </c>
      <c r="P688" s="1" t="s">
        <v>25</v>
      </c>
      <c r="Q688" s="1" t="s">
        <v>25</v>
      </c>
      <c r="R688" s="1" t="s">
        <v>25</v>
      </c>
      <c r="S688" s="2">
        <v>0</v>
      </c>
    </row>
    <row r="689" spans="1:19" x14ac:dyDescent="0.3">
      <c r="A689" t="s">
        <v>1403</v>
      </c>
      <c r="B689" s="5" t="e" cm="1">
        <f t="array" ref="B689">MAX(#REF!,MIN(#REF!,#REF!+SUMPRODUCT(--(FoodData[[#This Row],[Healthy]:[Refined]]="Yes"),#REF!)+FoodData[[#This Row],[Adjust]]))</f>
        <v>#REF!</v>
      </c>
      <c r="C689" s="1" t="e">
        <f>LOOKUP(FoodData[[#This Row],[Score]],#REF!,#REF!)</f>
        <v>#REF!</v>
      </c>
      <c r="D689" t="s">
        <v>1378</v>
      </c>
      <c r="E689" t="s">
        <v>1379</v>
      </c>
      <c r="F689" t="s">
        <v>22</v>
      </c>
      <c r="G689" t="s">
        <v>489</v>
      </c>
      <c r="H689" t="s">
        <v>1404</v>
      </c>
      <c r="I689" s="1" t="s">
        <v>26</v>
      </c>
      <c r="J689" s="1" t="s">
        <v>26</v>
      </c>
      <c r="K689" s="1" t="s">
        <v>25</v>
      </c>
      <c r="L689" s="1" t="s">
        <v>26</v>
      </c>
      <c r="M689" s="1" t="s">
        <v>25</v>
      </c>
      <c r="N689" s="1" t="s">
        <v>25</v>
      </c>
      <c r="O689" s="1" t="s">
        <v>25</v>
      </c>
      <c r="P689" s="1" t="s">
        <v>25</v>
      </c>
      <c r="Q689" s="1" t="s">
        <v>25</v>
      </c>
      <c r="R689" s="1" t="s">
        <v>25</v>
      </c>
      <c r="S689" s="2">
        <v>0</v>
      </c>
    </row>
    <row r="690" spans="1:19" x14ac:dyDescent="0.3">
      <c r="A690" t="s">
        <v>1405</v>
      </c>
      <c r="B690" s="5" t="e" cm="1">
        <f t="array" ref="B690">MAX(#REF!,MIN(#REF!,#REF!+SUMPRODUCT(--(FoodData[[#This Row],[Healthy]:[Refined]]="Yes"),#REF!)+FoodData[[#This Row],[Adjust]]))</f>
        <v>#REF!</v>
      </c>
      <c r="C690" s="1" t="e">
        <f>LOOKUP(FoodData[[#This Row],[Score]],#REF!,#REF!)</f>
        <v>#REF!</v>
      </c>
      <c r="D690" t="s">
        <v>1378</v>
      </c>
      <c r="E690" t="s">
        <v>1379</v>
      </c>
      <c r="F690" t="s">
        <v>22</v>
      </c>
      <c r="G690" t="s">
        <v>489</v>
      </c>
      <c r="H690" t="s">
        <v>1406</v>
      </c>
      <c r="I690" s="1" t="s">
        <v>26</v>
      </c>
      <c r="J690" s="1" t="s">
        <v>26</v>
      </c>
      <c r="K690" s="1" t="s">
        <v>26</v>
      </c>
      <c r="L690" s="1" t="s">
        <v>26</v>
      </c>
      <c r="M690" s="1" t="s">
        <v>25</v>
      </c>
      <c r="N690" s="1" t="s">
        <v>25</v>
      </c>
      <c r="O690" s="1" t="s">
        <v>25</v>
      </c>
      <c r="P690" s="1" t="s">
        <v>25</v>
      </c>
      <c r="Q690" s="1" t="s">
        <v>25</v>
      </c>
      <c r="R690" s="1" t="s">
        <v>25</v>
      </c>
      <c r="S690" s="2">
        <v>0</v>
      </c>
    </row>
    <row r="691" spans="1:19" x14ac:dyDescent="0.3">
      <c r="A691" t="s">
        <v>1407</v>
      </c>
      <c r="B691" s="5" t="e" cm="1">
        <f t="array" ref="B691">MAX(#REF!,MIN(#REF!,#REF!+SUMPRODUCT(--(FoodData[[#This Row],[Healthy]:[Refined]]="Yes"),#REF!)+FoodData[[#This Row],[Adjust]]))</f>
        <v>#REF!</v>
      </c>
      <c r="C691" s="1" t="e">
        <f>LOOKUP(FoodData[[#This Row],[Score]],#REF!,#REF!)</f>
        <v>#REF!</v>
      </c>
      <c r="D691" t="s">
        <v>1378</v>
      </c>
      <c r="E691" t="s">
        <v>1379</v>
      </c>
      <c r="F691" t="s">
        <v>22</v>
      </c>
      <c r="G691" t="s">
        <v>489</v>
      </c>
      <c r="H691" t="s">
        <v>1408</v>
      </c>
      <c r="I691" s="1" t="s">
        <v>26</v>
      </c>
      <c r="J691" s="1" t="s">
        <v>26</v>
      </c>
      <c r="K691" s="1" t="s">
        <v>25</v>
      </c>
      <c r="L691" s="1" t="s">
        <v>26</v>
      </c>
      <c r="M691" s="1" t="s">
        <v>25</v>
      </c>
      <c r="N691" s="1" t="s">
        <v>25</v>
      </c>
      <c r="O691" s="1" t="s">
        <v>25</v>
      </c>
      <c r="P691" s="1" t="s">
        <v>25</v>
      </c>
      <c r="Q691" s="1" t="s">
        <v>25</v>
      </c>
      <c r="R691" s="1" t="s">
        <v>25</v>
      </c>
      <c r="S691" s="2">
        <v>0</v>
      </c>
    </row>
    <row r="692" spans="1:19" x14ac:dyDescent="0.3">
      <c r="A692" t="s">
        <v>1409</v>
      </c>
      <c r="B692" s="5" t="e" cm="1">
        <f t="array" ref="B692">MAX(#REF!,MIN(#REF!,#REF!+SUMPRODUCT(--(FoodData[[#This Row],[Healthy]:[Refined]]="Yes"),#REF!)+FoodData[[#This Row],[Adjust]]))</f>
        <v>#REF!</v>
      </c>
      <c r="C692" s="1" t="e">
        <f>LOOKUP(FoodData[[#This Row],[Score]],#REF!,#REF!)</f>
        <v>#REF!</v>
      </c>
      <c r="D692" t="s">
        <v>1378</v>
      </c>
      <c r="E692" t="s">
        <v>1379</v>
      </c>
      <c r="F692" t="s">
        <v>22</v>
      </c>
      <c r="G692" t="s">
        <v>489</v>
      </c>
      <c r="H692" t="s">
        <v>1409</v>
      </c>
      <c r="I692" s="1" t="s">
        <v>26</v>
      </c>
      <c r="J692" s="1" t="s">
        <v>26</v>
      </c>
      <c r="K692" s="1" t="s">
        <v>25</v>
      </c>
      <c r="L692" s="1" t="s">
        <v>25</v>
      </c>
      <c r="M692" s="1" t="s">
        <v>25</v>
      </c>
      <c r="N692" s="1" t="s">
        <v>25</v>
      </c>
      <c r="O692" s="1" t="s">
        <v>25</v>
      </c>
      <c r="P692" s="1" t="s">
        <v>25</v>
      </c>
      <c r="Q692" s="1" t="s">
        <v>25</v>
      </c>
      <c r="R692" s="1" t="s">
        <v>25</v>
      </c>
      <c r="S692" s="2">
        <v>0</v>
      </c>
    </row>
    <row r="693" spans="1:19" x14ac:dyDescent="0.3">
      <c r="A693" t="s">
        <v>1410</v>
      </c>
      <c r="B693" s="5" t="e" cm="1">
        <f t="array" ref="B693">MAX(#REF!,MIN(#REF!,#REF!+SUMPRODUCT(--(FoodData[[#This Row],[Healthy]:[Refined]]="Yes"),#REF!)+FoodData[[#This Row],[Adjust]]))</f>
        <v>#REF!</v>
      </c>
      <c r="C693" s="1" t="e">
        <f>LOOKUP(FoodData[[#This Row],[Score]],#REF!,#REF!)</f>
        <v>#REF!</v>
      </c>
      <c r="D693" t="s">
        <v>1378</v>
      </c>
      <c r="E693" t="s">
        <v>1379</v>
      </c>
      <c r="F693" t="s">
        <v>22</v>
      </c>
      <c r="G693" t="s">
        <v>489</v>
      </c>
      <c r="H693" t="s">
        <v>1410</v>
      </c>
      <c r="I693" s="1" t="s">
        <v>26</v>
      </c>
      <c r="J693" s="1" t="s">
        <v>26</v>
      </c>
      <c r="K693" s="1" t="s">
        <v>25</v>
      </c>
      <c r="L693" s="1" t="s">
        <v>25</v>
      </c>
      <c r="M693" s="1" t="s">
        <v>25</v>
      </c>
      <c r="N693" s="1" t="s">
        <v>25</v>
      </c>
      <c r="O693" s="1" t="s">
        <v>25</v>
      </c>
      <c r="P693" s="1" t="s">
        <v>25</v>
      </c>
      <c r="Q693" s="1" t="s">
        <v>25</v>
      </c>
      <c r="R693" s="1" t="s">
        <v>25</v>
      </c>
      <c r="S693" s="2">
        <v>0</v>
      </c>
    </row>
    <row r="694" spans="1:19" x14ac:dyDescent="0.3">
      <c r="A694" t="s">
        <v>1411</v>
      </c>
      <c r="B694" s="5" t="e" cm="1">
        <f t="array" ref="B694">MAX(#REF!,MIN(#REF!,#REF!+SUMPRODUCT(--(FoodData[[#This Row],[Healthy]:[Refined]]="Yes"),#REF!)+FoodData[[#This Row],[Adjust]]))</f>
        <v>#REF!</v>
      </c>
      <c r="C694" s="1" t="e">
        <f>LOOKUP(FoodData[[#This Row],[Score]],#REF!,#REF!)</f>
        <v>#REF!</v>
      </c>
      <c r="D694" t="s">
        <v>1378</v>
      </c>
      <c r="E694" t="s">
        <v>1379</v>
      </c>
      <c r="F694" t="s">
        <v>22</v>
      </c>
      <c r="G694" t="s">
        <v>489</v>
      </c>
      <c r="H694" t="s">
        <v>1412</v>
      </c>
      <c r="I694" s="1" t="s">
        <v>26</v>
      </c>
      <c r="J694" s="1" t="s">
        <v>25</v>
      </c>
      <c r="K694" s="1" t="s">
        <v>25</v>
      </c>
      <c r="L694" s="1" t="s">
        <v>26</v>
      </c>
      <c r="M694" s="1" t="s">
        <v>25</v>
      </c>
      <c r="N694" s="1" t="s">
        <v>25</v>
      </c>
      <c r="O694" s="1" t="s">
        <v>25</v>
      </c>
      <c r="P694" s="1" t="s">
        <v>25</v>
      </c>
      <c r="Q694" s="1" t="s">
        <v>25</v>
      </c>
      <c r="R694" s="1" t="s">
        <v>25</v>
      </c>
      <c r="S694" s="2">
        <v>0</v>
      </c>
    </row>
    <row r="695" spans="1:19" x14ac:dyDescent="0.3">
      <c r="A695" t="s">
        <v>1413</v>
      </c>
      <c r="B695" s="5" t="e" cm="1">
        <f t="array" ref="B695">MAX(#REF!,MIN(#REF!,#REF!+SUMPRODUCT(--(FoodData[[#This Row],[Healthy]:[Refined]]="Yes"),#REF!)+FoodData[[#This Row],[Adjust]]))</f>
        <v>#REF!</v>
      </c>
      <c r="C695" s="1" t="e">
        <f>LOOKUP(FoodData[[#This Row],[Score]],#REF!,#REF!)</f>
        <v>#REF!</v>
      </c>
      <c r="D695" t="s">
        <v>1378</v>
      </c>
      <c r="E695" t="s">
        <v>1379</v>
      </c>
      <c r="F695" t="s">
        <v>22</v>
      </c>
      <c r="G695" t="s">
        <v>489</v>
      </c>
      <c r="H695" t="s">
        <v>1414</v>
      </c>
      <c r="I695" s="1" t="s">
        <v>26</v>
      </c>
      <c r="J695" s="1" t="s">
        <v>25</v>
      </c>
      <c r="K695" s="1" t="s">
        <v>25</v>
      </c>
      <c r="L695" s="1" t="s">
        <v>26</v>
      </c>
      <c r="M695" s="1" t="s">
        <v>25</v>
      </c>
      <c r="N695" s="1" t="s">
        <v>25</v>
      </c>
      <c r="O695" s="1" t="s">
        <v>25</v>
      </c>
      <c r="P695" s="1" t="s">
        <v>25</v>
      </c>
      <c r="Q695" s="1" t="s">
        <v>25</v>
      </c>
      <c r="R695" s="1" t="s">
        <v>25</v>
      </c>
      <c r="S695" s="2">
        <v>0</v>
      </c>
    </row>
    <row r="696" spans="1:19" x14ac:dyDescent="0.3">
      <c r="A696" t="s">
        <v>1415</v>
      </c>
      <c r="B696" s="5" t="e" cm="1">
        <f t="array" ref="B696">MAX(#REF!,MIN(#REF!,#REF!+SUMPRODUCT(--(FoodData[[#This Row],[Healthy]:[Refined]]="Yes"),#REF!)+FoodData[[#This Row],[Adjust]]))</f>
        <v>#REF!</v>
      </c>
      <c r="C696" s="1" t="e">
        <f>LOOKUP(FoodData[[#This Row],[Score]],#REF!,#REF!)</f>
        <v>#REF!</v>
      </c>
      <c r="D696" t="s">
        <v>1378</v>
      </c>
      <c r="E696" t="s">
        <v>1379</v>
      </c>
      <c r="F696" t="s">
        <v>22</v>
      </c>
      <c r="G696" t="s">
        <v>162</v>
      </c>
      <c r="H696" t="s">
        <v>1416</v>
      </c>
      <c r="I696" s="1" t="s">
        <v>26</v>
      </c>
      <c r="J696" s="1" t="s">
        <v>26</v>
      </c>
      <c r="K696" s="1" t="s">
        <v>25</v>
      </c>
      <c r="L696" s="1" t="s">
        <v>26</v>
      </c>
      <c r="M696" s="1" t="s">
        <v>25</v>
      </c>
      <c r="N696" s="1" t="s">
        <v>25</v>
      </c>
      <c r="O696" s="1" t="s">
        <v>25</v>
      </c>
      <c r="P696" s="1" t="s">
        <v>25</v>
      </c>
      <c r="Q696" s="1" t="s">
        <v>25</v>
      </c>
      <c r="R696" s="1" t="s">
        <v>25</v>
      </c>
      <c r="S696" s="2">
        <v>0</v>
      </c>
    </row>
    <row r="697" spans="1:19" x14ac:dyDescent="0.3">
      <c r="A697" t="s">
        <v>1417</v>
      </c>
      <c r="B697" s="5" t="e" cm="1">
        <f t="array" ref="B697">MAX(#REF!,MIN(#REF!,#REF!+SUMPRODUCT(--(FoodData[[#This Row],[Healthy]:[Refined]]="Yes"),#REF!)+FoodData[[#This Row],[Adjust]]))</f>
        <v>#REF!</v>
      </c>
      <c r="C697" s="1" t="e">
        <f>LOOKUP(FoodData[[#This Row],[Score]],#REF!,#REF!)</f>
        <v>#REF!</v>
      </c>
      <c r="D697" t="s">
        <v>1378</v>
      </c>
      <c r="E697" t="s">
        <v>1379</v>
      </c>
      <c r="F697" t="s">
        <v>22</v>
      </c>
      <c r="G697" t="s">
        <v>489</v>
      </c>
      <c r="H697" t="s">
        <v>1418</v>
      </c>
      <c r="I697" s="1" t="s">
        <v>26</v>
      </c>
      <c r="J697" s="1" t="s">
        <v>25</v>
      </c>
      <c r="K697" s="1" t="s">
        <v>25</v>
      </c>
      <c r="L697" s="1" t="s">
        <v>25</v>
      </c>
      <c r="M697" s="1" t="s">
        <v>26</v>
      </c>
      <c r="N697" s="1" t="s">
        <v>25</v>
      </c>
      <c r="O697" s="1" t="s">
        <v>25</v>
      </c>
      <c r="P697" s="1" t="s">
        <v>25</v>
      </c>
      <c r="Q697" s="1" t="s">
        <v>25</v>
      </c>
      <c r="R697" s="1" t="s">
        <v>25</v>
      </c>
      <c r="S697" s="2">
        <v>0</v>
      </c>
    </row>
    <row r="698" spans="1:19" x14ac:dyDescent="0.3">
      <c r="A698" t="s">
        <v>1419</v>
      </c>
      <c r="B698" s="5" t="e" cm="1">
        <f t="array" ref="B698">MAX(#REF!,MIN(#REF!,#REF!+SUMPRODUCT(--(FoodData[[#This Row],[Healthy]:[Refined]]="Yes"),#REF!)+FoodData[[#This Row],[Adjust]]))</f>
        <v>#REF!</v>
      </c>
      <c r="C698" s="1" t="e">
        <f>LOOKUP(FoodData[[#This Row],[Score]],#REF!,#REF!)</f>
        <v>#REF!</v>
      </c>
      <c r="D698" t="s">
        <v>1378</v>
      </c>
      <c r="E698" t="s">
        <v>1379</v>
      </c>
      <c r="F698" t="s">
        <v>22</v>
      </c>
      <c r="G698" t="s">
        <v>489</v>
      </c>
      <c r="H698" t="s">
        <v>1419</v>
      </c>
      <c r="I698" s="1" t="s">
        <v>26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25</v>
      </c>
      <c r="Q698" s="1" t="s">
        <v>25</v>
      </c>
      <c r="R698" s="1" t="s">
        <v>25</v>
      </c>
      <c r="S698" s="2">
        <v>0</v>
      </c>
    </row>
    <row r="699" spans="1:19" x14ac:dyDescent="0.3">
      <c r="A699" t="s">
        <v>1420</v>
      </c>
      <c r="B699" s="5" t="e" cm="1">
        <f t="array" ref="B699">MAX(#REF!,MIN(#REF!,#REF!+SUMPRODUCT(--(FoodData[[#This Row],[Healthy]:[Refined]]="Yes"),#REF!)+FoodData[[#This Row],[Adjust]]))</f>
        <v>#REF!</v>
      </c>
      <c r="C699" s="1" t="e">
        <f>LOOKUP(FoodData[[#This Row],[Score]],#REF!,#REF!)</f>
        <v>#REF!</v>
      </c>
      <c r="D699" t="s">
        <v>1378</v>
      </c>
      <c r="E699" t="s">
        <v>1379</v>
      </c>
      <c r="F699" t="s">
        <v>22</v>
      </c>
      <c r="G699" t="s">
        <v>489</v>
      </c>
      <c r="H699" t="s">
        <v>1421</v>
      </c>
      <c r="I699" s="1" t="s">
        <v>26</v>
      </c>
      <c r="J699" s="1" t="s">
        <v>26</v>
      </c>
      <c r="K699" s="1" t="s">
        <v>25</v>
      </c>
      <c r="L699" s="1" t="s">
        <v>25</v>
      </c>
      <c r="M699" s="1" t="s">
        <v>25</v>
      </c>
      <c r="N699" s="1" t="s">
        <v>25</v>
      </c>
      <c r="O699" s="1" t="s">
        <v>25</v>
      </c>
      <c r="P699" s="1" t="s">
        <v>25</v>
      </c>
      <c r="Q699" s="1" t="s">
        <v>25</v>
      </c>
      <c r="R699" s="1" t="s">
        <v>25</v>
      </c>
      <c r="S699" s="2">
        <v>0</v>
      </c>
    </row>
    <row r="700" spans="1:19" x14ac:dyDescent="0.3">
      <c r="A700" t="s">
        <v>1422</v>
      </c>
      <c r="B700" s="5" t="e" cm="1">
        <f t="array" ref="B700">MAX(#REF!,MIN(#REF!,#REF!+SUMPRODUCT(--(FoodData[[#This Row],[Healthy]:[Refined]]="Yes"),#REF!)+FoodData[[#This Row],[Adjust]]))</f>
        <v>#REF!</v>
      </c>
      <c r="C700" s="1" t="e">
        <f>LOOKUP(FoodData[[#This Row],[Score]],#REF!,#REF!)</f>
        <v>#REF!</v>
      </c>
      <c r="D700" t="s">
        <v>1378</v>
      </c>
      <c r="E700" t="s">
        <v>1379</v>
      </c>
      <c r="F700" t="s">
        <v>22</v>
      </c>
      <c r="G700" t="s">
        <v>489</v>
      </c>
      <c r="H700" t="s">
        <v>1422</v>
      </c>
      <c r="I700" s="1" t="s">
        <v>26</v>
      </c>
      <c r="J700" s="1" t="s">
        <v>26</v>
      </c>
      <c r="K700" s="1" t="s">
        <v>25</v>
      </c>
      <c r="L700" s="1" t="s">
        <v>25</v>
      </c>
      <c r="M700" s="1" t="s">
        <v>25</v>
      </c>
      <c r="N700" s="1" t="s">
        <v>25</v>
      </c>
      <c r="O700" s="1" t="s">
        <v>25</v>
      </c>
      <c r="P700" s="1" t="s">
        <v>25</v>
      </c>
      <c r="Q700" s="1" t="s">
        <v>25</v>
      </c>
      <c r="R700" s="1" t="s">
        <v>25</v>
      </c>
      <c r="S700" s="2">
        <v>0</v>
      </c>
    </row>
    <row r="701" spans="1:19" x14ac:dyDescent="0.3">
      <c r="A701" t="s">
        <v>1423</v>
      </c>
      <c r="B701" s="5" t="e" cm="1">
        <f t="array" ref="B701">MAX(#REF!,MIN(#REF!,#REF!+SUMPRODUCT(--(FoodData[[#This Row],[Healthy]:[Refined]]="Yes"),#REF!)+FoodData[[#This Row],[Adjust]]))</f>
        <v>#REF!</v>
      </c>
      <c r="C701" s="1" t="e">
        <f>LOOKUP(FoodData[[#This Row],[Score]],#REF!,#REF!)</f>
        <v>#REF!</v>
      </c>
      <c r="D701" t="s">
        <v>1378</v>
      </c>
      <c r="E701" t="s">
        <v>1379</v>
      </c>
      <c r="F701" t="s">
        <v>22</v>
      </c>
      <c r="G701" t="s">
        <v>489</v>
      </c>
      <c r="H701" t="s">
        <v>1423</v>
      </c>
      <c r="I701" s="1" t="s">
        <v>26</v>
      </c>
      <c r="J701" s="1" t="s">
        <v>26</v>
      </c>
      <c r="K701" s="1" t="s">
        <v>25</v>
      </c>
      <c r="L701" s="1" t="s">
        <v>25</v>
      </c>
      <c r="M701" s="1" t="s">
        <v>25</v>
      </c>
      <c r="N701" s="1" t="s">
        <v>25</v>
      </c>
      <c r="O701" s="1" t="s">
        <v>25</v>
      </c>
      <c r="P701" s="1" t="s">
        <v>25</v>
      </c>
      <c r="Q701" s="1" t="s">
        <v>25</v>
      </c>
      <c r="R701" s="1" t="s">
        <v>25</v>
      </c>
      <c r="S701" s="2">
        <v>0</v>
      </c>
    </row>
    <row r="702" spans="1:19" x14ac:dyDescent="0.3">
      <c r="A702" t="s">
        <v>1424</v>
      </c>
      <c r="B702" s="5" t="e" cm="1">
        <f t="array" ref="B702">MAX(#REF!,MIN(#REF!,#REF!+SUMPRODUCT(--(FoodData[[#This Row],[Healthy]:[Refined]]="Yes"),#REF!)+FoodData[[#This Row],[Adjust]]))</f>
        <v>#REF!</v>
      </c>
      <c r="C702" s="1" t="e">
        <f>LOOKUP(FoodData[[#This Row],[Score]],#REF!,#REF!)</f>
        <v>#REF!</v>
      </c>
      <c r="D702" t="s">
        <v>1378</v>
      </c>
      <c r="E702" t="s">
        <v>1379</v>
      </c>
      <c r="F702" t="s">
        <v>22</v>
      </c>
      <c r="G702" t="s">
        <v>489</v>
      </c>
      <c r="H702" t="s">
        <v>1425</v>
      </c>
      <c r="I702" s="1" t="s">
        <v>26</v>
      </c>
      <c r="J702" s="1" t="s">
        <v>26</v>
      </c>
      <c r="K702" s="1" t="s">
        <v>25</v>
      </c>
      <c r="L702" s="1" t="s">
        <v>26</v>
      </c>
      <c r="M702" s="1" t="s">
        <v>25</v>
      </c>
      <c r="N702" s="1" t="s">
        <v>25</v>
      </c>
      <c r="O702" s="1" t="s">
        <v>25</v>
      </c>
      <c r="P702" s="1" t="s">
        <v>25</v>
      </c>
      <c r="Q702" s="1" t="s">
        <v>25</v>
      </c>
      <c r="R702" s="1" t="s">
        <v>25</v>
      </c>
      <c r="S702" s="2">
        <v>0</v>
      </c>
    </row>
    <row r="703" spans="1:19" x14ac:dyDescent="0.3">
      <c r="A703" t="s">
        <v>1426</v>
      </c>
      <c r="B703" s="5" t="e" cm="1">
        <f t="array" ref="B703">MAX(#REF!,MIN(#REF!,#REF!+SUMPRODUCT(--(FoodData[[#This Row],[Healthy]:[Refined]]="Yes"),#REF!)+FoodData[[#This Row],[Adjust]]))</f>
        <v>#REF!</v>
      </c>
      <c r="C703" s="1" t="e">
        <f>LOOKUP(FoodData[[#This Row],[Score]],#REF!,#REF!)</f>
        <v>#REF!</v>
      </c>
      <c r="D703" t="s">
        <v>1378</v>
      </c>
      <c r="E703" t="s">
        <v>1379</v>
      </c>
      <c r="F703" t="s">
        <v>22</v>
      </c>
      <c r="G703" t="s">
        <v>162</v>
      </c>
      <c r="H703" t="s">
        <v>1427</v>
      </c>
      <c r="I703" s="1" t="s">
        <v>26</v>
      </c>
      <c r="J703" s="1" t="s">
        <v>26</v>
      </c>
      <c r="K703" s="1" t="s">
        <v>25</v>
      </c>
      <c r="L703" s="1" t="s">
        <v>25</v>
      </c>
      <c r="M703" s="1" t="s">
        <v>25</v>
      </c>
      <c r="N703" s="1" t="s">
        <v>25</v>
      </c>
      <c r="O703" s="1" t="s">
        <v>25</v>
      </c>
      <c r="P703" s="1" t="s">
        <v>25</v>
      </c>
      <c r="Q703" s="1" t="s">
        <v>25</v>
      </c>
      <c r="R703" s="1" t="s">
        <v>25</v>
      </c>
      <c r="S703" s="2">
        <v>0</v>
      </c>
    </row>
    <row r="704" spans="1:19" x14ac:dyDescent="0.3">
      <c r="A704" t="s">
        <v>1428</v>
      </c>
      <c r="B704" s="5" t="e" cm="1">
        <f t="array" ref="B704">MAX(#REF!,MIN(#REF!,#REF!+SUMPRODUCT(--(FoodData[[#This Row],[Healthy]:[Refined]]="Yes"),#REF!)+FoodData[[#This Row],[Adjust]]))</f>
        <v>#REF!</v>
      </c>
      <c r="C704" s="1" t="e">
        <f>LOOKUP(FoodData[[#This Row],[Score]],#REF!,#REF!)</f>
        <v>#REF!</v>
      </c>
      <c r="D704" t="s">
        <v>1378</v>
      </c>
      <c r="E704" t="s">
        <v>1379</v>
      </c>
      <c r="F704" t="s">
        <v>22</v>
      </c>
      <c r="G704" t="s">
        <v>489</v>
      </c>
      <c r="H704" t="s">
        <v>1429</v>
      </c>
      <c r="I704" s="1" t="s">
        <v>26</v>
      </c>
      <c r="J704" s="1" t="s">
        <v>25</v>
      </c>
      <c r="K704" s="1" t="s">
        <v>25</v>
      </c>
      <c r="L704" s="1" t="s">
        <v>26</v>
      </c>
      <c r="M704" s="1" t="s">
        <v>25</v>
      </c>
      <c r="N704" s="1" t="s">
        <v>25</v>
      </c>
      <c r="O704" s="1" t="s">
        <v>25</v>
      </c>
      <c r="P704" s="1" t="s">
        <v>25</v>
      </c>
      <c r="Q704" s="1" t="s">
        <v>25</v>
      </c>
      <c r="R704" s="1" t="s">
        <v>25</v>
      </c>
      <c r="S704" s="2">
        <v>0</v>
      </c>
    </row>
    <row r="705" spans="1:19" x14ac:dyDescent="0.3">
      <c r="A705" t="s">
        <v>1430</v>
      </c>
      <c r="B705" s="5" t="e" cm="1">
        <f t="array" ref="B705">MAX(#REF!,MIN(#REF!,#REF!+SUMPRODUCT(--(FoodData[[#This Row],[Healthy]:[Refined]]="Yes"),#REF!)+FoodData[[#This Row],[Adjust]]))</f>
        <v>#REF!</v>
      </c>
      <c r="C705" s="1" t="e">
        <f>LOOKUP(FoodData[[#This Row],[Score]],#REF!,#REF!)</f>
        <v>#REF!</v>
      </c>
      <c r="D705" t="s">
        <v>1378</v>
      </c>
      <c r="E705" t="s">
        <v>1379</v>
      </c>
      <c r="F705" t="s">
        <v>22</v>
      </c>
      <c r="G705" t="s">
        <v>489</v>
      </c>
      <c r="H705" t="s">
        <v>1430</v>
      </c>
      <c r="I705" s="1" t="s">
        <v>26</v>
      </c>
      <c r="J705" s="1" t="s">
        <v>26</v>
      </c>
      <c r="K705" s="1" t="s">
        <v>25</v>
      </c>
      <c r="L705" s="1" t="s">
        <v>25</v>
      </c>
      <c r="M705" s="1" t="s">
        <v>25</v>
      </c>
      <c r="N705" s="1" t="s">
        <v>25</v>
      </c>
      <c r="O705" s="1" t="s">
        <v>25</v>
      </c>
      <c r="P705" s="1" t="s">
        <v>25</v>
      </c>
      <c r="Q705" s="1" t="s">
        <v>25</v>
      </c>
      <c r="R705" s="1" t="s">
        <v>25</v>
      </c>
      <c r="S705" s="2">
        <v>0</v>
      </c>
    </row>
    <row r="706" spans="1:19" x14ac:dyDescent="0.3">
      <c r="A706" t="s">
        <v>1431</v>
      </c>
      <c r="B706" s="5" t="e" cm="1">
        <f t="array" ref="B706">MAX(#REF!,MIN(#REF!,#REF!+SUMPRODUCT(--(FoodData[[#This Row],[Healthy]:[Refined]]="Yes"),#REF!)+FoodData[[#This Row],[Adjust]]))</f>
        <v>#REF!</v>
      </c>
      <c r="C706" s="1" t="e">
        <f>LOOKUP(FoodData[[#This Row],[Score]],#REF!,#REF!)</f>
        <v>#REF!</v>
      </c>
      <c r="D706" t="s">
        <v>1378</v>
      </c>
      <c r="E706" t="s">
        <v>1379</v>
      </c>
      <c r="F706" t="s">
        <v>22</v>
      </c>
      <c r="G706" t="s">
        <v>489</v>
      </c>
      <c r="H706" t="s">
        <v>1432</v>
      </c>
      <c r="I706" s="1" t="s">
        <v>26</v>
      </c>
      <c r="J706" s="1" t="s">
        <v>25</v>
      </c>
      <c r="K706" s="1" t="s">
        <v>25</v>
      </c>
      <c r="L706" s="1" t="s">
        <v>25</v>
      </c>
      <c r="M706" s="1" t="s">
        <v>26</v>
      </c>
      <c r="N706" s="1" t="s">
        <v>25</v>
      </c>
      <c r="O706" s="1" t="s">
        <v>25</v>
      </c>
      <c r="P706" s="1" t="s">
        <v>25</v>
      </c>
      <c r="Q706" s="1" t="s">
        <v>25</v>
      </c>
      <c r="R706" s="1" t="s">
        <v>25</v>
      </c>
      <c r="S706" s="2">
        <v>0</v>
      </c>
    </row>
    <row r="707" spans="1:19" x14ac:dyDescent="0.3">
      <c r="A707" t="s">
        <v>1433</v>
      </c>
      <c r="B707" s="5" t="e" cm="1">
        <f t="array" ref="B707">MAX(#REF!,MIN(#REF!,#REF!+SUMPRODUCT(--(FoodData[[#This Row],[Healthy]:[Refined]]="Yes"),#REF!)+FoodData[[#This Row],[Adjust]]))</f>
        <v>#REF!</v>
      </c>
      <c r="C707" s="1" t="e">
        <f>LOOKUP(FoodData[[#This Row],[Score]],#REF!,#REF!)</f>
        <v>#REF!</v>
      </c>
      <c r="D707" t="s">
        <v>1378</v>
      </c>
      <c r="E707" t="s">
        <v>1379</v>
      </c>
      <c r="F707" t="s">
        <v>22</v>
      </c>
      <c r="G707" t="s">
        <v>489</v>
      </c>
      <c r="H707" t="s">
        <v>1434</v>
      </c>
      <c r="I707" s="1" t="s">
        <v>26</v>
      </c>
      <c r="J707" s="1" t="s">
        <v>26</v>
      </c>
      <c r="K707" s="1" t="s">
        <v>25</v>
      </c>
      <c r="L707" s="1" t="s">
        <v>26</v>
      </c>
      <c r="M707" s="1" t="s">
        <v>25</v>
      </c>
      <c r="N707" s="1" t="s">
        <v>25</v>
      </c>
      <c r="O707" s="1" t="s">
        <v>25</v>
      </c>
      <c r="P707" s="1" t="s">
        <v>25</v>
      </c>
      <c r="Q707" s="1" t="s">
        <v>25</v>
      </c>
      <c r="R707" s="1" t="s">
        <v>25</v>
      </c>
      <c r="S707" s="2">
        <v>0</v>
      </c>
    </row>
    <row r="708" spans="1:19" x14ac:dyDescent="0.3">
      <c r="A708" t="s">
        <v>1435</v>
      </c>
      <c r="B708" s="5" t="e" cm="1">
        <f t="array" ref="B708">MAX(#REF!,MIN(#REF!,#REF!+SUMPRODUCT(--(FoodData[[#This Row],[Healthy]:[Refined]]="Yes"),#REF!)+FoodData[[#This Row],[Adjust]]))</f>
        <v>#REF!</v>
      </c>
      <c r="C708" s="1" t="e">
        <f>LOOKUP(FoodData[[#This Row],[Score]],#REF!,#REF!)</f>
        <v>#REF!</v>
      </c>
      <c r="D708" t="s">
        <v>1378</v>
      </c>
      <c r="E708" t="s">
        <v>1379</v>
      </c>
      <c r="F708" t="s">
        <v>22</v>
      </c>
      <c r="G708" t="s">
        <v>162</v>
      </c>
      <c r="H708" t="s">
        <v>1436</v>
      </c>
      <c r="I708" s="1" t="s">
        <v>26</v>
      </c>
      <c r="J708" s="1" t="s">
        <v>26</v>
      </c>
      <c r="K708" s="1" t="s">
        <v>25</v>
      </c>
      <c r="L708" s="1" t="s">
        <v>26</v>
      </c>
      <c r="M708" s="1" t="s">
        <v>25</v>
      </c>
      <c r="N708" s="1" t="s">
        <v>25</v>
      </c>
      <c r="O708" s="1" t="s">
        <v>25</v>
      </c>
      <c r="P708" s="1" t="s">
        <v>25</v>
      </c>
      <c r="Q708" s="1" t="s">
        <v>25</v>
      </c>
      <c r="R708" s="1" t="s">
        <v>25</v>
      </c>
      <c r="S708" s="2">
        <v>0</v>
      </c>
    </row>
    <row r="709" spans="1:19" x14ac:dyDescent="0.3">
      <c r="A709" t="s">
        <v>1437</v>
      </c>
      <c r="B709" s="5" t="e" cm="1">
        <f t="array" ref="B709">MAX(#REF!,MIN(#REF!,#REF!+SUMPRODUCT(--(FoodData[[#This Row],[Healthy]:[Refined]]="Yes"),#REF!)+FoodData[[#This Row],[Adjust]]))</f>
        <v>#REF!</v>
      </c>
      <c r="C709" s="1" t="e">
        <f>LOOKUP(FoodData[[#This Row],[Score]],#REF!,#REF!)</f>
        <v>#REF!</v>
      </c>
      <c r="D709" t="s">
        <v>1378</v>
      </c>
      <c r="E709" t="s">
        <v>1379</v>
      </c>
      <c r="F709" t="s">
        <v>22</v>
      </c>
      <c r="G709" t="s">
        <v>489</v>
      </c>
      <c r="H709" t="s">
        <v>1437</v>
      </c>
      <c r="I709" s="1" t="s">
        <v>26</v>
      </c>
      <c r="J709" s="1" t="s">
        <v>26</v>
      </c>
      <c r="K709" s="1" t="s">
        <v>25</v>
      </c>
      <c r="L709" s="1" t="s">
        <v>25</v>
      </c>
      <c r="M709" s="1" t="s">
        <v>25</v>
      </c>
      <c r="N709" s="1" t="s">
        <v>25</v>
      </c>
      <c r="O709" s="1" t="s">
        <v>25</v>
      </c>
      <c r="P709" s="1" t="s">
        <v>25</v>
      </c>
      <c r="Q709" s="1" t="s">
        <v>25</v>
      </c>
      <c r="R709" s="1" t="s">
        <v>25</v>
      </c>
      <c r="S709" s="2">
        <v>0</v>
      </c>
    </row>
    <row r="710" spans="1:19" x14ac:dyDescent="0.3">
      <c r="A710" t="s">
        <v>1438</v>
      </c>
      <c r="B710" s="5" t="e" cm="1">
        <f t="array" ref="B710">MAX(#REF!,MIN(#REF!,#REF!+SUMPRODUCT(--(FoodData[[#This Row],[Healthy]:[Refined]]="Yes"),#REF!)+FoodData[[#This Row],[Adjust]]))</f>
        <v>#REF!</v>
      </c>
      <c r="C710" s="1" t="e">
        <f>LOOKUP(FoodData[[#This Row],[Score]],#REF!,#REF!)</f>
        <v>#REF!</v>
      </c>
      <c r="D710" t="s">
        <v>1439</v>
      </c>
      <c r="E710" t="s">
        <v>63</v>
      </c>
      <c r="F710" t="s">
        <v>22</v>
      </c>
      <c r="G710" t="s">
        <v>29</v>
      </c>
      <c r="H710" t="s">
        <v>1440</v>
      </c>
      <c r="I710" s="1" t="s">
        <v>26</v>
      </c>
      <c r="J710" s="1" t="s">
        <v>26</v>
      </c>
      <c r="K710" s="1" t="s">
        <v>26</v>
      </c>
      <c r="L710" s="1" t="s">
        <v>25</v>
      </c>
      <c r="M710" s="1" t="s">
        <v>25</v>
      </c>
      <c r="N710" s="1" t="s">
        <v>25</v>
      </c>
      <c r="O710" s="1" t="s">
        <v>25</v>
      </c>
      <c r="P710" s="1" t="s">
        <v>25</v>
      </c>
      <c r="Q710" s="1" t="s">
        <v>25</v>
      </c>
      <c r="R710" s="1" t="s">
        <v>25</v>
      </c>
      <c r="S710" s="2">
        <v>0</v>
      </c>
    </row>
    <row r="711" spans="1:19" x14ac:dyDescent="0.3">
      <c r="A711" t="s">
        <v>1441</v>
      </c>
      <c r="B711" s="5" t="e" cm="1">
        <f t="array" ref="B711">MAX(#REF!,MIN(#REF!,#REF!+SUMPRODUCT(--(FoodData[[#This Row],[Healthy]:[Refined]]="Yes"),#REF!)+FoodData[[#This Row],[Adjust]]))</f>
        <v>#REF!</v>
      </c>
      <c r="C711" s="1" t="e">
        <f>LOOKUP(FoodData[[#This Row],[Score]],#REF!,#REF!)</f>
        <v>#REF!</v>
      </c>
      <c r="D711" t="s">
        <v>1439</v>
      </c>
      <c r="E711" t="s">
        <v>384</v>
      </c>
      <c r="F711" t="s">
        <v>22</v>
      </c>
      <c r="G711" t="s">
        <v>29</v>
      </c>
      <c r="H711" t="s">
        <v>1442</v>
      </c>
      <c r="I711" s="1" t="s">
        <v>26</v>
      </c>
      <c r="J711" s="1" t="s">
        <v>26</v>
      </c>
      <c r="K711" s="1" t="s">
        <v>25</v>
      </c>
      <c r="L711" s="1" t="s">
        <v>26</v>
      </c>
      <c r="M711" s="1" t="s">
        <v>25</v>
      </c>
      <c r="N711" s="1" t="s">
        <v>25</v>
      </c>
      <c r="O711" s="1" t="s">
        <v>25</v>
      </c>
      <c r="P711" s="1" t="s">
        <v>25</v>
      </c>
      <c r="Q711" s="1" t="s">
        <v>25</v>
      </c>
      <c r="R711" s="1" t="s">
        <v>25</v>
      </c>
      <c r="S711" s="2">
        <v>0</v>
      </c>
    </row>
    <row r="712" spans="1:19" x14ac:dyDescent="0.3">
      <c r="A712" t="s">
        <v>1443</v>
      </c>
      <c r="B712" s="5" t="e" cm="1">
        <f t="array" ref="B712">MAX(#REF!,MIN(#REF!,#REF!+SUMPRODUCT(--(FoodData[[#This Row],[Healthy]:[Refined]]="Yes"),#REF!)+FoodData[[#This Row],[Adjust]]))</f>
        <v>#REF!</v>
      </c>
      <c r="C712" s="1" t="e">
        <f>LOOKUP(FoodData[[#This Row],[Score]],#REF!,#REF!)</f>
        <v>#REF!</v>
      </c>
      <c r="D712" t="s">
        <v>1439</v>
      </c>
      <c r="E712" t="s">
        <v>63</v>
      </c>
      <c r="F712" t="s">
        <v>22</v>
      </c>
      <c r="G712" t="s">
        <v>162</v>
      </c>
      <c r="H712" t="s">
        <v>1444</v>
      </c>
      <c r="I712" s="1" t="s">
        <v>26</v>
      </c>
      <c r="J712" s="1" t="s">
        <v>26</v>
      </c>
      <c r="K712" s="1" t="s">
        <v>26</v>
      </c>
      <c r="L712" s="1" t="s">
        <v>26</v>
      </c>
      <c r="M712" s="1" t="s">
        <v>25</v>
      </c>
      <c r="N712" s="1" t="s">
        <v>25</v>
      </c>
      <c r="O712" s="1" t="s">
        <v>25</v>
      </c>
      <c r="P712" s="1" t="s">
        <v>25</v>
      </c>
      <c r="Q712" s="1" t="s">
        <v>25</v>
      </c>
      <c r="R712" s="1" t="s">
        <v>25</v>
      </c>
      <c r="S712" s="2">
        <v>0</v>
      </c>
    </row>
    <row r="713" spans="1:19" x14ac:dyDescent="0.3">
      <c r="A713" t="s">
        <v>1445</v>
      </c>
      <c r="B713" s="5" t="e" cm="1">
        <f t="array" ref="B713">MAX(#REF!,MIN(#REF!,#REF!+SUMPRODUCT(--(FoodData[[#This Row],[Healthy]:[Refined]]="Yes"),#REF!)+FoodData[[#This Row],[Adjust]]))</f>
        <v>#REF!</v>
      </c>
      <c r="C713" s="1" t="e">
        <f>LOOKUP(FoodData[[#This Row],[Score]],#REF!,#REF!)</f>
        <v>#REF!</v>
      </c>
      <c r="D713" t="s">
        <v>1439</v>
      </c>
      <c r="E713" t="s">
        <v>63</v>
      </c>
      <c r="F713" t="s">
        <v>60</v>
      </c>
      <c r="G713" t="s">
        <v>29</v>
      </c>
      <c r="H713" t="s">
        <v>1446</v>
      </c>
      <c r="I713" s="1" t="s">
        <v>26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25</v>
      </c>
      <c r="O713" s="1" t="s">
        <v>25</v>
      </c>
      <c r="P713" s="1" t="s">
        <v>25</v>
      </c>
      <c r="Q713" s="1" t="s">
        <v>25</v>
      </c>
      <c r="R713" s="1" t="s">
        <v>25</v>
      </c>
      <c r="S713" s="2">
        <v>0</v>
      </c>
    </row>
    <row r="714" spans="1:19" x14ac:dyDescent="0.3">
      <c r="A714" t="s">
        <v>1447</v>
      </c>
      <c r="B714" s="5" t="e" cm="1">
        <f t="array" ref="B714">MAX(#REF!,MIN(#REF!,#REF!+SUMPRODUCT(--(FoodData[[#This Row],[Healthy]:[Refined]]="Yes"),#REF!)+FoodData[[#This Row],[Adjust]]))</f>
        <v>#REF!</v>
      </c>
      <c r="C714" s="1" t="e">
        <f>LOOKUP(FoodData[[#This Row],[Score]],#REF!,#REF!)</f>
        <v>#REF!</v>
      </c>
      <c r="D714" t="s">
        <v>1439</v>
      </c>
      <c r="E714" t="s">
        <v>63</v>
      </c>
      <c r="F714" t="s">
        <v>22</v>
      </c>
      <c r="G714" t="s">
        <v>29</v>
      </c>
      <c r="H714" t="s">
        <v>1448</v>
      </c>
      <c r="I714" s="1" t="s">
        <v>26</v>
      </c>
      <c r="J714" s="1" t="s">
        <v>26</v>
      </c>
      <c r="K714" s="1" t="s">
        <v>25</v>
      </c>
      <c r="L714" s="1" t="s">
        <v>26</v>
      </c>
      <c r="M714" s="1" t="s">
        <v>25</v>
      </c>
      <c r="N714" s="1" t="s">
        <v>25</v>
      </c>
      <c r="O714" s="1" t="s">
        <v>25</v>
      </c>
      <c r="P714" s="1" t="s">
        <v>25</v>
      </c>
      <c r="Q714" s="1" t="s">
        <v>25</v>
      </c>
      <c r="R714" s="1" t="s">
        <v>25</v>
      </c>
      <c r="S714" s="2">
        <v>0</v>
      </c>
    </row>
    <row r="715" spans="1:19" x14ac:dyDescent="0.3">
      <c r="A715" t="s">
        <v>1449</v>
      </c>
      <c r="B715" s="5" t="e" cm="1">
        <f t="array" ref="B715">MAX(#REF!,MIN(#REF!,#REF!+SUMPRODUCT(--(FoodData[[#This Row],[Healthy]:[Refined]]="Yes"),#REF!)+FoodData[[#This Row],[Adjust]]))</f>
        <v>#REF!</v>
      </c>
      <c r="C715" s="1" t="e">
        <f>LOOKUP(FoodData[[#This Row],[Score]],#REF!,#REF!)</f>
        <v>#REF!</v>
      </c>
      <c r="D715" t="s">
        <v>1439</v>
      </c>
      <c r="E715" t="s">
        <v>63</v>
      </c>
      <c r="F715" t="s">
        <v>22</v>
      </c>
      <c r="G715" t="s">
        <v>29</v>
      </c>
      <c r="H715" t="s">
        <v>1450</v>
      </c>
      <c r="I715" s="1" t="s">
        <v>26</v>
      </c>
      <c r="J715" s="1" t="s">
        <v>26</v>
      </c>
      <c r="K715" s="1" t="s">
        <v>26</v>
      </c>
      <c r="L715" s="1" t="s">
        <v>26</v>
      </c>
      <c r="M715" s="1" t="s">
        <v>25</v>
      </c>
      <c r="N715" s="1" t="s">
        <v>25</v>
      </c>
      <c r="O715" s="1" t="s">
        <v>25</v>
      </c>
      <c r="P715" s="1" t="s">
        <v>25</v>
      </c>
      <c r="Q715" s="1" t="s">
        <v>25</v>
      </c>
      <c r="R715" s="1" t="s">
        <v>25</v>
      </c>
      <c r="S715" s="2">
        <v>0</v>
      </c>
    </row>
    <row r="716" spans="1:19" x14ac:dyDescent="0.3">
      <c r="A716" t="s">
        <v>1451</v>
      </c>
      <c r="B716" s="5" t="e" cm="1">
        <f t="array" ref="B716">MAX(#REF!,MIN(#REF!,#REF!+SUMPRODUCT(--(FoodData[[#This Row],[Healthy]:[Refined]]="Yes"),#REF!)+FoodData[[#This Row],[Adjust]]))</f>
        <v>#REF!</v>
      </c>
      <c r="C716" s="1" t="e">
        <f>LOOKUP(FoodData[[#This Row],[Score]],#REF!,#REF!)</f>
        <v>#REF!</v>
      </c>
      <c r="D716" t="s">
        <v>1439</v>
      </c>
      <c r="E716" t="s">
        <v>63</v>
      </c>
      <c r="F716" t="s">
        <v>22</v>
      </c>
      <c r="G716" t="s">
        <v>29</v>
      </c>
      <c r="H716" t="s">
        <v>1452</v>
      </c>
      <c r="I716" s="1" t="s">
        <v>26</v>
      </c>
      <c r="J716" s="1" t="s">
        <v>25</v>
      </c>
      <c r="K716" s="1" t="s">
        <v>25</v>
      </c>
      <c r="L716" s="1" t="s">
        <v>26</v>
      </c>
      <c r="M716" s="1" t="s">
        <v>25</v>
      </c>
      <c r="N716" s="1" t="s">
        <v>25</v>
      </c>
      <c r="O716" s="1" t="s">
        <v>25</v>
      </c>
      <c r="P716" s="1" t="s">
        <v>25</v>
      </c>
      <c r="Q716" s="1" t="s">
        <v>25</v>
      </c>
      <c r="R716" s="1" t="s">
        <v>25</v>
      </c>
      <c r="S716" s="2">
        <v>0</v>
      </c>
    </row>
    <row r="717" spans="1:19" x14ac:dyDescent="0.3">
      <c r="A717" t="s">
        <v>1453</v>
      </c>
      <c r="B717" s="5" t="e" cm="1">
        <f t="array" ref="B717">MAX(#REF!,MIN(#REF!,#REF!+SUMPRODUCT(--(FoodData[[#This Row],[Healthy]:[Refined]]="Yes"),#REF!)+FoodData[[#This Row],[Adjust]]))</f>
        <v>#REF!</v>
      </c>
      <c r="C717" s="1" t="e">
        <f>LOOKUP(FoodData[[#This Row],[Score]],#REF!,#REF!)</f>
        <v>#REF!</v>
      </c>
      <c r="D717" t="s">
        <v>1439</v>
      </c>
      <c r="E717" t="s">
        <v>63</v>
      </c>
      <c r="F717" t="s">
        <v>22</v>
      </c>
      <c r="G717" t="s">
        <v>29</v>
      </c>
      <c r="H717" t="s">
        <v>1454</v>
      </c>
      <c r="I717" s="1" t="s">
        <v>26</v>
      </c>
      <c r="J717" s="1" t="s">
        <v>26</v>
      </c>
      <c r="K717" s="1" t="s">
        <v>25</v>
      </c>
      <c r="L717" s="1" t="s">
        <v>26</v>
      </c>
      <c r="M717" s="1" t="s">
        <v>25</v>
      </c>
      <c r="N717" s="1" t="s">
        <v>25</v>
      </c>
      <c r="O717" s="1" t="s">
        <v>25</v>
      </c>
      <c r="P717" s="1" t="s">
        <v>25</v>
      </c>
      <c r="Q717" s="1" t="s">
        <v>25</v>
      </c>
      <c r="R717" s="1" t="s">
        <v>25</v>
      </c>
      <c r="S717" s="2">
        <v>0</v>
      </c>
    </row>
    <row r="718" spans="1:19" x14ac:dyDescent="0.3">
      <c r="A718" t="s">
        <v>1455</v>
      </c>
      <c r="B718" s="5" t="e" cm="1">
        <f t="array" ref="B718">MAX(#REF!,MIN(#REF!,#REF!+SUMPRODUCT(--(FoodData[[#This Row],[Healthy]:[Refined]]="Yes"),#REF!)+FoodData[[#This Row],[Adjust]]))</f>
        <v>#REF!</v>
      </c>
      <c r="C718" s="1" t="e">
        <f>LOOKUP(FoodData[[#This Row],[Score]],#REF!,#REF!)</f>
        <v>#REF!</v>
      </c>
      <c r="D718" t="s">
        <v>1439</v>
      </c>
      <c r="E718" t="s">
        <v>199</v>
      </c>
      <c r="F718" t="s">
        <v>60</v>
      </c>
      <c r="G718" t="s">
        <v>29</v>
      </c>
      <c r="H718" t="s">
        <v>1456</v>
      </c>
      <c r="I718" s="1" t="s">
        <v>26</v>
      </c>
      <c r="J718" s="1" t="s">
        <v>25</v>
      </c>
      <c r="K718" s="1" t="s">
        <v>26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25</v>
      </c>
      <c r="Q718" s="1" t="s">
        <v>25</v>
      </c>
      <c r="R718" s="1" t="s">
        <v>25</v>
      </c>
      <c r="S718" s="2">
        <v>0</v>
      </c>
    </row>
    <row r="719" spans="1:19" x14ac:dyDescent="0.3">
      <c r="A719" t="s">
        <v>1457</v>
      </c>
      <c r="B719" s="5" t="e" cm="1">
        <f t="array" ref="B719">MAX(#REF!,MIN(#REF!,#REF!+SUMPRODUCT(--(FoodData[[#This Row],[Healthy]:[Refined]]="Yes"),#REF!)+FoodData[[#This Row],[Adjust]]))</f>
        <v>#REF!</v>
      </c>
      <c r="C719" s="1" t="e">
        <f>LOOKUP(FoodData[[#This Row],[Score]],#REF!,#REF!)</f>
        <v>#REF!</v>
      </c>
      <c r="D719" t="s">
        <v>1439</v>
      </c>
      <c r="E719" t="s">
        <v>384</v>
      </c>
      <c r="F719" t="s">
        <v>22</v>
      </c>
      <c r="G719" t="s">
        <v>29</v>
      </c>
      <c r="H719" t="s">
        <v>1458</v>
      </c>
      <c r="I719" s="1" t="s">
        <v>25</v>
      </c>
      <c r="J719" s="1" t="s">
        <v>25</v>
      </c>
      <c r="K719" s="1" t="s">
        <v>26</v>
      </c>
      <c r="L719" s="1" t="s">
        <v>25</v>
      </c>
      <c r="M719" s="1" t="s">
        <v>25</v>
      </c>
      <c r="N719" s="1" t="s">
        <v>25</v>
      </c>
      <c r="O719" s="1" t="s">
        <v>25</v>
      </c>
      <c r="P719" s="1" t="s">
        <v>26</v>
      </c>
      <c r="Q719" s="1" t="s">
        <v>25</v>
      </c>
      <c r="R719" s="1" t="s">
        <v>25</v>
      </c>
      <c r="S719" s="2">
        <v>0</v>
      </c>
    </row>
    <row r="720" spans="1:19" x14ac:dyDescent="0.3">
      <c r="A720" t="s">
        <v>1459</v>
      </c>
      <c r="B720" s="5" t="e" cm="1">
        <f t="array" ref="B720">MAX(#REF!,MIN(#REF!,#REF!+SUMPRODUCT(--(FoodData[[#This Row],[Healthy]:[Refined]]="Yes"),#REF!)+FoodData[[#This Row],[Adjust]]))</f>
        <v>#REF!</v>
      </c>
      <c r="C720" s="1" t="e">
        <f>LOOKUP(FoodData[[#This Row],[Score]],#REF!,#REF!)</f>
        <v>#REF!</v>
      </c>
      <c r="D720" t="s">
        <v>1439</v>
      </c>
      <c r="E720" t="s">
        <v>199</v>
      </c>
      <c r="F720" t="s">
        <v>22</v>
      </c>
      <c r="G720" t="s">
        <v>29</v>
      </c>
      <c r="H720" t="s">
        <v>1460</v>
      </c>
      <c r="I720" s="1" t="s">
        <v>26</v>
      </c>
      <c r="J720" s="1" t="s">
        <v>26</v>
      </c>
      <c r="K720" s="1" t="s">
        <v>25</v>
      </c>
      <c r="L720" s="1" t="s">
        <v>26</v>
      </c>
      <c r="M720" s="1" t="s">
        <v>25</v>
      </c>
      <c r="N720" s="1" t="s">
        <v>25</v>
      </c>
      <c r="O720" s="1" t="s">
        <v>25</v>
      </c>
      <c r="P720" s="1" t="s">
        <v>25</v>
      </c>
      <c r="Q720" s="1" t="s">
        <v>25</v>
      </c>
      <c r="R720" s="1" t="s">
        <v>25</v>
      </c>
      <c r="S720" s="2">
        <v>0</v>
      </c>
    </row>
    <row r="721" spans="1:19" x14ac:dyDescent="0.3">
      <c r="A721" t="s">
        <v>1461</v>
      </c>
      <c r="B721" s="5" t="e" cm="1">
        <f t="array" ref="B721">MAX(#REF!,MIN(#REF!,#REF!+SUMPRODUCT(--(FoodData[[#This Row],[Healthy]:[Refined]]="Yes"),#REF!)+FoodData[[#This Row],[Adjust]]))</f>
        <v>#REF!</v>
      </c>
      <c r="C721" s="1" t="e">
        <f>LOOKUP(FoodData[[#This Row],[Score]],#REF!,#REF!)</f>
        <v>#REF!</v>
      </c>
      <c r="D721" t="s">
        <v>1439</v>
      </c>
      <c r="E721" t="s">
        <v>384</v>
      </c>
      <c r="F721" t="s">
        <v>22</v>
      </c>
      <c r="G721" t="s">
        <v>29</v>
      </c>
      <c r="H721" t="s">
        <v>1462</v>
      </c>
      <c r="I721" s="1" t="s">
        <v>25</v>
      </c>
      <c r="J721" s="1" t="s">
        <v>25</v>
      </c>
      <c r="K721" s="1" t="s">
        <v>25</v>
      </c>
      <c r="L721" s="1" t="s">
        <v>25</v>
      </c>
      <c r="M721" s="1" t="s">
        <v>25</v>
      </c>
      <c r="N721" s="1" t="s">
        <v>25</v>
      </c>
      <c r="O721" s="1" t="s">
        <v>26</v>
      </c>
      <c r="P721" s="1" t="s">
        <v>25</v>
      </c>
      <c r="Q721" s="1" t="s">
        <v>25</v>
      </c>
      <c r="R721" s="1" t="s">
        <v>26</v>
      </c>
      <c r="S721" s="2">
        <v>0</v>
      </c>
    </row>
    <row r="722" spans="1:19" x14ac:dyDescent="0.3">
      <c r="A722" t="s">
        <v>1463</v>
      </c>
      <c r="B722" s="5" t="e" cm="1">
        <f t="array" ref="B722">MAX(#REF!,MIN(#REF!,#REF!+SUMPRODUCT(--(FoodData[[#This Row],[Healthy]:[Refined]]="Yes"),#REF!)+FoodData[[#This Row],[Adjust]]))</f>
        <v>#REF!</v>
      </c>
      <c r="C722" s="1" t="e">
        <f>LOOKUP(FoodData[[#This Row],[Score]],#REF!,#REF!)</f>
        <v>#REF!</v>
      </c>
      <c r="D722" t="s">
        <v>1439</v>
      </c>
      <c r="E722" t="s">
        <v>384</v>
      </c>
      <c r="F722" t="s">
        <v>22</v>
      </c>
      <c r="G722" t="s">
        <v>29</v>
      </c>
      <c r="H722" t="s">
        <v>1464</v>
      </c>
      <c r="I722" s="1" t="s">
        <v>26</v>
      </c>
      <c r="J722" s="1" t="s">
        <v>26</v>
      </c>
      <c r="K722" s="1" t="s">
        <v>25</v>
      </c>
      <c r="L722" s="1" t="s">
        <v>26</v>
      </c>
      <c r="M722" s="1" t="s">
        <v>25</v>
      </c>
      <c r="N722" s="1" t="s">
        <v>25</v>
      </c>
      <c r="O722" s="1" t="s">
        <v>25</v>
      </c>
      <c r="P722" s="1" t="s">
        <v>25</v>
      </c>
      <c r="Q722" s="1" t="s">
        <v>25</v>
      </c>
      <c r="R722" s="1" t="s">
        <v>25</v>
      </c>
      <c r="S722" s="2">
        <v>0</v>
      </c>
    </row>
    <row r="723" spans="1:19" x14ac:dyDescent="0.3">
      <c r="A723" t="s">
        <v>1465</v>
      </c>
      <c r="B723" s="5" t="e" cm="1">
        <f t="array" ref="B723">MAX(#REF!,MIN(#REF!,#REF!+SUMPRODUCT(--(FoodData[[#This Row],[Healthy]:[Refined]]="Yes"),#REF!)+FoodData[[#This Row],[Adjust]]))</f>
        <v>#REF!</v>
      </c>
      <c r="C723" s="1" t="e">
        <f>LOOKUP(FoodData[[#This Row],[Score]],#REF!,#REF!)</f>
        <v>#REF!</v>
      </c>
      <c r="D723" t="s">
        <v>1439</v>
      </c>
      <c r="E723" t="s">
        <v>199</v>
      </c>
      <c r="F723" t="s">
        <v>22</v>
      </c>
      <c r="G723" t="s">
        <v>29</v>
      </c>
      <c r="H723" t="s">
        <v>1466</v>
      </c>
      <c r="I723" s="1" t="s">
        <v>26</v>
      </c>
      <c r="J723" s="1" t="s">
        <v>26</v>
      </c>
      <c r="K723" s="1" t="s">
        <v>25</v>
      </c>
      <c r="L723" s="1" t="s">
        <v>26</v>
      </c>
      <c r="M723" s="1" t="s">
        <v>25</v>
      </c>
      <c r="N723" s="1" t="s">
        <v>25</v>
      </c>
      <c r="O723" s="1" t="s">
        <v>25</v>
      </c>
      <c r="P723" s="1" t="s">
        <v>25</v>
      </c>
      <c r="Q723" s="1" t="s">
        <v>25</v>
      </c>
      <c r="R723" s="1" t="s">
        <v>25</v>
      </c>
      <c r="S723" s="2">
        <v>0</v>
      </c>
    </row>
    <row r="724" spans="1:19" x14ac:dyDescent="0.3">
      <c r="A724" t="s">
        <v>1467</v>
      </c>
      <c r="B724" s="5" t="e" cm="1">
        <f t="array" ref="B724">MAX(#REF!,MIN(#REF!,#REF!+SUMPRODUCT(--(FoodData[[#This Row],[Healthy]:[Refined]]="Yes"),#REF!)+FoodData[[#This Row],[Adjust]]))</f>
        <v>#REF!</v>
      </c>
      <c r="C724" s="1" t="e">
        <f>LOOKUP(FoodData[[#This Row],[Score]],#REF!,#REF!)</f>
        <v>#REF!</v>
      </c>
      <c r="D724" t="s">
        <v>1439</v>
      </c>
      <c r="E724" t="s">
        <v>63</v>
      </c>
      <c r="F724" t="s">
        <v>22</v>
      </c>
      <c r="G724" t="s">
        <v>29</v>
      </c>
      <c r="H724" t="s">
        <v>1468</v>
      </c>
      <c r="I724" s="1" t="s">
        <v>26</v>
      </c>
      <c r="J724" s="1" t="s">
        <v>26</v>
      </c>
      <c r="K724" s="1" t="s">
        <v>26</v>
      </c>
      <c r="L724" s="1" t="s">
        <v>26</v>
      </c>
      <c r="M724" s="1" t="s">
        <v>25</v>
      </c>
      <c r="N724" s="1" t="s">
        <v>25</v>
      </c>
      <c r="O724" s="1" t="s">
        <v>25</v>
      </c>
      <c r="P724" s="1" t="s">
        <v>25</v>
      </c>
      <c r="Q724" s="1" t="s">
        <v>25</v>
      </c>
      <c r="R724" s="1" t="s">
        <v>25</v>
      </c>
      <c r="S724" s="2">
        <v>0</v>
      </c>
    </row>
    <row r="725" spans="1:19" x14ac:dyDescent="0.3">
      <c r="A725" t="s">
        <v>1469</v>
      </c>
      <c r="B725" s="5" t="e" cm="1">
        <f t="array" ref="B725">MAX(#REF!,MIN(#REF!,#REF!+SUMPRODUCT(--(FoodData[[#This Row],[Healthy]:[Refined]]="Yes"),#REF!)+FoodData[[#This Row],[Adjust]]))</f>
        <v>#REF!</v>
      </c>
      <c r="C725" s="1" t="e">
        <f>LOOKUP(FoodData[[#This Row],[Score]],#REF!,#REF!)</f>
        <v>#REF!</v>
      </c>
      <c r="D725" t="s">
        <v>1439</v>
      </c>
      <c r="E725" t="s">
        <v>28</v>
      </c>
      <c r="F725" t="s">
        <v>22</v>
      </c>
      <c r="G725" t="s">
        <v>23</v>
      </c>
      <c r="H725" t="s">
        <v>1470</v>
      </c>
      <c r="I725" s="1" t="s">
        <v>26</v>
      </c>
      <c r="J725" s="1" t="s">
        <v>25</v>
      </c>
      <c r="K725" s="1" t="s">
        <v>26</v>
      </c>
      <c r="L725" s="1" t="s">
        <v>26</v>
      </c>
      <c r="M725" s="1" t="s">
        <v>25</v>
      </c>
      <c r="N725" s="1" t="s">
        <v>26</v>
      </c>
      <c r="O725" s="1" t="s">
        <v>25</v>
      </c>
      <c r="P725" s="1" t="s">
        <v>25</v>
      </c>
      <c r="Q725" s="1" t="s">
        <v>25</v>
      </c>
      <c r="R725" s="1" t="s">
        <v>25</v>
      </c>
      <c r="S725" s="2">
        <v>0</v>
      </c>
    </row>
    <row r="726" spans="1:19" x14ac:dyDescent="0.3">
      <c r="A726" t="s">
        <v>1471</v>
      </c>
      <c r="B726" s="5" t="e" cm="1">
        <f t="array" ref="B726">MAX(#REF!,MIN(#REF!,#REF!+SUMPRODUCT(--(FoodData[[#This Row],[Healthy]:[Refined]]="Yes"),#REF!)+FoodData[[#This Row],[Adjust]]))</f>
        <v>#REF!</v>
      </c>
      <c r="C726" s="1" t="e">
        <f>LOOKUP(FoodData[[#This Row],[Score]],#REF!,#REF!)</f>
        <v>#REF!</v>
      </c>
      <c r="D726" t="s">
        <v>1439</v>
      </c>
      <c r="E726" t="s">
        <v>63</v>
      </c>
      <c r="F726" t="s">
        <v>22</v>
      </c>
      <c r="G726" t="s">
        <v>29</v>
      </c>
      <c r="H726" t="s">
        <v>1472</v>
      </c>
      <c r="I726" s="1" t="s">
        <v>26</v>
      </c>
      <c r="J726" s="1" t="s">
        <v>26</v>
      </c>
      <c r="K726" s="1" t="s">
        <v>26</v>
      </c>
      <c r="L726" s="1" t="s">
        <v>26</v>
      </c>
      <c r="M726" s="1" t="s">
        <v>25</v>
      </c>
      <c r="N726" s="1" t="s">
        <v>25</v>
      </c>
      <c r="O726" s="1" t="s">
        <v>25</v>
      </c>
      <c r="P726" s="1" t="s">
        <v>25</v>
      </c>
      <c r="Q726" s="1" t="s">
        <v>25</v>
      </c>
      <c r="R726" s="1" t="s">
        <v>25</v>
      </c>
      <c r="S726" s="2">
        <v>0</v>
      </c>
    </row>
    <row r="727" spans="1:19" x14ac:dyDescent="0.3">
      <c r="A727" t="s">
        <v>1473</v>
      </c>
      <c r="B727" s="5" t="e" cm="1">
        <f t="array" ref="B727">MAX(#REF!,MIN(#REF!,#REF!+SUMPRODUCT(--(FoodData[[#This Row],[Healthy]:[Refined]]="Yes"),#REF!)+FoodData[[#This Row],[Adjust]]))</f>
        <v>#REF!</v>
      </c>
      <c r="C727" s="1" t="e">
        <f>LOOKUP(FoodData[[#This Row],[Score]],#REF!,#REF!)</f>
        <v>#REF!</v>
      </c>
      <c r="D727" t="s">
        <v>1439</v>
      </c>
      <c r="E727" t="s">
        <v>63</v>
      </c>
      <c r="F727" t="s">
        <v>22</v>
      </c>
      <c r="G727" t="s">
        <v>29</v>
      </c>
      <c r="H727" t="s">
        <v>1474</v>
      </c>
      <c r="I727" s="1" t="s">
        <v>26</v>
      </c>
      <c r="J727" s="1" t="s">
        <v>26</v>
      </c>
      <c r="K727" s="1" t="s">
        <v>25</v>
      </c>
      <c r="L727" s="1" t="s">
        <v>26</v>
      </c>
      <c r="M727" s="1" t="s">
        <v>25</v>
      </c>
      <c r="N727" s="1" t="s">
        <v>25</v>
      </c>
      <c r="O727" s="1" t="s">
        <v>25</v>
      </c>
      <c r="P727" s="1" t="s">
        <v>25</v>
      </c>
      <c r="Q727" s="1" t="s">
        <v>25</v>
      </c>
      <c r="R727" s="1" t="s">
        <v>25</v>
      </c>
      <c r="S727" s="2">
        <v>0</v>
      </c>
    </row>
    <row r="728" spans="1:19" x14ac:dyDescent="0.3">
      <c r="A728" t="s">
        <v>1475</v>
      </c>
      <c r="B728" s="5" t="e" cm="1">
        <f t="array" ref="B728">MAX(#REF!,MIN(#REF!,#REF!+SUMPRODUCT(--(FoodData[[#This Row],[Healthy]:[Refined]]="Yes"),#REF!)+FoodData[[#This Row],[Adjust]]))</f>
        <v>#REF!</v>
      </c>
      <c r="C728" s="1" t="e">
        <f>LOOKUP(FoodData[[#This Row],[Score]],#REF!,#REF!)</f>
        <v>#REF!</v>
      </c>
      <c r="D728" t="s">
        <v>1439</v>
      </c>
      <c r="E728" t="s">
        <v>384</v>
      </c>
      <c r="F728" t="s">
        <v>60</v>
      </c>
      <c r="G728" t="s">
        <v>29</v>
      </c>
      <c r="H728" t="s">
        <v>1476</v>
      </c>
      <c r="I728" s="1" t="s">
        <v>25</v>
      </c>
      <c r="J728" s="1" t="s">
        <v>25</v>
      </c>
      <c r="K728" s="1" t="s">
        <v>26</v>
      </c>
      <c r="L728" s="1" t="s">
        <v>25</v>
      </c>
      <c r="M728" s="1" t="s">
        <v>25</v>
      </c>
      <c r="N728" s="1" t="s">
        <v>25</v>
      </c>
      <c r="O728" s="1" t="s">
        <v>25</v>
      </c>
      <c r="P728" s="1" t="s">
        <v>25</v>
      </c>
      <c r="Q728" s="1" t="s">
        <v>25</v>
      </c>
      <c r="R728" s="1" t="s">
        <v>26</v>
      </c>
      <c r="S728" s="2">
        <v>0</v>
      </c>
    </row>
    <row r="729" spans="1:19" x14ac:dyDescent="0.3">
      <c r="A729" t="s">
        <v>1477</v>
      </c>
      <c r="B729" s="5" t="e" cm="1">
        <f t="array" ref="B729">MAX(#REF!,MIN(#REF!,#REF!+SUMPRODUCT(--(FoodData[[#This Row],[Healthy]:[Refined]]="Yes"),#REF!)+FoodData[[#This Row],[Adjust]]))</f>
        <v>#REF!</v>
      </c>
      <c r="C729" s="1" t="e">
        <f>LOOKUP(FoodData[[#This Row],[Score]],#REF!,#REF!)</f>
        <v>#REF!</v>
      </c>
      <c r="D729" t="s">
        <v>1439</v>
      </c>
      <c r="E729" t="s">
        <v>199</v>
      </c>
      <c r="F729" t="s">
        <v>60</v>
      </c>
      <c r="G729" t="s">
        <v>29</v>
      </c>
      <c r="H729" t="s">
        <v>1478</v>
      </c>
      <c r="I729" s="1" t="s">
        <v>26</v>
      </c>
      <c r="J729" s="1" t="s">
        <v>25</v>
      </c>
      <c r="K729" s="1" t="s">
        <v>26</v>
      </c>
      <c r="L729" s="1" t="s">
        <v>25</v>
      </c>
      <c r="M729" s="1" t="s">
        <v>25</v>
      </c>
      <c r="N729" s="1" t="s">
        <v>25</v>
      </c>
      <c r="O729" s="1" t="s">
        <v>25</v>
      </c>
      <c r="P729" s="1" t="s">
        <v>25</v>
      </c>
      <c r="Q729" s="1" t="s">
        <v>25</v>
      </c>
      <c r="R729" s="1" t="s">
        <v>25</v>
      </c>
      <c r="S729" s="2">
        <v>0</v>
      </c>
    </row>
    <row r="730" spans="1:19" x14ac:dyDescent="0.3">
      <c r="A730" t="s">
        <v>1479</v>
      </c>
      <c r="B730" s="5" t="e" cm="1">
        <f t="array" ref="B730">MAX(#REF!,MIN(#REF!,#REF!+SUMPRODUCT(--(FoodData[[#This Row],[Healthy]:[Refined]]="Yes"),#REF!)+FoodData[[#This Row],[Adjust]]))</f>
        <v>#REF!</v>
      </c>
      <c r="C730" s="1" t="e">
        <f>LOOKUP(FoodData[[#This Row],[Score]],#REF!,#REF!)</f>
        <v>#REF!</v>
      </c>
      <c r="D730" t="s">
        <v>1439</v>
      </c>
      <c r="E730" t="s">
        <v>199</v>
      </c>
      <c r="F730" t="s">
        <v>22</v>
      </c>
      <c r="G730" t="s">
        <v>29</v>
      </c>
      <c r="H730" t="s">
        <v>1480</v>
      </c>
      <c r="I730" s="1" t="s">
        <v>26</v>
      </c>
      <c r="J730" s="1" t="s">
        <v>26</v>
      </c>
      <c r="K730" s="1" t="s">
        <v>25</v>
      </c>
      <c r="L730" s="1" t="s">
        <v>26</v>
      </c>
      <c r="M730" s="1" t="s">
        <v>25</v>
      </c>
      <c r="N730" s="1" t="s">
        <v>25</v>
      </c>
      <c r="O730" s="1" t="s">
        <v>25</v>
      </c>
      <c r="P730" s="1" t="s">
        <v>25</v>
      </c>
      <c r="Q730" s="1" t="s">
        <v>25</v>
      </c>
      <c r="R730" s="1" t="s">
        <v>25</v>
      </c>
      <c r="S730" s="2">
        <v>0</v>
      </c>
    </row>
    <row r="731" spans="1:19" x14ac:dyDescent="0.3">
      <c r="A731" t="s">
        <v>1481</v>
      </c>
      <c r="B731" s="5" t="e" cm="1">
        <f t="array" ref="B731">MAX(#REF!,MIN(#REF!,#REF!+SUMPRODUCT(--(FoodData[[#This Row],[Healthy]:[Refined]]="Yes"),#REF!)+FoodData[[#This Row],[Adjust]]))</f>
        <v>#REF!</v>
      </c>
      <c r="C731" s="1" t="e">
        <f>LOOKUP(FoodData[[#This Row],[Score]],#REF!,#REF!)</f>
        <v>#REF!</v>
      </c>
      <c r="D731" t="s">
        <v>1439</v>
      </c>
      <c r="E731" t="s">
        <v>384</v>
      </c>
      <c r="F731" t="s">
        <v>22</v>
      </c>
      <c r="G731" t="s">
        <v>29</v>
      </c>
      <c r="H731" t="s">
        <v>1482</v>
      </c>
      <c r="I731" s="1" t="s">
        <v>25</v>
      </c>
      <c r="J731" s="1" t="s">
        <v>25</v>
      </c>
      <c r="K731" s="1" t="s">
        <v>25</v>
      </c>
      <c r="L731" s="1" t="s">
        <v>26</v>
      </c>
      <c r="M731" s="1" t="s">
        <v>25</v>
      </c>
      <c r="N731" s="1" t="s">
        <v>26</v>
      </c>
      <c r="O731" s="1" t="s">
        <v>25</v>
      </c>
      <c r="P731" s="1" t="s">
        <v>25</v>
      </c>
      <c r="Q731" s="1" t="s">
        <v>25</v>
      </c>
      <c r="R731" s="1" t="s">
        <v>25</v>
      </c>
      <c r="S731" s="2">
        <v>0</v>
      </c>
    </row>
    <row r="732" spans="1:19" x14ac:dyDescent="0.3">
      <c r="A732" t="s">
        <v>1483</v>
      </c>
      <c r="B732" s="5" t="e" cm="1">
        <f t="array" ref="B732">MAX(#REF!,MIN(#REF!,#REF!+SUMPRODUCT(--(FoodData[[#This Row],[Healthy]:[Refined]]="Yes"),#REF!)+FoodData[[#This Row],[Adjust]]))</f>
        <v>#REF!</v>
      </c>
      <c r="C732" s="1" t="e">
        <f>LOOKUP(FoodData[[#This Row],[Score]],#REF!,#REF!)</f>
        <v>#REF!</v>
      </c>
      <c r="D732" t="s">
        <v>1439</v>
      </c>
      <c r="E732" t="s">
        <v>384</v>
      </c>
      <c r="F732" t="s">
        <v>22</v>
      </c>
      <c r="G732" t="s">
        <v>29</v>
      </c>
      <c r="H732" t="s">
        <v>1484</v>
      </c>
      <c r="I732" s="1" t="s">
        <v>25</v>
      </c>
      <c r="J732" s="1" t="s">
        <v>25</v>
      </c>
      <c r="K732" s="1" t="s">
        <v>25</v>
      </c>
      <c r="L732" s="1" t="s">
        <v>25</v>
      </c>
      <c r="M732" s="1" t="s">
        <v>25</v>
      </c>
      <c r="N732" s="1" t="s">
        <v>25</v>
      </c>
      <c r="O732" s="1" t="s">
        <v>25</v>
      </c>
      <c r="P732" s="1" t="s">
        <v>25</v>
      </c>
      <c r="Q732" s="1" t="s">
        <v>26</v>
      </c>
      <c r="R732" s="1" t="s">
        <v>25</v>
      </c>
      <c r="S732" s="2">
        <v>0</v>
      </c>
    </row>
    <row r="733" spans="1:19" x14ac:dyDescent="0.3">
      <c r="A733" t="s">
        <v>1485</v>
      </c>
      <c r="B733" s="5" t="e" cm="1">
        <f t="array" ref="B733">MAX(#REF!,MIN(#REF!,#REF!+SUMPRODUCT(--(FoodData[[#This Row],[Healthy]:[Refined]]="Yes"),#REF!)+FoodData[[#This Row],[Adjust]]))</f>
        <v>#REF!</v>
      </c>
      <c r="C733" s="1" t="e">
        <f>LOOKUP(FoodData[[#This Row],[Score]],#REF!,#REF!)</f>
        <v>#REF!</v>
      </c>
      <c r="D733" t="s">
        <v>1439</v>
      </c>
      <c r="E733" t="s">
        <v>384</v>
      </c>
      <c r="F733" t="s">
        <v>22</v>
      </c>
      <c r="G733" t="s">
        <v>29</v>
      </c>
      <c r="H733" t="s">
        <v>1486</v>
      </c>
      <c r="I733" s="1" t="s">
        <v>26</v>
      </c>
      <c r="J733" s="1" t="s">
        <v>25</v>
      </c>
      <c r="K733" s="1" t="s">
        <v>25</v>
      </c>
      <c r="L733" s="1" t="s">
        <v>26</v>
      </c>
      <c r="M733" s="1" t="s">
        <v>25</v>
      </c>
      <c r="N733" s="1" t="s">
        <v>25</v>
      </c>
      <c r="O733" s="1" t="s">
        <v>25</v>
      </c>
      <c r="P733" s="1" t="s">
        <v>25</v>
      </c>
      <c r="Q733" s="1" t="s">
        <v>25</v>
      </c>
      <c r="R733" s="1" t="s">
        <v>25</v>
      </c>
      <c r="S733" s="2">
        <v>0</v>
      </c>
    </row>
    <row r="734" spans="1:19" x14ac:dyDescent="0.3">
      <c r="A734" t="s">
        <v>1487</v>
      </c>
      <c r="B734" s="5" t="e" cm="1">
        <f t="array" ref="B734">MAX(#REF!,MIN(#REF!,#REF!+SUMPRODUCT(--(FoodData[[#This Row],[Healthy]:[Refined]]="Yes"),#REF!)+FoodData[[#This Row],[Adjust]]))</f>
        <v>#REF!</v>
      </c>
      <c r="C734" s="1" t="e">
        <f>LOOKUP(FoodData[[#This Row],[Score]],#REF!,#REF!)</f>
        <v>#REF!</v>
      </c>
      <c r="D734" t="s">
        <v>1439</v>
      </c>
      <c r="E734" t="s">
        <v>384</v>
      </c>
      <c r="F734" t="s">
        <v>22</v>
      </c>
      <c r="G734" t="s">
        <v>29</v>
      </c>
      <c r="H734" t="s">
        <v>1488</v>
      </c>
      <c r="I734" s="1" t="s">
        <v>26</v>
      </c>
      <c r="J734" s="1" t="s">
        <v>26</v>
      </c>
      <c r="K734" s="1" t="s">
        <v>26</v>
      </c>
      <c r="L734" s="1" t="s">
        <v>25</v>
      </c>
      <c r="M734" s="1" t="s">
        <v>25</v>
      </c>
      <c r="N734" s="1" t="s">
        <v>25</v>
      </c>
      <c r="O734" s="1" t="s">
        <v>25</v>
      </c>
      <c r="P734" s="1" t="s">
        <v>25</v>
      </c>
      <c r="Q734" s="1" t="s">
        <v>25</v>
      </c>
      <c r="R734" s="1" t="s">
        <v>25</v>
      </c>
      <c r="S734" s="2">
        <v>0</v>
      </c>
    </row>
    <row r="735" spans="1:19" x14ac:dyDescent="0.3">
      <c r="A735" t="s">
        <v>1489</v>
      </c>
      <c r="B735" s="5" t="e" cm="1">
        <f t="array" ref="B735">MAX(#REF!,MIN(#REF!,#REF!+SUMPRODUCT(--(FoodData[[#This Row],[Healthy]:[Refined]]="Yes"),#REF!)+FoodData[[#This Row],[Adjust]]))</f>
        <v>#REF!</v>
      </c>
      <c r="C735" s="1" t="e">
        <f>LOOKUP(FoodData[[#This Row],[Score]],#REF!,#REF!)</f>
        <v>#REF!</v>
      </c>
      <c r="D735" t="s">
        <v>1439</v>
      </c>
      <c r="E735" t="s">
        <v>63</v>
      </c>
      <c r="F735" t="s">
        <v>22</v>
      </c>
      <c r="G735" t="s">
        <v>29</v>
      </c>
      <c r="H735" t="s">
        <v>1490</v>
      </c>
      <c r="I735" s="1" t="s">
        <v>26</v>
      </c>
      <c r="J735" s="1" t="s">
        <v>26</v>
      </c>
      <c r="K735" s="1" t="s">
        <v>25</v>
      </c>
      <c r="L735" s="1" t="s">
        <v>26</v>
      </c>
      <c r="M735" s="1" t="s">
        <v>25</v>
      </c>
      <c r="N735" s="1" t="s">
        <v>25</v>
      </c>
      <c r="O735" s="1" t="s">
        <v>25</v>
      </c>
      <c r="P735" s="1" t="s">
        <v>25</v>
      </c>
      <c r="Q735" s="1" t="s">
        <v>25</v>
      </c>
      <c r="R735" s="1" t="s">
        <v>25</v>
      </c>
      <c r="S735" s="2">
        <v>0</v>
      </c>
    </row>
    <row r="736" spans="1:19" x14ac:dyDescent="0.3">
      <c r="A736" t="s">
        <v>1491</v>
      </c>
      <c r="B736" s="5" t="e" cm="1">
        <f t="array" ref="B736">MAX(#REF!,MIN(#REF!,#REF!+SUMPRODUCT(--(FoodData[[#This Row],[Healthy]:[Refined]]="Yes"),#REF!)+FoodData[[#This Row],[Adjust]]))</f>
        <v>#REF!</v>
      </c>
      <c r="C736" s="1" t="e">
        <f>LOOKUP(FoodData[[#This Row],[Score]],#REF!,#REF!)</f>
        <v>#REF!</v>
      </c>
      <c r="D736" t="s">
        <v>1439</v>
      </c>
      <c r="E736" t="s">
        <v>28</v>
      </c>
      <c r="F736" t="s">
        <v>22</v>
      </c>
      <c r="G736" t="s">
        <v>29</v>
      </c>
      <c r="H736" t="s">
        <v>1491</v>
      </c>
      <c r="I736" s="1" t="s">
        <v>26</v>
      </c>
      <c r="J736" s="1" t="s">
        <v>26</v>
      </c>
      <c r="K736" s="1" t="s">
        <v>26</v>
      </c>
      <c r="L736" s="1" t="s">
        <v>25</v>
      </c>
      <c r="M736" s="1" t="s">
        <v>25</v>
      </c>
      <c r="N736" s="1" t="s">
        <v>25</v>
      </c>
      <c r="O736" s="1" t="s">
        <v>25</v>
      </c>
      <c r="P736" s="1" t="s">
        <v>25</v>
      </c>
      <c r="Q736" s="1" t="s">
        <v>25</v>
      </c>
      <c r="R736" s="1" t="s">
        <v>25</v>
      </c>
      <c r="S736" s="2">
        <v>0</v>
      </c>
    </row>
    <row r="737" spans="1:19" x14ac:dyDescent="0.3">
      <c r="A737" t="s">
        <v>1492</v>
      </c>
      <c r="B737" s="5" t="e" cm="1">
        <f t="array" ref="B737">MAX(#REF!,MIN(#REF!,#REF!+SUMPRODUCT(--(FoodData[[#This Row],[Healthy]:[Refined]]="Yes"),#REF!)+FoodData[[#This Row],[Adjust]]))</f>
        <v>#REF!</v>
      </c>
      <c r="C737" s="1" t="e">
        <f>LOOKUP(FoodData[[#This Row],[Score]],#REF!,#REF!)</f>
        <v>#REF!</v>
      </c>
      <c r="D737" t="s">
        <v>1439</v>
      </c>
      <c r="E737" t="s">
        <v>63</v>
      </c>
      <c r="F737" t="s">
        <v>22</v>
      </c>
      <c r="G737" t="s">
        <v>29</v>
      </c>
      <c r="H737" t="s">
        <v>1493</v>
      </c>
      <c r="I737" s="1" t="s">
        <v>26</v>
      </c>
      <c r="J737" s="1" t="s">
        <v>26</v>
      </c>
      <c r="K737" s="1" t="s">
        <v>26</v>
      </c>
      <c r="L737" s="1" t="s">
        <v>25</v>
      </c>
      <c r="M737" s="1" t="s">
        <v>25</v>
      </c>
      <c r="N737" s="1" t="s">
        <v>25</v>
      </c>
      <c r="O737" s="1" t="s">
        <v>25</v>
      </c>
      <c r="P737" s="1" t="s">
        <v>25</v>
      </c>
      <c r="Q737" s="1" t="s">
        <v>25</v>
      </c>
      <c r="R737" s="1" t="s">
        <v>25</v>
      </c>
      <c r="S737" s="2">
        <v>0</v>
      </c>
    </row>
    <row r="738" spans="1:19" x14ac:dyDescent="0.3">
      <c r="A738" t="s">
        <v>1494</v>
      </c>
      <c r="B738" s="5" t="e" cm="1">
        <f t="array" ref="B738">MAX(#REF!,MIN(#REF!,#REF!+SUMPRODUCT(--(FoodData[[#This Row],[Healthy]:[Refined]]="Yes"),#REF!)+FoodData[[#This Row],[Adjust]]))</f>
        <v>#REF!</v>
      </c>
      <c r="C738" s="1" t="e">
        <f>LOOKUP(FoodData[[#This Row],[Score]],#REF!,#REF!)</f>
        <v>#REF!</v>
      </c>
      <c r="D738" t="s">
        <v>1439</v>
      </c>
      <c r="E738" t="s">
        <v>384</v>
      </c>
      <c r="F738" t="s">
        <v>60</v>
      </c>
      <c r="G738" t="s">
        <v>29</v>
      </c>
      <c r="H738" t="s">
        <v>1495</v>
      </c>
      <c r="I738" s="1" t="s">
        <v>26</v>
      </c>
      <c r="J738" s="1" t="s">
        <v>26</v>
      </c>
      <c r="K738" s="1" t="s">
        <v>26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25</v>
      </c>
      <c r="Q738" s="1" t="s">
        <v>25</v>
      </c>
      <c r="R738" s="1" t="s">
        <v>25</v>
      </c>
      <c r="S738" s="2">
        <v>0</v>
      </c>
    </row>
    <row r="739" spans="1:19" x14ac:dyDescent="0.3">
      <c r="A739" t="s">
        <v>1496</v>
      </c>
      <c r="B739" s="5" t="e" cm="1">
        <f t="array" ref="B739">MAX(#REF!,MIN(#REF!,#REF!+SUMPRODUCT(--(FoodData[[#This Row],[Healthy]:[Refined]]="Yes"),#REF!)+FoodData[[#This Row],[Adjust]]))</f>
        <v>#REF!</v>
      </c>
      <c r="C739" s="1" t="e">
        <f>LOOKUP(FoodData[[#This Row],[Score]],#REF!,#REF!)</f>
        <v>#REF!</v>
      </c>
      <c r="D739" t="s">
        <v>1439</v>
      </c>
      <c r="E739" t="s">
        <v>21</v>
      </c>
      <c r="F739" t="s">
        <v>60</v>
      </c>
      <c r="G739" t="s">
        <v>29</v>
      </c>
      <c r="H739" t="s">
        <v>1497</v>
      </c>
      <c r="I739" s="1" t="s">
        <v>26</v>
      </c>
      <c r="J739" s="1" t="s">
        <v>26</v>
      </c>
      <c r="K739" s="1" t="s">
        <v>26</v>
      </c>
      <c r="L739" s="1" t="s">
        <v>25</v>
      </c>
      <c r="M739" s="1" t="s">
        <v>25</v>
      </c>
      <c r="N739" s="1" t="s">
        <v>25</v>
      </c>
      <c r="O739" s="1" t="s">
        <v>25</v>
      </c>
      <c r="P739" s="1" t="s">
        <v>25</v>
      </c>
      <c r="Q739" s="1" t="s">
        <v>25</v>
      </c>
      <c r="R739" s="1" t="s">
        <v>25</v>
      </c>
      <c r="S739" s="2">
        <v>0</v>
      </c>
    </row>
    <row r="740" spans="1:19" x14ac:dyDescent="0.3">
      <c r="A740" t="s">
        <v>1498</v>
      </c>
      <c r="B740" s="5" t="e" cm="1">
        <f t="array" ref="B740">MAX(#REF!,MIN(#REF!,#REF!+SUMPRODUCT(--(FoodData[[#This Row],[Healthy]:[Refined]]="Yes"),#REF!)+FoodData[[#This Row],[Adjust]]))</f>
        <v>#REF!</v>
      </c>
      <c r="C740" s="1" t="e">
        <f>LOOKUP(FoodData[[#This Row],[Score]],#REF!,#REF!)</f>
        <v>#REF!</v>
      </c>
      <c r="D740" t="s">
        <v>1439</v>
      </c>
      <c r="E740" t="s">
        <v>63</v>
      </c>
      <c r="F740" t="s">
        <v>22</v>
      </c>
      <c r="G740" t="s">
        <v>29</v>
      </c>
      <c r="H740" t="s">
        <v>1499</v>
      </c>
      <c r="I740" s="1" t="s">
        <v>26</v>
      </c>
      <c r="J740" s="1" t="s">
        <v>25</v>
      </c>
      <c r="K740" s="1" t="s">
        <v>25</v>
      </c>
      <c r="L740" s="1" t="s">
        <v>26</v>
      </c>
      <c r="M740" s="1" t="s">
        <v>26</v>
      </c>
      <c r="N740" s="1" t="s">
        <v>25</v>
      </c>
      <c r="O740" s="1" t="s">
        <v>25</v>
      </c>
      <c r="P740" s="1" t="s">
        <v>25</v>
      </c>
      <c r="Q740" s="1" t="s">
        <v>25</v>
      </c>
      <c r="R740" s="1" t="s">
        <v>25</v>
      </c>
      <c r="S740" s="2">
        <v>0</v>
      </c>
    </row>
    <row r="741" spans="1:19" x14ac:dyDescent="0.3">
      <c r="A741" t="s">
        <v>1500</v>
      </c>
      <c r="B741" s="5" t="e" cm="1">
        <f t="array" ref="B741">MAX(#REF!,MIN(#REF!,#REF!+SUMPRODUCT(--(FoodData[[#This Row],[Healthy]:[Refined]]="Yes"),#REF!)+FoodData[[#This Row],[Adjust]]))</f>
        <v>#REF!</v>
      </c>
      <c r="C741" s="1" t="e">
        <f>LOOKUP(FoodData[[#This Row],[Score]],#REF!,#REF!)</f>
        <v>#REF!</v>
      </c>
      <c r="D741" t="s">
        <v>1439</v>
      </c>
      <c r="E741" t="s">
        <v>384</v>
      </c>
      <c r="F741" t="s">
        <v>22</v>
      </c>
      <c r="G741" t="s">
        <v>29</v>
      </c>
      <c r="H741" t="s">
        <v>1501</v>
      </c>
      <c r="I741" s="1" t="s">
        <v>26</v>
      </c>
      <c r="J741" s="1" t="s">
        <v>25</v>
      </c>
      <c r="K741" s="1" t="s">
        <v>25</v>
      </c>
      <c r="L741" s="1" t="s">
        <v>25</v>
      </c>
      <c r="M741" s="1" t="s">
        <v>26</v>
      </c>
      <c r="N741" s="1" t="s">
        <v>25</v>
      </c>
      <c r="O741" s="1" t="s">
        <v>25</v>
      </c>
      <c r="P741" s="1" t="s">
        <v>25</v>
      </c>
      <c r="Q741" s="1" t="s">
        <v>25</v>
      </c>
      <c r="R741" s="1" t="s">
        <v>25</v>
      </c>
      <c r="S741" s="2">
        <v>0</v>
      </c>
    </row>
    <row r="742" spans="1:19" x14ac:dyDescent="0.3">
      <c r="A742" t="s">
        <v>1502</v>
      </c>
      <c r="B742" s="5" t="e" cm="1">
        <f t="array" ref="B742">MAX(#REF!,MIN(#REF!,#REF!+SUMPRODUCT(--(FoodData[[#This Row],[Healthy]:[Refined]]="Yes"),#REF!)+FoodData[[#This Row],[Adjust]]))</f>
        <v>#REF!</v>
      </c>
      <c r="C742" s="1" t="e">
        <f>LOOKUP(FoodData[[#This Row],[Score]],#REF!,#REF!)</f>
        <v>#REF!</v>
      </c>
      <c r="D742" t="s">
        <v>1439</v>
      </c>
      <c r="E742" t="s">
        <v>384</v>
      </c>
      <c r="F742" t="s">
        <v>22</v>
      </c>
      <c r="G742" t="s">
        <v>29</v>
      </c>
      <c r="H742" t="s">
        <v>1503</v>
      </c>
      <c r="I742" s="1" t="s">
        <v>26</v>
      </c>
      <c r="J742" s="1" t="s">
        <v>26</v>
      </c>
      <c r="K742" s="1" t="s">
        <v>26</v>
      </c>
      <c r="L742" s="1" t="s">
        <v>25</v>
      </c>
      <c r="M742" s="1" t="s">
        <v>25</v>
      </c>
      <c r="N742" s="1" t="s">
        <v>25</v>
      </c>
      <c r="O742" s="1" t="s">
        <v>25</v>
      </c>
      <c r="P742" s="1" t="s">
        <v>25</v>
      </c>
      <c r="Q742" s="1" t="s">
        <v>25</v>
      </c>
      <c r="R742" s="1" t="s">
        <v>25</v>
      </c>
      <c r="S742" s="2">
        <v>0</v>
      </c>
    </row>
    <row r="743" spans="1:19" x14ac:dyDescent="0.3">
      <c r="A743" t="s">
        <v>1504</v>
      </c>
      <c r="B743" s="5" t="e" cm="1">
        <f t="array" ref="B743">MAX(#REF!,MIN(#REF!,#REF!+SUMPRODUCT(--(FoodData[[#This Row],[Healthy]:[Refined]]="Yes"),#REF!)+FoodData[[#This Row],[Adjust]]))</f>
        <v>#REF!</v>
      </c>
      <c r="C743" s="1" t="e">
        <f>LOOKUP(FoodData[[#This Row],[Score]],#REF!,#REF!)</f>
        <v>#REF!</v>
      </c>
      <c r="D743" t="s">
        <v>1439</v>
      </c>
      <c r="E743" t="s">
        <v>21</v>
      </c>
      <c r="F743" t="s">
        <v>60</v>
      </c>
      <c r="G743" t="s">
        <v>29</v>
      </c>
      <c r="H743" t="s">
        <v>1505</v>
      </c>
      <c r="I743" s="1" t="s">
        <v>26</v>
      </c>
      <c r="J743" s="1" t="s">
        <v>26</v>
      </c>
      <c r="K743" s="1" t="s">
        <v>26</v>
      </c>
      <c r="L743" s="1" t="s">
        <v>25</v>
      </c>
      <c r="M743" s="1" t="s">
        <v>25</v>
      </c>
      <c r="N743" s="1" t="s">
        <v>25</v>
      </c>
      <c r="O743" s="1" t="s">
        <v>25</v>
      </c>
      <c r="P743" s="1" t="s">
        <v>25</v>
      </c>
      <c r="Q743" s="1" t="s">
        <v>25</v>
      </c>
      <c r="R743" s="1" t="s">
        <v>25</v>
      </c>
      <c r="S743" s="2">
        <v>0</v>
      </c>
    </row>
    <row r="744" spans="1:19" x14ac:dyDescent="0.3">
      <c r="A744" t="s">
        <v>1506</v>
      </c>
      <c r="B744" s="5" t="e" cm="1">
        <f t="array" ref="B744">MAX(#REF!,MIN(#REF!,#REF!+SUMPRODUCT(--(FoodData[[#This Row],[Healthy]:[Refined]]="Yes"),#REF!)+FoodData[[#This Row],[Adjust]]))</f>
        <v>#REF!</v>
      </c>
      <c r="C744" s="1" t="e">
        <f>LOOKUP(FoodData[[#This Row],[Score]],#REF!,#REF!)</f>
        <v>#REF!</v>
      </c>
      <c r="D744" t="s">
        <v>1439</v>
      </c>
      <c r="E744" t="s">
        <v>63</v>
      </c>
      <c r="F744" t="s">
        <v>22</v>
      </c>
      <c r="G744" t="s">
        <v>29</v>
      </c>
      <c r="H744" t="s">
        <v>1507</v>
      </c>
      <c r="I744" s="1" t="s">
        <v>26</v>
      </c>
      <c r="J744" s="1" t="s">
        <v>25</v>
      </c>
      <c r="K744" s="1" t="s">
        <v>26</v>
      </c>
      <c r="L744" s="1" t="s">
        <v>26</v>
      </c>
      <c r="M744" s="1" t="s">
        <v>25</v>
      </c>
      <c r="N744" s="1" t="s">
        <v>25</v>
      </c>
      <c r="O744" s="1" t="s">
        <v>25</v>
      </c>
      <c r="P744" s="1" t="s">
        <v>25</v>
      </c>
      <c r="Q744" s="1" t="s">
        <v>25</v>
      </c>
      <c r="R744" s="1" t="s">
        <v>25</v>
      </c>
      <c r="S744" s="2">
        <v>0</v>
      </c>
    </row>
    <row r="745" spans="1:19" x14ac:dyDescent="0.3">
      <c r="A745" t="s">
        <v>1508</v>
      </c>
      <c r="B745" s="5" t="e" cm="1">
        <f t="array" ref="B745">MAX(#REF!,MIN(#REF!,#REF!+SUMPRODUCT(--(FoodData[[#This Row],[Healthy]:[Refined]]="Yes"),#REF!)+FoodData[[#This Row],[Adjust]]))</f>
        <v>#REF!</v>
      </c>
      <c r="C745" s="1" t="e">
        <f>LOOKUP(FoodData[[#This Row],[Score]],#REF!,#REF!)</f>
        <v>#REF!</v>
      </c>
      <c r="D745" t="s">
        <v>1439</v>
      </c>
      <c r="E745" t="s">
        <v>63</v>
      </c>
      <c r="F745" t="s">
        <v>22</v>
      </c>
      <c r="G745" t="s">
        <v>29</v>
      </c>
      <c r="H745" t="s">
        <v>1509</v>
      </c>
      <c r="I745" s="1" t="s">
        <v>26</v>
      </c>
      <c r="J745" s="1" t="s">
        <v>26</v>
      </c>
      <c r="K745" s="1" t="s">
        <v>26</v>
      </c>
      <c r="L745" s="1" t="s">
        <v>26</v>
      </c>
      <c r="M745" s="1" t="s">
        <v>25</v>
      </c>
      <c r="N745" s="1" t="s">
        <v>25</v>
      </c>
      <c r="O745" s="1" t="s">
        <v>25</v>
      </c>
      <c r="P745" s="1" t="s">
        <v>25</v>
      </c>
      <c r="Q745" s="1" t="s">
        <v>25</v>
      </c>
      <c r="R745" s="1" t="s">
        <v>25</v>
      </c>
      <c r="S745" s="2">
        <v>0</v>
      </c>
    </row>
    <row r="746" spans="1:19" x14ac:dyDescent="0.3">
      <c r="A746" t="s">
        <v>1510</v>
      </c>
      <c r="B746" s="5" t="e" cm="1">
        <f t="array" ref="B746">MAX(#REF!,MIN(#REF!,#REF!+SUMPRODUCT(--(FoodData[[#This Row],[Healthy]:[Refined]]="Yes"),#REF!)+FoodData[[#This Row],[Adjust]]))</f>
        <v>#REF!</v>
      </c>
      <c r="C746" s="1" t="e">
        <f>LOOKUP(FoodData[[#This Row],[Score]],#REF!,#REF!)</f>
        <v>#REF!</v>
      </c>
      <c r="D746" t="s">
        <v>1439</v>
      </c>
      <c r="E746" t="s">
        <v>63</v>
      </c>
      <c r="F746" t="s">
        <v>22</v>
      </c>
      <c r="G746" t="s">
        <v>29</v>
      </c>
      <c r="H746" t="s">
        <v>1511</v>
      </c>
      <c r="I746" s="1" t="s">
        <v>26</v>
      </c>
      <c r="J746" s="1" t="s">
        <v>25</v>
      </c>
      <c r="K746" s="1" t="s">
        <v>26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25</v>
      </c>
      <c r="Q746" s="1" t="s">
        <v>25</v>
      </c>
      <c r="R746" s="1" t="s">
        <v>25</v>
      </c>
      <c r="S746" s="2">
        <v>0</v>
      </c>
    </row>
    <row r="747" spans="1:19" x14ac:dyDescent="0.3">
      <c r="A747" t="s">
        <v>1512</v>
      </c>
      <c r="B747" s="5" t="e" cm="1">
        <f t="array" ref="B747">MAX(#REF!,MIN(#REF!,#REF!+SUMPRODUCT(--(FoodData[[#This Row],[Healthy]:[Refined]]="Yes"),#REF!)+FoodData[[#This Row],[Adjust]]))</f>
        <v>#REF!</v>
      </c>
      <c r="C747" s="1" t="e">
        <f>LOOKUP(FoodData[[#This Row],[Score]],#REF!,#REF!)</f>
        <v>#REF!</v>
      </c>
      <c r="D747" t="s">
        <v>1439</v>
      </c>
      <c r="E747" t="s">
        <v>384</v>
      </c>
      <c r="F747" t="s">
        <v>22</v>
      </c>
      <c r="G747" t="s">
        <v>29</v>
      </c>
      <c r="H747" t="s">
        <v>1513</v>
      </c>
      <c r="I747" s="1" t="s">
        <v>26</v>
      </c>
      <c r="J747" s="1" t="s">
        <v>26</v>
      </c>
      <c r="K747" s="1" t="s">
        <v>25</v>
      </c>
      <c r="L747" s="1" t="s">
        <v>26</v>
      </c>
      <c r="M747" s="1" t="s">
        <v>25</v>
      </c>
      <c r="N747" s="1" t="s">
        <v>25</v>
      </c>
      <c r="O747" s="1" t="s">
        <v>25</v>
      </c>
      <c r="P747" s="1" t="s">
        <v>25</v>
      </c>
      <c r="Q747" s="1" t="s">
        <v>25</v>
      </c>
      <c r="R747" s="1" t="s">
        <v>25</v>
      </c>
      <c r="S747" s="2">
        <v>0</v>
      </c>
    </row>
    <row r="748" spans="1:19" x14ac:dyDescent="0.3">
      <c r="A748" t="s">
        <v>1514</v>
      </c>
      <c r="B748" s="5" t="e" cm="1">
        <f t="array" ref="B748">MAX(#REF!,MIN(#REF!,#REF!+SUMPRODUCT(--(FoodData[[#This Row],[Healthy]:[Refined]]="Yes"),#REF!)+FoodData[[#This Row],[Adjust]]))</f>
        <v>#REF!</v>
      </c>
      <c r="C748" s="1" t="e">
        <f>LOOKUP(FoodData[[#This Row],[Score]],#REF!,#REF!)</f>
        <v>#REF!</v>
      </c>
      <c r="D748" t="s">
        <v>1439</v>
      </c>
      <c r="E748" t="s">
        <v>384</v>
      </c>
      <c r="F748" t="s">
        <v>22</v>
      </c>
      <c r="G748" t="s">
        <v>162</v>
      </c>
      <c r="H748" t="s">
        <v>1515</v>
      </c>
      <c r="I748" s="1" t="s">
        <v>25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26</v>
      </c>
      <c r="O748" s="1" t="s">
        <v>25</v>
      </c>
      <c r="P748" s="1" t="s">
        <v>25</v>
      </c>
      <c r="Q748" s="1" t="s">
        <v>25</v>
      </c>
      <c r="R748" s="1" t="s">
        <v>25</v>
      </c>
      <c r="S748" s="2">
        <v>0</v>
      </c>
    </row>
    <row r="749" spans="1:19" x14ac:dyDescent="0.3">
      <c r="A749" t="s">
        <v>1516</v>
      </c>
      <c r="B749" s="5" t="e" cm="1">
        <f t="array" ref="B749">MAX(#REF!,MIN(#REF!,#REF!+SUMPRODUCT(--(FoodData[[#This Row],[Healthy]:[Refined]]="Yes"),#REF!)+FoodData[[#This Row],[Adjust]]))</f>
        <v>#REF!</v>
      </c>
      <c r="C749" s="1" t="e">
        <f>LOOKUP(FoodData[[#This Row],[Score]],#REF!,#REF!)</f>
        <v>#REF!</v>
      </c>
      <c r="D749" t="s">
        <v>1439</v>
      </c>
      <c r="E749" t="s">
        <v>199</v>
      </c>
      <c r="F749" t="s">
        <v>22</v>
      </c>
      <c r="G749" t="s">
        <v>29</v>
      </c>
      <c r="H749" t="s">
        <v>1517</v>
      </c>
      <c r="I749" s="1" t="s">
        <v>26</v>
      </c>
      <c r="J749" s="1" t="s">
        <v>26</v>
      </c>
      <c r="K749" s="1" t="s">
        <v>26</v>
      </c>
      <c r="L749" s="1" t="s">
        <v>26</v>
      </c>
      <c r="M749" s="1" t="s">
        <v>25</v>
      </c>
      <c r="N749" s="1" t="s">
        <v>25</v>
      </c>
      <c r="O749" s="1" t="s">
        <v>25</v>
      </c>
      <c r="P749" s="1" t="s">
        <v>25</v>
      </c>
      <c r="Q749" s="1" t="s">
        <v>25</v>
      </c>
      <c r="R749" s="1" t="s">
        <v>25</v>
      </c>
      <c r="S749" s="2">
        <v>0</v>
      </c>
    </row>
    <row r="750" spans="1:19" x14ac:dyDescent="0.3">
      <c r="A750" t="s">
        <v>1518</v>
      </c>
      <c r="B750" s="5" t="e" cm="1">
        <f t="array" ref="B750">MAX(#REF!,MIN(#REF!,#REF!+SUMPRODUCT(--(FoodData[[#This Row],[Healthy]:[Refined]]="Yes"),#REF!)+FoodData[[#This Row],[Adjust]]))</f>
        <v>#REF!</v>
      </c>
      <c r="C750" s="1" t="e">
        <f>LOOKUP(FoodData[[#This Row],[Score]],#REF!,#REF!)</f>
        <v>#REF!</v>
      </c>
      <c r="D750" t="s">
        <v>1439</v>
      </c>
      <c r="E750" t="s">
        <v>384</v>
      </c>
      <c r="F750" t="s">
        <v>22</v>
      </c>
      <c r="G750" t="s">
        <v>162</v>
      </c>
      <c r="H750" t="s">
        <v>1519</v>
      </c>
      <c r="I750" s="1" t="s">
        <v>25</v>
      </c>
      <c r="J750" s="1" t="s">
        <v>25</v>
      </c>
      <c r="K750" s="1" t="s">
        <v>25</v>
      </c>
      <c r="L750" s="1" t="s">
        <v>25</v>
      </c>
      <c r="M750" s="1" t="s">
        <v>25</v>
      </c>
      <c r="N750" s="1" t="s">
        <v>26</v>
      </c>
      <c r="O750" s="1" t="s">
        <v>25</v>
      </c>
      <c r="P750" s="1" t="s">
        <v>25</v>
      </c>
      <c r="Q750" s="1" t="s">
        <v>25</v>
      </c>
      <c r="R750" s="1" t="s">
        <v>25</v>
      </c>
      <c r="S750" s="2">
        <v>0</v>
      </c>
    </row>
    <row r="751" spans="1:19" x14ac:dyDescent="0.3">
      <c r="A751" t="s">
        <v>1520</v>
      </c>
      <c r="B751" s="5" t="e" cm="1">
        <f t="array" ref="B751">MAX(#REF!,MIN(#REF!,#REF!+SUMPRODUCT(--(FoodData[[#This Row],[Healthy]:[Refined]]="Yes"),#REF!)+FoodData[[#This Row],[Adjust]]))</f>
        <v>#REF!</v>
      </c>
      <c r="C751" s="1" t="e">
        <f>LOOKUP(FoodData[[#This Row],[Score]],#REF!,#REF!)</f>
        <v>#REF!</v>
      </c>
      <c r="D751" t="s">
        <v>1439</v>
      </c>
      <c r="E751" t="s">
        <v>63</v>
      </c>
      <c r="F751" t="s">
        <v>22</v>
      </c>
      <c r="G751" t="s">
        <v>29</v>
      </c>
      <c r="H751" t="s">
        <v>1521</v>
      </c>
      <c r="I751" s="1" t="s">
        <v>25</v>
      </c>
      <c r="J751" s="1" t="s">
        <v>25</v>
      </c>
      <c r="K751" s="1" t="s">
        <v>25</v>
      </c>
      <c r="L751" s="1" t="s">
        <v>25</v>
      </c>
      <c r="M751" s="1" t="s">
        <v>25</v>
      </c>
      <c r="N751" s="1" t="s">
        <v>26</v>
      </c>
      <c r="O751" s="1" t="s">
        <v>25</v>
      </c>
      <c r="P751" s="1" t="s">
        <v>26</v>
      </c>
      <c r="Q751" s="1" t="s">
        <v>25</v>
      </c>
      <c r="R751" s="1" t="s">
        <v>25</v>
      </c>
      <c r="S751" s="2">
        <v>0</v>
      </c>
    </row>
    <row r="752" spans="1:19" x14ac:dyDescent="0.3">
      <c r="A752" t="s">
        <v>1522</v>
      </c>
      <c r="B752" s="5" t="e" cm="1">
        <f t="array" ref="B752">MAX(#REF!,MIN(#REF!,#REF!+SUMPRODUCT(--(FoodData[[#This Row],[Healthy]:[Refined]]="Yes"),#REF!)+FoodData[[#This Row],[Adjust]]))</f>
        <v>#REF!</v>
      </c>
      <c r="C752" s="1" t="e">
        <f>LOOKUP(FoodData[[#This Row],[Score]],#REF!,#REF!)</f>
        <v>#REF!</v>
      </c>
      <c r="D752" t="s">
        <v>1439</v>
      </c>
      <c r="E752" t="s">
        <v>199</v>
      </c>
      <c r="F752" t="s">
        <v>22</v>
      </c>
      <c r="G752" t="s">
        <v>29</v>
      </c>
      <c r="H752" t="s">
        <v>1523</v>
      </c>
      <c r="I752" s="1" t="s">
        <v>26</v>
      </c>
      <c r="J752" s="1" t="s">
        <v>25</v>
      </c>
      <c r="K752" s="1" t="s">
        <v>25</v>
      </c>
      <c r="L752" s="1" t="s">
        <v>26</v>
      </c>
      <c r="M752" s="1" t="s">
        <v>25</v>
      </c>
      <c r="N752" s="1" t="s">
        <v>25</v>
      </c>
      <c r="O752" s="1" t="s">
        <v>25</v>
      </c>
      <c r="P752" s="1" t="s">
        <v>25</v>
      </c>
      <c r="Q752" s="1" t="s">
        <v>25</v>
      </c>
      <c r="R752" s="1" t="s">
        <v>25</v>
      </c>
      <c r="S752" s="2">
        <v>0</v>
      </c>
    </row>
    <row r="753" spans="1:19" x14ac:dyDescent="0.3">
      <c r="A753" t="s">
        <v>1524</v>
      </c>
      <c r="B753" s="5" t="e" cm="1">
        <f t="array" ref="B753">MAX(#REF!,MIN(#REF!,#REF!+SUMPRODUCT(--(FoodData[[#This Row],[Healthy]:[Refined]]="Yes"),#REF!)+FoodData[[#This Row],[Adjust]]))</f>
        <v>#REF!</v>
      </c>
      <c r="C753" s="1" t="e">
        <f>LOOKUP(FoodData[[#This Row],[Score]],#REF!,#REF!)</f>
        <v>#REF!</v>
      </c>
      <c r="D753" t="s">
        <v>1439</v>
      </c>
      <c r="E753" t="s">
        <v>63</v>
      </c>
      <c r="F753" t="s">
        <v>22</v>
      </c>
      <c r="G753" t="s">
        <v>29</v>
      </c>
      <c r="H753" t="s">
        <v>1525</v>
      </c>
      <c r="I753" s="1" t="s">
        <v>26</v>
      </c>
      <c r="J753" s="1" t="s">
        <v>26</v>
      </c>
      <c r="K753" s="1" t="s">
        <v>25</v>
      </c>
      <c r="L753" s="1" t="s">
        <v>26</v>
      </c>
      <c r="M753" s="1" t="s">
        <v>25</v>
      </c>
      <c r="N753" s="1" t="s">
        <v>25</v>
      </c>
      <c r="O753" s="1" t="s">
        <v>25</v>
      </c>
      <c r="P753" s="1" t="s">
        <v>25</v>
      </c>
      <c r="Q753" s="1" t="s">
        <v>25</v>
      </c>
      <c r="R753" s="1" t="s">
        <v>25</v>
      </c>
      <c r="S753" s="2">
        <v>0</v>
      </c>
    </row>
    <row r="754" spans="1:19" x14ac:dyDescent="0.3">
      <c r="A754" t="s">
        <v>1526</v>
      </c>
      <c r="B754" s="5" t="e" cm="1">
        <f t="array" ref="B754">MAX(#REF!,MIN(#REF!,#REF!+SUMPRODUCT(--(FoodData[[#This Row],[Healthy]:[Refined]]="Yes"),#REF!)+FoodData[[#This Row],[Adjust]]))</f>
        <v>#REF!</v>
      </c>
      <c r="C754" s="1" t="e">
        <f>LOOKUP(FoodData[[#This Row],[Score]],#REF!,#REF!)</f>
        <v>#REF!</v>
      </c>
      <c r="D754" t="s">
        <v>1439</v>
      </c>
      <c r="E754" t="s">
        <v>384</v>
      </c>
      <c r="F754" t="s">
        <v>22</v>
      </c>
      <c r="G754" t="s">
        <v>29</v>
      </c>
      <c r="H754" t="s">
        <v>1527</v>
      </c>
      <c r="I754" s="1" t="s">
        <v>26</v>
      </c>
      <c r="J754" s="1" t="s">
        <v>26</v>
      </c>
      <c r="K754" s="1" t="s">
        <v>26</v>
      </c>
      <c r="L754" s="1" t="s">
        <v>25</v>
      </c>
      <c r="M754" s="1" t="s">
        <v>25</v>
      </c>
      <c r="N754" s="1" t="s">
        <v>25</v>
      </c>
      <c r="O754" s="1" t="s">
        <v>25</v>
      </c>
      <c r="P754" s="1" t="s">
        <v>25</v>
      </c>
      <c r="Q754" s="1" t="s">
        <v>25</v>
      </c>
      <c r="R754" s="1" t="s">
        <v>25</v>
      </c>
      <c r="S754" s="2">
        <v>0</v>
      </c>
    </row>
    <row r="755" spans="1:19" x14ac:dyDescent="0.3">
      <c r="A755" t="s">
        <v>1528</v>
      </c>
      <c r="B755" s="5" t="e" cm="1">
        <f t="array" ref="B755">MAX(#REF!,MIN(#REF!,#REF!+SUMPRODUCT(--(FoodData[[#This Row],[Healthy]:[Refined]]="Yes"),#REF!)+FoodData[[#This Row],[Adjust]]))</f>
        <v>#REF!</v>
      </c>
      <c r="C755" s="1" t="e">
        <f>LOOKUP(FoodData[[#This Row],[Score]],#REF!,#REF!)</f>
        <v>#REF!</v>
      </c>
      <c r="D755" t="s">
        <v>1439</v>
      </c>
      <c r="E755" t="s">
        <v>199</v>
      </c>
      <c r="F755" t="s">
        <v>22</v>
      </c>
      <c r="G755" t="s">
        <v>29</v>
      </c>
      <c r="H755" t="s">
        <v>1529</v>
      </c>
      <c r="I755" s="1" t="s">
        <v>26</v>
      </c>
      <c r="J755" s="1" t="s">
        <v>26</v>
      </c>
      <c r="K755" s="1" t="s">
        <v>26</v>
      </c>
      <c r="L755" s="1" t="s">
        <v>25</v>
      </c>
      <c r="M755" s="1" t="s">
        <v>25</v>
      </c>
      <c r="N755" s="1" t="s">
        <v>25</v>
      </c>
      <c r="O755" s="1" t="s">
        <v>25</v>
      </c>
      <c r="P755" s="1" t="s">
        <v>25</v>
      </c>
      <c r="Q755" s="1" t="s">
        <v>25</v>
      </c>
      <c r="R755" s="1" t="s">
        <v>25</v>
      </c>
      <c r="S755" s="2">
        <v>0</v>
      </c>
    </row>
    <row r="756" spans="1:19" x14ac:dyDescent="0.3">
      <c r="A756" t="s">
        <v>1530</v>
      </c>
      <c r="B756" s="5" t="e" cm="1">
        <f t="array" ref="B756">MAX(#REF!,MIN(#REF!,#REF!+SUMPRODUCT(--(FoodData[[#This Row],[Healthy]:[Refined]]="Yes"),#REF!)+FoodData[[#This Row],[Adjust]]))</f>
        <v>#REF!</v>
      </c>
      <c r="C756" s="1" t="e">
        <f>LOOKUP(FoodData[[#This Row],[Score]],#REF!,#REF!)</f>
        <v>#REF!</v>
      </c>
      <c r="D756" t="s">
        <v>1439</v>
      </c>
      <c r="E756" t="s">
        <v>63</v>
      </c>
      <c r="F756" t="s">
        <v>22</v>
      </c>
      <c r="G756" t="s">
        <v>162</v>
      </c>
      <c r="H756" t="s">
        <v>1531</v>
      </c>
      <c r="I756" s="1" t="s">
        <v>26</v>
      </c>
      <c r="J756" s="1" t="s">
        <v>26</v>
      </c>
      <c r="K756" s="1" t="s">
        <v>26</v>
      </c>
      <c r="L756" s="1" t="s">
        <v>26</v>
      </c>
      <c r="M756" s="1" t="s">
        <v>25</v>
      </c>
      <c r="N756" s="1" t="s">
        <v>25</v>
      </c>
      <c r="O756" s="1" t="s">
        <v>25</v>
      </c>
      <c r="P756" s="1" t="s">
        <v>25</v>
      </c>
      <c r="Q756" s="1" t="s">
        <v>25</v>
      </c>
      <c r="R756" s="1" t="s">
        <v>25</v>
      </c>
      <c r="S756" s="2">
        <v>0</v>
      </c>
    </row>
    <row r="757" spans="1:19" x14ac:dyDescent="0.3">
      <c r="A757" t="s">
        <v>1532</v>
      </c>
      <c r="B757" s="5" t="e" cm="1">
        <f t="array" ref="B757">MAX(#REF!,MIN(#REF!,#REF!+SUMPRODUCT(--(FoodData[[#This Row],[Healthy]:[Refined]]="Yes"),#REF!)+FoodData[[#This Row],[Adjust]]))</f>
        <v>#REF!</v>
      </c>
      <c r="C757" s="1" t="e">
        <f>LOOKUP(FoodData[[#This Row],[Score]],#REF!,#REF!)</f>
        <v>#REF!</v>
      </c>
      <c r="D757" t="s">
        <v>1439</v>
      </c>
      <c r="E757" t="s">
        <v>63</v>
      </c>
      <c r="F757" t="s">
        <v>22</v>
      </c>
      <c r="G757" t="s">
        <v>29</v>
      </c>
      <c r="H757" t="s">
        <v>1533</v>
      </c>
      <c r="I757" s="1" t="s">
        <v>26</v>
      </c>
      <c r="J757" s="1" t="s">
        <v>25</v>
      </c>
      <c r="K757" s="1" t="s">
        <v>25</v>
      </c>
      <c r="L757" s="1" t="s">
        <v>25</v>
      </c>
      <c r="M757" s="1" t="s">
        <v>25</v>
      </c>
      <c r="N757" s="1" t="s">
        <v>25</v>
      </c>
      <c r="O757" s="1" t="s">
        <v>25</v>
      </c>
      <c r="P757" s="1" t="s">
        <v>25</v>
      </c>
      <c r="Q757" s="1" t="s">
        <v>25</v>
      </c>
      <c r="R757" s="1" t="s">
        <v>25</v>
      </c>
      <c r="S757" s="2">
        <v>0</v>
      </c>
    </row>
    <row r="758" spans="1:19" x14ac:dyDescent="0.3">
      <c r="A758" t="s">
        <v>1534</v>
      </c>
      <c r="B758" s="5" t="e" cm="1">
        <f t="array" ref="B758">MAX(#REF!,MIN(#REF!,#REF!+SUMPRODUCT(--(FoodData[[#This Row],[Healthy]:[Refined]]="Yes"),#REF!)+FoodData[[#This Row],[Adjust]]))</f>
        <v>#REF!</v>
      </c>
      <c r="C758" s="1" t="e">
        <f>LOOKUP(FoodData[[#This Row],[Score]],#REF!,#REF!)</f>
        <v>#REF!</v>
      </c>
      <c r="D758" t="s">
        <v>1439</v>
      </c>
      <c r="E758" t="s">
        <v>199</v>
      </c>
      <c r="F758" t="s">
        <v>22</v>
      </c>
      <c r="G758" t="s">
        <v>29</v>
      </c>
      <c r="H758" t="s">
        <v>1535</v>
      </c>
      <c r="I758" s="1" t="s">
        <v>25</v>
      </c>
      <c r="J758" s="1" t="s">
        <v>25</v>
      </c>
      <c r="K758" s="1" t="s">
        <v>25</v>
      </c>
      <c r="L758" s="1" t="s">
        <v>25</v>
      </c>
      <c r="M758" s="1" t="s">
        <v>25</v>
      </c>
      <c r="N758" s="1" t="s">
        <v>25</v>
      </c>
      <c r="O758" s="1" t="s">
        <v>26</v>
      </c>
      <c r="P758" s="1" t="s">
        <v>25</v>
      </c>
      <c r="Q758" s="1" t="s">
        <v>25</v>
      </c>
      <c r="R758" s="1" t="s">
        <v>25</v>
      </c>
      <c r="S758" s="2">
        <v>0</v>
      </c>
    </row>
    <row r="759" spans="1:19" x14ac:dyDescent="0.3">
      <c r="A759" t="s">
        <v>1536</v>
      </c>
      <c r="B759" s="5" t="e" cm="1">
        <f t="array" ref="B759">MAX(#REF!,MIN(#REF!,#REF!+SUMPRODUCT(--(FoodData[[#This Row],[Healthy]:[Refined]]="Yes"),#REF!)+FoodData[[#This Row],[Adjust]]))</f>
        <v>#REF!</v>
      </c>
      <c r="C759" s="1" t="e">
        <f>LOOKUP(FoodData[[#This Row],[Score]],#REF!,#REF!)</f>
        <v>#REF!</v>
      </c>
      <c r="D759" t="s">
        <v>1439</v>
      </c>
      <c r="E759" t="s">
        <v>63</v>
      </c>
      <c r="F759" t="s">
        <v>22</v>
      </c>
      <c r="G759" t="s">
        <v>29</v>
      </c>
      <c r="H759" t="s">
        <v>1537</v>
      </c>
      <c r="I759" s="1" t="s">
        <v>26</v>
      </c>
      <c r="J759" s="1" t="s">
        <v>25</v>
      </c>
      <c r="K759" s="1" t="s">
        <v>26</v>
      </c>
      <c r="L759" s="1" t="s">
        <v>26</v>
      </c>
      <c r="M759" s="1" t="s">
        <v>25</v>
      </c>
      <c r="N759" s="1" t="s">
        <v>25</v>
      </c>
      <c r="O759" s="1" t="s">
        <v>25</v>
      </c>
      <c r="P759" s="1" t="s">
        <v>25</v>
      </c>
      <c r="Q759" s="1" t="s">
        <v>25</v>
      </c>
      <c r="R759" s="1" t="s">
        <v>25</v>
      </c>
      <c r="S759" s="2">
        <v>0</v>
      </c>
    </row>
    <row r="760" spans="1:19" x14ac:dyDescent="0.3">
      <c r="A760" t="s">
        <v>1538</v>
      </c>
      <c r="B760" s="5" t="e" cm="1">
        <f t="array" ref="B760">MAX(#REF!,MIN(#REF!,#REF!+SUMPRODUCT(--(FoodData[[#This Row],[Healthy]:[Refined]]="Yes"),#REF!)+FoodData[[#This Row],[Adjust]]))</f>
        <v>#REF!</v>
      </c>
      <c r="C760" s="1" t="e">
        <f>LOOKUP(FoodData[[#This Row],[Score]],#REF!,#REF!)</f>
        <v>#REF!</v>
      </c>
      <c r="D760" t="s">
        <v>1439</v>
      </c>
      <c r="E760" t="s">
        <v>384</v>
      </c>
      <c r="F760" t="s">
        <v>22</v>
      </c>
      <c r="G760" t="s">
        <v>29</v>
      </c>
      <c r="H760" t="s">
        <v>1539</v>
      </c>
      <c r="I760" s="1" t="s">
        <v>26</v>
      </c>
      <c r="J760" s="1" t="s">
        <v>25</v>
      </c>
      <c r="K760" s="1" t="s">
        <v>26</v>
      </c>
      <c r="L760" s="1" t="s">
        <v>25</v>
      </c>
      <c r="M760" s="1" t="s">
        <v>25</v>
      </c>
      <c r="N760" s="1" t="s">
        <v>25</v>
      </c>
      <c r="O760" s="1" t="s">
        <v>25</v>
      </c>
      <c r="P760" s="1" t="s">
        <v>25</v>
      </c>
      <c r="Q760" s="1" t="s">
        <v>25</v>
      </c>
      <c r="R760" s="1" t="s">
        <v>25</v>
      </c>
      <c r="S760" s="2">
        <v>0</v>
      </c>
    </row>
    <row r="761" spans="1:19" x14ac:dyDescent="0.3">
      <c r="A761" t="s">
        <v>1540</v>
      </c>
      <c r="B761" s="5" t="e" cm="1">
        <f t="array" ref="B761">MAX(#REF!,MIN(#REF!,#REF!+SUMPRODUCT(--(FoodData[[#This Row],[Healthy]:[Refined]]="Yes"),#REF!)+FoodData[[#This Row],[Adjust]]))</f>
        <v>#REF!</v>
      </c>
      <c r="C761" s="1" t="e">
        <f>LOOKUP(FoodData[[#This Row],[Score]],#REF!,#REF!)</f>
        <v>#REF!</v>
      </c>
      <c r="D761" t="s">
        <v>1439</v>
      </c>
      <c r="E761" t="s">
        <v>63</v>
      </c>
      <c r="F761" t="s">
        <v>22</v>
      </c>
      <c r="G761" t="s">
        <v>29</v>
      </c>
      <c r="H761" t="s">
        <v>1541</v>
      </c>
      <c r="I761" s="1" t="s">
        <v>26</v>
      </c>
      <c r="J761" s="1" t="s">
        <v>26</v>
      </c>
      <c r="K761" s="1" t="s">
        <v>26</v>
      </c>
      <c r="L761" s="1" t="s">
        <v>26</v>
      </c>
      <c r="M761" s="1" t="s">
        <v>25</v>
      </c>
      <c r="N761" s="1" t="s">
        <v>25</v>
      </c>
      <c r="O761" s="1" t="s">
        <v>25</v>
      </c>
      <c r="P761" s="1" t="s">
        <v>25</v>
      </c>
      <c r="Q761" s="1" t="s">
        <v>25</v>
      </c>
      <c r="R761" s="1" t="s">
        <v>25</v>
      </c>
      <c r="S761" s="2">
        <v>0</v>
      </c>
    </row>
    <row r="762" spans="1:19" x14ac:dyDescent="0.3">
      <c r="A762" t="s">
        <v>1542</v>
      </c>
      <c r="B762" s="5" t="e" cm="1">
        <f t="array" ref="B762">MAX(#REF!,MIN(#REF!,#REF!+SUMPRODUCT(--(FoodData[[#This Row],[Healthy]:[Refined]]="Yes"),#REF!)+FoodData[[#This Row],[Adjust]]))</f>
        <v>#REF!</v>
      </c>
      <c r="C762" s="1" t="e">
        <f>LOOKUP(FoodData[[#This Row],[Score]],#REF!,#REF!)</f>
        <v>#REF!</v>
      </c>
      <c r="D762" t="s">
        <v>1439</v>
      </c>
      <c r="E762" t="s">
        <v>199</v>
      </c>
      <c r="F762" t="s">
        <v>22</v>
      </c>
      <c r="G762" t="s">
        <v>29</v>
      </c>
      <c r="H762" t="s">
        <v>1543</v>
      </c>
      <c r="I762" s="1" t="s">
        <v>26</v>
      </c>
      <c r="J762" s="1" t="s">
        <v>26</v>
      </c>
      <c r="K762" s="1" t="s">
        <v>25</v>
      </c>
      <c r="L762" s="1" t="s">
        <v>26</v>
      </c>
      <c r="M762" s="1" t="s">
        <v>25</v>
      </c>
      <c r="N762" s="1" t="s">
        <v>25</v>
      </c>
      <c r="O762" s="1" t="s">
        <v>25</v>
      </c>
      <c r="P762" s="1" t="s">
        <v>25</v>
      </c>
      <c r="Q762" s="1" t="s">
        <v>25</v>
      </c>
      <c r="R762" s="1" t="s">
        <v>25</v>
      </c>
      <c r="S762" s="2">
        <v>0</v>
      </c>
    </row>
    <row r="763" spans="1:19" x14ac:dyDescent="0.3">
      <c r="A763" t="s">
        <v>1544</v>
      </c>
      <c r="B763" s="5" t="e" cm="1">
        <f t="array" ref="B763">MAX(#REF!,MIN(#REF!,#REF!+SUMPRODUCT(--(FoodData[[#This Row],[Healthy]:[Refined]]="Yes"),#REF!)+FoodData[[#This Row],[Adjust]]))</f>
        <v>#REF!</v>
      </c>
      <c r="C763" s="1" t="e">
        <f>LOOKUP(FoodData[[#This Row],[Score]],#REF!,#REF!)</f>
        <v>#REF!</v>
      </c>
      <c r="D763" t="s">
        <v>1439</v>
      </c>
      <c r="E763" t="s">
        <v>63</v>
      </c>
      <c r="F763" t="s">
        <v>22</v>
      </c>
      <c r="G763" t="s">
        <v>29</v>
      </c>
      <c r="H763" t="s">
        <v>1545</v>
      </c>
      <c r="I763" s="1" t="s">
        <v>26</v>
      </c>
      <c r="J763" s="1" t="s">
        <v>25</v>
      </c>
      <c r="K763" s="1" t="s">
        <v>26</v>
      </c>
      <c r="L763" s="1" t="s">
        <v>25</v>
      </c>
      <c r="M763" s="1" t="s">
        <v>25</v>
      </c>
      <c r="N763" s="1" t="s">
        <v>25</v>
      </c>
      <c r="O763" s="1" t="s">
        <v>25</v>
      </c>
      <c r="P763" s="1" t="s">
        <v>25</v>
      </c>
      <c r="Q763" s="1" t="s">
        <v>25</v>
      </c>
      <c r="R763" s="1" t="s">
        <v>25</v>
      </c>
      <c r="S763" s="2">
        <v>0</v>
      </c>
    </row>
    <row r="764" spans="1:19" x14ac:dyDescent="0.3">
      <c r="A764" t="s">
        <v>1546</v>
      </c>
      <c r="B764" s="5" t="e" cm="1">
        <f t="array" ref="B764">MAX(#REF!,MIN(#REF!,#REF!+SUMPRODUCT(--(FoodData[[#This Row],[Healthy]:[Refined]]="Yes"),#REF!)+FoodData[[#This Row],[Adjust]]))</f>
        <v>#REF!</v>
      </c>
      <c r="C764" s="1" t="e">
        <f>LOOKUP(FoodData[[#This Row],[Score]],#REF!,#REF!)</f>
        <v>#REF!</v>
      </c>
      <c r="D764" t="s">
        <v>1439</v>
      </c>
      <c r="E764" t="s">
        <v>384</v>
      </c>
      <c r="F764" t="s">
        <v>22</v>
      </c>
      <c r="G764" t="s">
        <v>29</v>
      </c>
      <c r="H764" t="s">
        <v>1547</v>
      </c>
      <c r="I764" s="1" t="s">
        <v>26</v>
      </c>
      <c r="J764" s="1" t="s">
        <v>26</v>
      </c>
      <c r="K764" s="1" t="s">
        <v>26</v>
      </c>
      <c r="L764" s="1" t="s">
        <v>25</v>
      </c>
      <c r="M764" s="1" t="s">
        <v>25</v>
      </c>
      <c r="N764" s="1" t="s">
        <v>25</v>
      </c>
      <c r="O764" s="1" t="s">
        <v>25</v>
      </c>
      <c r="P764" s="1" t="s">
        <v>25</v>
      </c>
      <c r="Q764" s="1" t="s">
        <v>25</v>
      </c>
      <c r="R764" s="1" t="s">
        <v>25</v>
      </c>
      <c r="S764" s="2">
        <v>0</v>
      </c>
    </row>
    <row r="765" spans="1:19" x14ac:dyDescent="0.3">
      <c r="A765" t="s">
        <v>1548</v>
      </c>
      <c r="B765" s="5" t="e" cm="1">
        <f t="array" ref="B765">MAX(#REF!,MIN(#REF!,#REF!+SUMPRODUCT(--(FoodData[[#This Row],[Healthy]:[Refined]]="Yes"),#REF!)+FoodData[[#This Row],[Adjust]]))</f>
        <v>#REF!</v>
      </c>
      <c r="C765" s="1" t="e">
        <f>LOOKUP(FoodData[[#This Row],[Score]],#REF!,#REF!)</f>
        <v>#REF!</v>
      </c>
      <c r="D765" t="s">
        <v>1439</v>
      </c>
      <c r="E765" t="s">
        <v>384</v>
      </c>
      <c r="F765" t="s">
        <v>22</v>
      </c>
      <c r="G765" t="s">
        <v>29</v>
      </c>
      <c r="H765" t="s">
        <v>1549</v>
      </c>
      <c r="I765" s="1" t="s">
        <v>25</v>
      </c>
      <c r="J765" s="1" t="s">
        <v>25</v>
      </c>
      <c r="K765" s="1" t="s">
        <v>25</v>
      </c>
      <c r="L765" s="1" t="s">
        <v>25</v>
      </c>
      <c r="M765" s="1" t="s">
        <v>25</v>
      </c>
      <c r="N765" s="1" t="s">
        <v>26</v>
      </c>
      <c r="O765" s="1" t="s">
        <v>25</v>
      </c>
      <c r="P765" s="1" t="s">
        <v>26</v>
      </c>
      <c r="Q765" s="1" t="s">
        <v>25</v>
      </c>
      <c r="R765" s="1" t="s">
        <v>25</v>
      </c>
      <c r="S765" s="2">
        <v>0</v>
      </c>
    </row>
    <row r="766" spans="1:19" x14ac:dyDescent="0.3">
      <c r="A766" t="s">
        <v>1550</v>
      </c>
      <c r="B766" s="5" t="e" cm="1">
        <f t="array" ref="B766">MAX(#REF!,MIN(#REF!,#REF!+SUMPRODUCT(--(FoodData[[#This Row],[Healthy]:[Refined]]="Yes"),#REF!)+FoodData[[#This Row],[Adjust]]))</f>
        <v>#REF!</v>
      </c>
      <c r="C766" s="1" t="e">
        <f>LOOKUP(FoodData[[#This Row],[Score]],#REF!,#REF!)</f>
        <v>#REF!</v>
      </c>
      <c r="D766" t="s">
        <v>1439</v>
      </c>
      <c r="E766" t="s">
        <v>384</v>
      </c>
      <c r="F766" t="s">
        <v>22</v>
      </c>
      <c r="G766" t="s">
        <v>29</v>
      </c>
      <c r="H766" t="s">
        <v>1551</v>
      </c>
      <c r="I766" s="1" t="s">
        <v>26</v>
      </c>
      <c r="J766" s="1" t="s">
        <v>25</v>
      </c>
      <c r="K766" s="1" t="s">
        <v>25</v>
      </c>
      <c r="L766" s="1" t="s">
        <v>25</v>
      </c>
      <c r="M766" s="1" t="s">
        <v>25</v>
      </c>
      <c r="N766" s="1" t="s">
        <v>25</v>
      </c>
      <c r="O766" s="1" t="s">
        <v>25</v>
      </c>
      <c r="P766" s="1" t="s">
        <v>25</v>
      </c>
      <c r="Q766" s="1" t="s">
        <v>25</v>
      </c>
      <c r="R766" s="1" t="s">
        <v>25</v>
      </c>
      <c r="S766" s="2">
        <v>0</v>
      </c>
    </row>
    <row r="767" spans="1:19" x14ac:dyDescent="0.3">
      <c r="A767" t="s">
        <v>1552</v>
      </c>
      <c r="B767" s="5" t="e" cm="1">
        <f t="array" ref="B767">MAX(#REF!,MIN(#REF!,#REF!+SUMPRODUCT(--(FoodData[[#This Row],[Healthy]:[Refined]]="Yes"),#REF!)+FoodData[[#This Row],[Adjust]]))</f>
        <v>#REF!</v>
      </c>
      <c r="C767" s="1" t="e">
        <f>LOOKUP(FoodData[[#This Row],[Score]],#REF!,#REF!)</f>
        <v>#REF!</v>
      </c>
      <c r="D767" t="s">
        <v>1439</v>
      </c>
      <c r="E767" t="s">
        <v>384</v>
      </c>
      <c r="F767" t="s">
        <v>22</v>
      </c>
      <c r="G767" t="s">
        <v>29</v>
      </c>
      <c r="H767" t="s">
        <v>1553</v>
      </c>
      <c r="I767" s="1" t="s">
        <v>25</v>
      </c>
      <c r="J767" s="1" t="s">
        <v>25</v>
      </c>
      <c r="K767" s="1" t="s">
        <v>25</v>
      </c>
      <c r="L767" s="1" t="s">
        <v>25</v>
      </c>
      <c r="M767" s="1" t="s">
        <v>25</v>
      </c>
      <c r="N767" s="1" t="s">
        <v>25</v>
      </c>
      <c r="O767" s="1" t="s">
        <v>25</v>
      </c>
      <c r="P767" s="1" t="s">
        <v>25</v>
      </c>
      <c r="Q767" s="1" t="s">
        <v>25</v>
      </c>
      <c r="R767" s="1" t="s">
        <v>26</v>
      </c>
      <c r="S767" s="2">
        <v>0</v>
      </c>
    </row>
    <row r="768" spans="1:19" x14ac:dyDescent="0.3">
      <c r="A768" t="s">
        <v>1554</v>
      </c>
      <c r="B768" s="5" t="e" cm="1">
        <f t="array" ref="B768">MAX(#REF!,MIN(#REF!,#REF!+SUMPRODUCT(--(FoodData[[#This Row],[Healthy]:[Refined]]="Yes"),#REF!)+FoodData[[#This Row],[Adjust]]))</f>
        <v>#REF!</v>
      </c>
      <c r="C768" s="1" t="e">
        <f>LOOKUP(FoodData[[#This Row],[Score]],#REF!,#REF!)</f>
        <v>#REF!</v>
      </c>
      <c r="D768" t="s">
        <v>1439</v>
      </c>
      <c r="E768" t="s">
        <v>384</v>
      </c>
      <c r="F768" t="s">
        <v>22</v>
      </c>
      <c r="G768" t="s">
        <v>29</v>
      </c>
      <c r="H768" t="s">
        <v>1555</v>
      </c>
      <c r="I768" s="1" t="s">
        <v>25</v>
      </c>
      <c r="J768" s="1" t="s">
        <v>25</v>
      </c>
      <c r="K768" s="1" t="s">
        <v>25</v>
      </c>
      <c r="L768" s="1" t="s">
        <v>26</v>
      </c>
      <c r="M768" s="1" t="s">
        <v>25</v>
      </c>
      <c r="N768" s="1" t="s">
        <v>26</v>
      </c>
      <c r="O768" s="1" t="s">
        <v>25</v>
      </c>
      <c r="P768" s="1" t="s">
        <v>25</v>
      </c>
      <c r="Q768" s="1" t="s">
        <v>25</v>
      </c>
      <c r="R768" s="1" t="s">
        <v>25</v>
      </c>
      <c r="S768" s="2">
        <v>0</v>
      </c>
    </row>
    <row r="769" spans="1:19" x14ac:dyDescent="0.3">
      <c r="A769" t="s">
        <v>1556</v>
      </c>
      <c r="B769" s="5" t="e" cm="1">
        <f t="array" ref="B769">MAX(#REF!,MIN(#REF!,#REF!+SUMPRODUCT(--(FoodData[[#This Row],[Healthy]:[Refined]]="Yes"),#REF!)+FoodData[[#This Row],[Adjust]]))</f>
        <v>#REF!</v>
      </c>
      <c r="C769" s="1" t="e">
        <f>LOOKUP(FoodData[[#This Row],[Score]],#REF!,#REF!)</f>
        <v>#REF!</v>
      </c>
      <c r="D769" t="s">
        <v>1439</v>
      </c>
      <c r="E769" t="s">
        <v>63</v>
      </c>
      <c r="F769" t="s">
        <v>22</v>
      </c>
      <c r="G769" t="s">
        <v>29</v>
      </c>
      <c r="H769" t="s">
        <v>1557</v>
      </c>
      <c r="I769" s="1" t="s">
        <v>26</v>
      </c>
      <c r="J769" s="1" t="s">
        <v>25</v>
      </c>
      <c r="K769" s="1" t="s">
        <v>26</v>
      </c>
      <c r="L769" s="1" t="s">
        <v>26</v>
      </c>
      <c r="M769" s="1" t="s">
        <v>25</v>
      </c>
      <c r="N769" s="1" t="s">
        <v>25</v>
      </c>
      <c r="O769" s="1" t="s">
        <v>25</v>
      </c>
      <c r="P769" s="1" t="s">
        <v>25</v>
      </c>
      <c r="Q769" s="1" t="s">
        <v>25</v>
      </c>
      <c r="R769" s="1" t="s">
        <v>25</v>
      </c>
      <c r="S769" s="2">
        <v>0</v>
      </c>
    </row>
    <row r="770" spans="1:19" x14ac:dyDescent="0.3">
      <c r="A770" t="s">
        <v>1558</v>
      </c>
      <c r="B770" s="5" t="e" cm="1">
        <f t="array" ref="B770">MAX(#REF!,MIN(#REF!,#REF!+SUMPRODUCT(--(FoodData[[#This Row],[Healthy]:[Refined]]="Yes"),#REF!)+FoodData[[#This Row],[Adjust]]))</f>
        <v>#REF!</v>
      </c>
      <c r="C770" s="1" t="e">
        <f>LOOKUP(FoodData[[#This Row],[Score]],#REF!,#REF!)</f>
        <v>#REF!</v>
      </c>
      <c r="D770" t="s">
        <v>1439</v>
      </c>
      <c r="E770" t="s">
        <v>63</v>
      </c>
      <c r="F770" t="s">
        <v>22</v>
      </c>
      <c r="G770" t="s">
        <v>29</v>
      </c>
      <c r="H770" t="s">
        <v>1558</v>
      </c>
      <c r="I770" s="1" t="s">
        <v>26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25</v>
      </c>
      <c r="O770" s="1" t="s">
        <v>25</v>
      </c>
      <c r="P770" s="1" t="s">
        <v>25</v>
      </c>
      <c r="Q770" s="1" t="s">
        <v>25</v>
      </c>
      <c r="R770" s="1" t="s">
        <v>25</v>
      </c>
      <c r="S770" s="2">
        <v>0</v>
      </c>
    </row>
    <row r="771" spans="1:19" x14ac:dyDescent="0.3">
      <c r="A771" t="s">
        <v>1559</v>
      </c>
      <c r="B771" s="5" t="e" cm="1">
        <f t="array" ref="B771">MAX(#REF!,MIN(#REF!,#REF!+SUMPRODUCT(--(FoodData[[#This Row],[Healthy]:[Refined]]="Yes"),#REF!)+FoodData[[#This Row],[Adjust]]))</f>
        <v>#REF!</v>
      </c>
      <c r="C771" s="1" t="e">
        <f>LOOKUP(FoodData[[#This Row],[Score]],#REF!,#REF!)</f>
        <v>#REF!</v>
      </c>
      <c r="D771" t="s">
        <v>1439</v>
      </c>
      <c r="E771" t="s">
        <v>28</v>
      </c>
      <c r="F771" t="s">
        <v>22</v>
      </c>
      <c r="G771" t="s">
        <v>23</v>
      </c>
      <c r="H771" t="s">
        <v>1560</v>
      </c>
      <c r="I771" s="1" t="s">
        <v>26</v>
      </c>
      <c r="J771" s="1" t="s">
        <v>25</v>
      </c>
      <c r="K771" s="1" t="s">
        <v>26</v>
      </c>
      <c r="L771" s="1" t="s">
        <v>26</v>
      </c>
      <c r="M771" s="1" t="s">
        <v>25</v>
      </c>
      <c r="N771" s="1" t="s">
        <v>25</v>
      </c>
      <c r="O771" s="1" t="s">
        <v>25</v>
      </c>
      <c r="P771" s="1" t="s">
        <v>25</v>
      </c>
      <c r="Q771" s="1" t="s">
        <v>25</v>
      </c>
      <c r="R771" s="1" t="s">
        <v>25</v>
      </c>
      <c r="S771" s="2">
        <v>0</v>
      </c>
    </row>
    <row r="772" spans="1:19" x14ac:dyDescent="0.3">
      <c r="A772" t="s">
        <v>1561</v>
      </c>
      <c r="B772" s="5" t="e" cm="1">
        <f t="array" ref="B772">MAX(#REF!,MIN(#REF!,#REF!+SUMPRODUCT(--(FoodData[[#This Row],[Healthy]:[Refined]]="Yes"),#REF!)+FoodData[[#This Row],[Adjust]]))</f>
        <v>#REF!</v>
      </c>
      <c r="C772" s="1" t="e">
        <f>LOOKUP(FoodData[[#This Row],[Score]],#REF!,#REF!)</f>
        <v>#REF!</v>
      </c>
      <c r="D772" t="s">
        <v>1439</v>
      </c>
      <c r="E772" t="s">
        <v>384</v>
      </c>
      <c r="F772" t="s">
        <v>22</v>
      </c>
      <c r="G772" t="s">
        <v>29</v>
      </c>
      <c r="H772" t="s">
        <v>1562</v>
      </c>
      <c r="I772" s="1" t="s">
        <v>25</v>
      </c>
      <c r="J772" s="1" t="s">
        <v>25</v>
      </c>
      <c r="K772" s="1" t="s">
        <v>26</v>
      </c>
      <c r="L772" s="1" t="s">
        <v>25</v>
      </c>
      <c r="M772" s="1" t="s">
        <v>26</v>
      </c>
      <c r="N772" s="1" t="s">
        <v>25</v>
      </c>
      <c r="O772" s="1" t="s">
        <v>25</v>
      </c>
      <c r="P772" s="1" t="s">
        <v>25</v>
      </c>
      <c r="Q772" s="1" t="s">
        <v>25</v>
      </c>
      <c r="R772" s="1" t="s">
        <v>25</v>
      </c>
      <c r="S772" s="2">
        <v>0</v>
      </c>
    </row>
    <row r="773" spans="1:19" x14ac:dyDescent="0.3">
      <c r="A773" t="s">
        <v>1563</v>
      </c>
      <c r="B773" s="5" t="e" cm="1">
        <f t="array" ref="B773">MAX(#REF!,MIN(#REF!,#REF!+SUMPRODUCT(--(FoodData[[#This Row],[Healthy]:[Refined]]="Yes"),#REF!)+FoodData[[#This Row],[Adjust]]))</f>
        <v>#REF!</v>
      </c>
      <c r="C773" s="1" t="e">
        <f>LOOKUP(FoodData[[#This Row],[Score]],#REF!,#REF!)</f>
        <v>#REF!</v>
      </c>
      <c r="D773" t="s">
        <v>1439</v>
      </c>
      <c r="E773" t="s">
        <v>63</v>
      </c>
      <c r="F773" t="s">
        <v>22</v>
      </c>
      <c r="G773" t="s">
        <v>29</v>
      </c>
      <c r="H773" t="s">
        <v>1564</v>
      </c>
      <c r="I773" s="1" t="s">
        <v>25</v>
      </c>
      <c r="J773" s="1" t="s">
        <v>25</v>
      </c>
      <c r="K773" s="1" t="s">
        <v>25</v>
      </c>
      <c r="L773" s="1" t="s">
        <v>26</v>
      </c>
      <c r="M773" s="1" t="s">
        <v>25</v>
      </c>
      <c r="N773" s="1" t="s">
        <v>26</v>
      </c>
      <c r="O773" s="1" t="s">
        <v>25</v>
      </c>
      <c r="P773" s="1" t="s">
        <v>25</v>
      </c>
      <c r="Q773" s="1" t="s">
        <v>25</v>
      </c>
      <c r="R773" s="1" t="s">
        <v>25</v>
      </c>
      <c r="S773" s="2">
        <v>0</v>
      </c>
    </row>
    <row r="774" spans="1:19" x14ac:dyDescent="0.3">
      <c r="A774" t="s">
        <v>1565</v>
      </c>
      <c r="B774" s="5" t="e" cm="1">
        <f t="array" ref="B774">MAX(#REF!,MIN(#REF!,#REF!+SUMPRODUCT(--(FoodData[[#This Row],[Healthy]:[Refined]]="Yes"),#REF!)+FoodData[[#This Row],[Adjust]]))</f>
        <v>#REF!</v>
      </c>
      <c r="C774" s="1" t="e">
        <f>LOOKUP(FoodData[[#This Row],[Score]],#REF!,#REF!)</f>
        <v>#REF!</v>
      </c>
      <c r="D774" t="s">
        <v>1439</v>
      </c>
      <c r="E774" t="s">
        <v>856</v>
      </c>
      <c r="F774" t="s">
        <v>22</v>
      </c>
      <c r="G774" t="s">
        <v>489</v>
      </c>
      <c r="H774" t="s">
        <v>1566</v>
      </c>
      <c r="I774" s="1" t="s">
        <v>26</v>
      </c>
      <c r="J774" s="1" t="s">
        <v>25</v>
      </c>
      <c r="K774" s="1" t="s">
        <v>26</v>
      </c>
      <c r="L774" s="1" t="s">
        <v>25</v>
      </c>
      <c r="M774" s="1" t="s">
        <v>25</v>
      </c>
      <c r="N774" s="1" t="s">
        <v>25</v>
      </c>
      <c r="O774" s="1" t="s">
        <v>25</v>
      </c>
      <c r="P774" s="1" t="s">
        <v>25</v>
      </c>
      <c r="Q774" s="1" t="s">
        <v>25</v>
      </c>
      <c r="R774" s="1" t="s">
        <v>25</v>
      </c>
      <c r="S774" s="2">
        <v>0</v>
      </c>
    </row>
    <row r="775" spans="1:19" x14ac:dyDescent="0.3">
      <c r="A775" t="s">
        <v>1567</v>
      </c>
      <c r="B775" s="5" t="e" cm="1">
        <f t="array" ref="B775">MAX(#REF!,MIN(#REF!,#REF!+SUMPRODUCT(--(FoodData[[#This Row],[Healthy]:[Refined]]="Yes"),#REF!)+FoodData[[#This Row],[Adjust]]))</f>
        <v>#REF!</v>
      </c>
      <c r="C775" s="1" t="e">
        <f>LOOKUP(FoodData[[#This Row],[Score]],#REF!,#REF!)</f>
        <v>#REF!</v>
      </c>
      <c r="D775" t="s">
        <v>1439</v>
      </c>
      <c r="E775" t="s">
        <v>384</v>
      </c>
      <c r="F775" t="s">
        <v>22</v>
      </c>
      <c r="G775" t="s">
        <v>29</v>
      </c>
      <c r="H775" t="s">
        <v>1568</v>
      </c>
      <c r="I775" s="1" t="s">
        <v>26</v>
      </c>
      <c r="J775" s="1" t="s">
        <v>25</v>
      </c>
      <c r="K775" s="1" t="s">
        <v>25</v>
      </c>
      <c r="L775" s="1" t="s">
        <v>25</v>
      </c>
      <c r="M775" s="1" t="s">
        <v>25</v>
      </c>
      <c r="N775" s="1" t="s">
        <v>25</v>
      </c>
      <c r="O775" s="1" t="s">
        <v>25</v>
      </c>
      <c r="P775" s="1" t="s">
        <v>25</v>
      </c>
      <c r="Q775" s="1" t="s">
        <v>25</v>
      </c>
      <c r="R775" s="1" t="s">
        <v>25</v>
      </c>
      <c r="S775" s="2">
        <v>0</v>
      </c>
    </row>
    <row r="776" spans="1:19" x14ac:dyDescent="0.3">
      <c r="A776" t="s">
        <v>1569</v>
      </c>
      <c r="B776" s="5" t="e" cm="1">
        <f t="array" ref="B776">MAX(#REF!,MIN(#REF!,#REF!+SUMPRODUCT(--(FoodData[[#This Row],[Healthy]:[Refined]]="Yes"),#REF!)+FoodData[[#This Row],[Adjust]]))</f>
        <v>#REF!</v>
      </c>
      <c r="C776" s="1" t="e">
        <f>LOOKUP(FoodData[[#This Row],[Score]],#REF!,#REF!)</f>
        <v>#REF!</v>
      </c>
      <c r="D776" t="s">
        <v>1439</v>
      </c>
      <c r="E776" t="s">
        <v>63</v>
      </c>
      <c r="F776" t="s">
        <v>22</v>
      </c>
      <c r="G776" t="s">
        <v>29</v>
      </c>
      <c r="H776" t="s">
        <v>1570</v>
      </c>
      <c r="I776" s="1" t="s">
        <v>26</v>
      </c>
      <c r="J776" s="1" t="s">
        <v>26</v>
      </c>
      <c r="K776" s="1" t="s">
        <v>26</v>
      </c>
      <c r="L776" s="1" t="s">
        <v>25</v>
      </c>
      <c r="M776" s="1" t="s">
        <v>25</v>
      </c>
      <c r="N776" s="1" t="s">
        <v>25</v>
      </c>
      <c r="O776" s="1" t="s">
        <v>25</v>
      </c>
      <c r="P776" s="1" t="s">
        <v>25</v>
      </c>
      <c r="Q776" s="1" t="s">
        <v>25</v>
      </c>
      <c r="R776" s="1" t="s">
        <v>25</v>
      </c>
      <c r="S776" s="2">
        <v>0</v>
      </c>
    </row>
    <row r="777" spans="1:19" x14ac:dyDescent="0.3">
      <c r="A777" t="s">
        <v>1571</v>
      </c>
      <c r="B777" s="5" t="e" cm="1">
        <f t="array" ref="B777">MAX(#REF!,MIN(#REF!,#REF!+SUMPRODUCT(--(FoodData[[#This Row],[Healthy]:[Refined]]="Yes"),#REF!)+FoodData[[#This Row],[Adjust]]))</f>
        <v>#REF!</v>
      </c>
      <c r="C777" s="1" t="e">
        <f>LOOKUP(FoodData[[#This Row],[Score]],#REF!,#REF!)</f>
        <v>#REF!</v>
      </c>
      <c r="D777" t="s">
        <v>1439</v>
      </c>
      <c r="E777" t="s">
        <v>199</v>
      </c>
      <c r="F777" t="s">
        <v>22</v>
      </c>
      <c r="G777" t="s">
        <v>29</v>
      </c>
      <c r="H777" t="s">
        <v>1572</v>
      </c>
      <c r="I777" s="1" t="s">
        <v>26</v>
      </c>
      <c r="J777" s="1" t="s">
        <v>25</v>
      </c>
      <c r="K777" s="1" t="s">
        <v>25</v>
      </c>
      <c r="L777" s="1" t="s">
        <v>26</v>
      </c>
      <c r="M777" s="1" t="s">
        <v>25</v>
      </c>
      <c r="N777" s="1" t="s">
        <v>25</v>
      </c>
      <c r="O777" s="1" t="s">
        <v>25</v>
      </c>
      <c r="P777" s="1" t="s">
        <v>25</v>
      </c>
      <c r="Q777" s="1" t="s">
        <v>25</v>
      </c>
      <c r="R777" s="1" t="s">
        <v>25</v>
      </c>
      <c r="S777" s="2">
        <v>0</v>
      </c>
    </row>
    <row r="778" spans="1:19" x14ac:dyDescent="0.3">
      <c r="A778" t="s">
        <v>1573</v>
      </c>
      <c r="B778" s="5" t="e" cm="1">
        <f t="array" ref="B778">MAX(#REF!,MIN(#REF!,#REF!+SUMPRODUCT(--(FoodData[[#This Row],[Healthy]:[Refined]]="Yes"),#REF!)+FoodData[[#This Row],[Adjust]]))</f>
        <v>#REF!</v>
      </c>
      <c r="C778" s="1" t="e">
        <f>LOOKUP(FoodData[[#This Row],[Score]],#REF!,#REF!)</f>
        <v>#REF!</v>
      </c>
      <c r="D778" t="s">
        <v>1439</v>
      </c>
      <c r="E778" t="s">
        <v>63</v>
      </c>
      <c r="F778" t="s">
        <v>22</v>
      </c>
      <c r="G778" t="s">
        <v>29</v>
      </c>
      <c r="H778" t="s">
        <v>1574</v>
      </c>
      <c r="I778" s="1" t="s">
        <v>26</v>
      </c>
      <c r="J778" s="1" t="s">
        <v>26</v>
      </c>
      <c r="K778" s="1" t="s">
        <v>26</v>
      </c>
      <c r="L778" s="1" t="s">
        <v>26</v>
      </c>
      <c r="M778" s="1" t="s">
        <v>25</v>
      </c>
      <c r="N778" s="1" t="s">
        <v>25</v>
      </c>
      <c r="O778" s="1" t="s">
        <v>25</v>
      </c>
      <c r="P778" s="1" t="s">
        <v>25</v>
      </c>
      <c r="Q778" s="1" t="s">
        <v>25</v>
      </c>
      <c r="R778" s="1" t="s">
        <v>25</v>
      </c>
      <c r="S778" s="2">
        <v>0</v>
      </c>
    </row>
    <row r="779" spans="1:19" x14ac:dyDescent="0.3">
      <c r="A779" t="s">
        <v>1575</v>
      </c>
      <c r="B779" s="5" t="e" cm="1">
        <f t="array" ref="B779">MAX(#REF!,MIN(#REF!,#REF!+SUMPRODUCT(--(FoodData[[#This Row],[Healthy]:[Refined]]="Yes"),#REF!)+FoodData[[#This Row],[Adjust]]))</f>
        <v>#REF!</v>
      </c>
      <c r="C779" s="1" t="e">
        <f>LOOKUP(FoodData[[#This Row],[Score]],#REF!,#REF!)</f>
        <v>#REF!</v>
      </c>
      <c r="D779" t="s">
        <v>1439</v>
      </c>
      <c r="E779" t="s">
        <v>63</v>
      </c>
      <c r="F779" t="s">
        <v>22</v>
      </c>
      <c r="G779" t="s">
        <v>29</v>
      </c>
      <c r="H779" t="s">
        <v>1576</v>
      </c>
      <c r="I779" s="1" t="s">
        <v>26</v>
      </c>
      <c r="J779" s="1" t="s">
        <v>25</v>
      </c>
      <c r="K779" s="1" t="s">
        <v>25</v>
      </c>
      <c r="L779" s="1" t="s">
        <v>26</v>
      </c>
      <c r="M779" s="1" t="s">
        <v>26</v>
      </c>
      <c r="N779" s="1" t="s">
        <v>25</v>
      </c>
      <c r="O779" s="1" t="s">
        <v>25</v>
      </c>
      <c r="P779" s="1" t="s">
        <v>25</v>
      </c>
      <c r="Q779" s="1" t="s">
        <v>25</v>
      </c>
      <c r="R779" s="1" t="s">
        <v>25</v>
      </c>
      <c r="S779" s="2">
        <v>0</v>
      </c>
    </row>
    <row r="780" spans="1:19" x14ac:dyDescent="0.3">
      <c r="A780" t="s">
        <v>1577</v>
      </c>
      <c r="B780" s="5" t="e" cm="1">
        <f t="array" ref="B780">MAX(#REF!,MIN(#REF!,#REF!+SUMPRODUCT(--(FoodData[[#This Row],[Healthy]:[Refined]]="Yes"),#REF!)+FoodData[[#This Row],[Adjust]]))</f>
        <v>#REF!</v>
      </c>
      <c r="C780" s="1" t="e">
        <f>LOOKUP(FoodData[[#This Row],[Score]],#REF!,#REF!)</f>
        <v>#REF!</v>
      </c>
      <c r="D780" t="s">
        <v>1439</v>
      </c>
      <c r="E780" t="s">
        <v>28</v>
      </c>
      <c r="F780" t="s">
        <v>22</v>
      </c>
      <c r="G780" t="s">
        <v>29</v>
      </c>
      <c r="H780" t="s">
        <v>1578</v>
      </c>
      <c r="I780" s="1" t="s">
        <v>26</v>
      </c>
      <c r="J780" s="1" t="s">
        <v>26</v>
      </c>
      <c r="K780" s="1" t="s">
        <v>26</v>
      </c>
      <c r="L780" s="1" t="s">
        <v>25</v>
      </c>
      <c r="M780" s="1" t="s">
        <v>25</v>
      </c>
      <c r="N780" s="1" t="s">
        <v>25</v>
      </c>
      <c r="O780" s="1" t="s">
        <v>25</v>
      </c>
      <c r="P780" s="1" t="s">
        <v>25</v>
      </c>
      <c r="Q780" s="1" t="s">
        <v>25</v>
      </c>
      <c r="R780" s="1" t="s">
        <v>25</v>
      </c>
      <c r="S780" s="2">
        <v>0</v>
      </c>
    </row>
    <row r="781" spans="1:19" x14ac:dyDescent="0.3">
      <c r="A781" t="s">
        <v>1579</v>
      </c>
      <c r="B781" s="5" t="e" cm="1">
        <f t="array" ref="B781">MAX(#REF!,MIN(#REF!,#REF!+SUMPRODUCT(--(FoodData[[#This Row],[Healthy]:[Refined]]="Yes"),#REF!)+FoodData[[#This Row],[Adjust]]))</f>
        <v>#REF!</v>
      </c>
      <c r="C781" s="1" t="e">
        <f>LOOKUP(FoodData[[#This Row],[Score]],#REF!,#REF!)</f>
        <v>#REF!</v>
      </c>
      <c r="D781" t="s">
        <v>1439</v>
      </c>
      <c r="E781" t="s">
        <v>199</v>
      </c>
      <c r="F781" t="s">
        <v>22</v>
      </c>
      <c r="G781" t="s">
        <v>162</v>
      </c>
      <c r="H781" t="s">
        <v>1580</v>
      </c>
      <c r="I781" s="1" t="s">
        <v>26</v>
      </c>
      <c r="J781" s="1" t="s">
        <v>26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25</v>
      </c>
      <c r="Q781" s="1" t="s">
        <v>25</v>
      </c>
      <c r="R781" s="1" t="s">
        <v>25</v>
      </c>
      <c r="S781" s="2">
        <v>0</v>
      </c>
    </row>
    <row r="782" spans="1:19" x14ac:dyDescent="0.3">
      <c r="A782" t="s">
        <v>1581</v>
      </c>
      <c r="B782" s="5" t="e" cm="1">
        <f t="array" ref="B782">MAX(#REF!,MIN(#REF!,#REF!+SUMPRODUCT(--(FoodData[[#This Row],[Healthy]:[Refined]]="Yes"),#REF!)+FoodData[[#This Row],[Adjust]]))</f>
        <v>#REF!</v>
      </c>
      <c r="C782" s="1" t="e">
        <f>LOOKUP(FoodData[[#This Row],[Score]],#REF!,#REF!)</f>
        <v>#REF!</v>
      </c>
      <c r="D782" t="s">
        <v>1439</v>
      </c>
      <c r="E782" t="s">
        <v>63</v>
      </c>
      <c r="F782" t="s">
        <v>22</v>
      </c>
      <c r="G782" t="s">
        <v>29</v>
      </c>
      <c r="H782" t="s">
        <v>1582</v>
      </c>
      <c r="I782" s="1" t="s">
        <v>26</v>
      </c>
      <c r="J782" s="1" t="s">
        <v>26</v>
      </c>
      <c r="K782" s="1" t="s">
        <v>26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25</v>
      </c>
      <c r="Q782" s="1" t="s">
        <v>25</v>
      </c>
      <c r="R782" s="1" t="s">
        <v>25</v>
      </c>
      <c r="S782" s="2">
        <v>0</v>
      </c>
    </row>
    <row r="783" spans="1:19" x14ac:dyDescent="0.3">
      <c r="A783" t="s">
        <v>1583</v>
      </c>
      <c r="B783" s="5" t="e" cm="1">
        <f t="array" ref="B783">MAX(#REF!,MIN(#REF!,#REF!+SUMPRODUCT(--(FoodData[[#This Row],[Healthy]:[Refined]]="Yes"),#REF!)+FoodData[[#This Row],[Adjust]]))</f>
        <v>#REF!</v>
      </c>
      <c r="C783" s="1" t="e">
        <f>LOOKUP(FoodData[[#This Row],[Score]],#REF!,#REF!)</f>
        <v>#REF!</v>
      </c>
      <c r="D783" t="s">
        <v>1439</v>
      </c>
      <c r="E783" t="s">
        <v>63</v>
      </c>
      <c r="F783" t="s">
        <v>22</v>
      </c>
      <c r="G783" t="s">
        <v>29</v>
      </c>
      <c r="H783" t="s">
        <v>1582</v>
      </c>
      <c r="I783" s="1" t="s">
        <v>26</v>
      </c>
      <c r="J783" s="1" t="s">
        <v>26</v>
      </c>
      <c r="K783" s="1" t="s">
        <v>26</v>
      </c>
      <c r="L783" s="1" t="s">
        <v>26</v>
      </c>
      <c r="M783" s="1" t="s">
        <v>25</v>
      </c>
      <c r="N783" s="1" t="s">
        <v>25</v>
      </c>
      <c r="O783" s="1" t="s">
        <v>25</v>
      </c>
      <c r="P783" s="1" t="s">
        <v>25</v>
      </c>
      <c r="Q783" s="1" t="s">
        <v>25</v>
      </c>
      <c r="R783" s="1" t="s">
        <v>25</v>
      </c>
      <c r="S783" s="2">
        <v>0</v>
      </c>
    </row>
    <row r="784" spans="1:19" x14ac:dyDescent="0.3">
      <c r="A784" t="s">
        <v>1584</v>
      </c>
      <c r="B784" s="5" t="e" cm="1">
        <f t="array" ref="B784">MAX(#REF!,MIN(#REF!,#REF!+SUMPRODUCT(--(FoodData[[#This Row],[Healthy]:[Refined]]="Yes"),#REF!)+FoodData[[#This Row],[Adjust]]))</f>
        <v>#REF!</v>
      </c>
      <c r="C784" s="1" t="e">
        <f>LOOKUP(FoodData[[#This Row],[Score]],#REF!,#REF!)</f>
        <v>#REF!</v>
      </c>
      <c r="D784" t="s">
        <v>1439</v>
      </c>
      <c r="E784" t="s">
        <v>63</v>
      </c>
      <c r="F784" t="s">
        <v>22</v>
      </c>
      <c r="G784" t="s">
        <v>29</v>
      </c>
      <c r="H784" t="s">
        <v>1585</v>
      </c>
      <c r="I784" s="1" t="s">
        <v>26</v>
      </c>
      <c r="J784" s="1" t="s">
        <v>25</v>
      </c>
      <c r="K784" s="1" t="s">
        <v>26</v>
      </c>
      <c r="L784" s="1" t="s">
        <v>26</v>
      </c>
      <c r="M784" s="1" t="s">
        <v>25</v>
      </c>
      <c r="N784" s="1" t="s">
        <v>25</v>
      </c>
      <c r="O784" s="1" t="s">
        <v>25</v>
      </c>
      <c r="P784" s="1" t="s">
        <v>25</v>
      </c>
      <c r="Q784" s="1" t="s">
        <v>25</v>
      </c>
      <c r="R784" s="1" t="s">
        <v>25</v>
      </c>
      <c r="S784" s="2">
        <v>0</v>
      </c>
    </row>
    <row r="785" spans="1:19" x14ac:dyDescent="0.3">
      <c r="A785" t="s">
        <v>1586</v>
      </c>
      <c r="B785" s="5" t="e" cm="1">
        <f t="array" ref="B785">MAX(#REF!,MIN(#REF!,#REF!+SUMPRODUCT(--(FoodData[[#This Row],[Healthy]:[Refined]]="Yes"),#REF!)+FoodData[[#This Row],[Adjust]]))</f>
        <v>#REF!</v>
      </c>
      <c r="C785" s="1" t="e">
        <f>LOOKUP(FoodData[[#This Row],[Score]],#REF!,#REF!)</f>
        <v>#REF!</v>
      </c>
      <c r="D785" t="s">
        <v>1439</v>
      </c>
      <c r="E785" t="s">
        <v>63</v>
      </c>
      <c r="F785" t="s">
        <v>22</v>
      </c>
      <c r="G785" t="s">
        <v>29</v>
      </c>
      <c r="H785" t="s">
        <v>1587</v>
      </c>
      <c r="I785" s="1" t="s">
        <v>26</v>
      </c>
      <c r="J785" s="1" t="s">
        <v>26</v>
      </c>
      <c r="K785" s="1" t="s">
        <v>25</v>
      </c>
      <c r="L785" s="1" t="s">
        <v>26</v>
      </c>
      <c r="M785" s="1" t="s">
        <v>25</v>
      </c>
      <c r="N785" s="1" t="s">
        <v>25</v>
      </c>
      <c r="O785" s="1" t="s">
        <v>25</v>
      </c>
      <c r="P785" s="1" t="s">
        <v>25</v>
      </c>
      <c r="Q785" s="1" t="s">
        <v>25</v>
      </c>
      <c r="R785" s="1" t="s">
        <v>25</v>
      </c>
      <c r="S785" s="2">
        <v>0</v>
      </c>
    </row>
    <row r="786" spans="1:19" x14ac:dyDescent="0.3">
      <c r="A786" t="s">
        <v>1588</v>
      </c>
      <c r="B786" s="5" t="e" cm="1">
        <f t="array" ref="B786">MAX(#REF!,MIN(#REF!,#REF!+SUMPRODUCT(--(FoodData[[#This Row],[Healthy]:[Refined]]="Yes"),#REF!)+FoodData[[#This Row],[Adjust]]))</f>
        <v>#REF!</v>
      </c>
      <c r="C786" s="1" t="e">
        <f>LOOKUP(FoodData[[#This Row],[Score]],#REF!,#REF!)</f>
        <v>#REF!</v>
      </c>
      <c r="D786" t="s">
        <v>1439</v>
      </c>
      <c r="E786" t="s">
        <v>384</v>
      </c>
      <c r="F786" t="s">
        <v>22</v>
      </c>
      <c r="G786" t="s">
        <v>29</v>
      </c>
      <c r="H786" t="s">
        <v>1589</v>
      </c>
      <c r="I786" s="1" t="s">
        <v>26</v>
      </c>
      <c r="J786" s="1" t="s">
        <v>26</v>
      </c>
      <c r="K786" s="1" t="s">
        <v>26</v>
      </c>
      <c r="L786" s="1" t="s">
        <v>26</v>
      </c>
      <c r="M786" s="1" t="s">
        <v>25</v>
      </c>
      <c r="N786" s="1" t="s">
        <v>25</v>
      </c>
      <c r="O786" s="1" t="s">
        <v>25</v>
      </c>
      <c r="P786" s="1" t="s">
        <v>25</v>
      </c>
      <c r="Q786" s="1" t="s">
        <v>25</v>
      </c>
      <c r="R786" s="1" t="s">
        <v>25</v>
      </c>
      <c r="S786" s="2">
        <v>0</v>
      </c>
    </row>
    <row r="787" spans="1:19" x14ac:dyDescent="0.3">
      <c r="A787" t="s">
        <v>1590</v>
      </c>
      <c r="B787" s="5" t="e" cm="1">
        <f t="array" ref="B787">MAX(#REF!,MIN(#REF!,#REF!+SUMPRODUCT(--(FoodData[[#This Row],[Healthy]:[Refined]]="Yes"),#REF!)+FoodData[[#This Row],[Adjust]]))</f>
        <v>#REF!</v>
      </c>
      <c r="C787" s="1" t="e">
        <f>LOOKUP(FoodData[[#This Row],[Score]],#REF!,#REF!)</f>
        <v>#REF!</v>
      </c>
      <c r="D787" t="s">
        <v>1439</v>
      </c>
      <c r="E787" t="s">
        <v>384</v>
      </c>
      <c r="F787" t="s">
        <v>22</v>
      </c>
      <c r="G787" t="s">
        <v>29</v>
      </c>
      <c r="H787" t="s">
        <v>1591</v>
      </c>
      <c r="I787" s="1" t="s">
        <v>26</v>
      </c>
      <c r="J787" s="1" t="s">
        <v>26</v>
      </c>
      <c r="K787" s="1" t="s">
        <v>26</v>
      </c>
      <c r="L787" s="1" t="s">
        <v>25</v>
      </c>
      <c r="M787" s="1" t="s">
        <v>25</v>
      </c>
      <c r="N787" s="1" t="s">
        <v>25</v>
      </c>
      <c r="O787" s="1" t="s">
        <v>25</v>
      </c>
      <c r="P787" s="1" t="s">
        <v>25</v>
      </c>
      <c r="Q787" s="1" t="s">
        <v>25</v>
      </c>
      <c r="R787" s="1" t="s">
        <v>25</v>
      </c>
      <c r="S787" s="2">
        <v>0</v>
      </c>
    </row>
    <row r="788" spans="1:19" x14ac:dyDescent="0.3">
      <c r="A788" t="s">
        <v>1592</v>
      </c>
      <c r="B788" s="5" t="e" cm="1">
        <f t="array" ref="B788">MAX(#REF!,MIN(#REF!,#REF!+SUMPRODUCT(--(FoodData[[#This Row],[Healthy]:[Refined]]="Yes"),#REF!)+FoodData[[#This Row],[Adjust]]))</f>
        <v>#REF!</v>
      </c>
      <c r="C788" s="1" t="e">
        <f>LOOKUP(FoodData[[#This Row],[Score]],#REF!,#REF!)</f>
        <v>#REF!</v>
      </c>
      <c r="D788" t="s">
        <v>1439</v>
      </c>
      <c r="E788" t="s">
        <v>63</v>
      </c>
      <c r="F788" t="s">
        <v>22</v>
      </c>
      <c r="G788" t="s">
        <v>29</v>
      </c>
      <c r="H788" t="s">
        <v>1593</v>
      </c>
      <c r="I788" s="1" t="s">
        <v>26</v>
      </c>
      <c r="J788" s="1" t="s">
        <v>26</v>
      </c>
      <c r="K788" s="1" t="s">
        <v>26</v>
      </c>
      <c r="L788" s="1" t="s">
        <v>26</v>
      </c>
      <c r="M788" s="1" t="s">
        <v>25</v>
      </c>
      <c r="N788" s="1" t="s">
        <v>25</v>
      </c>
      <c r="O788" s="1" t="s">
        <v>25</v>
      </c>
      <c r="P788" s="1" t="s">
        <v>25</v>
      </c>
      <c r="Q788" s="1" t="s">
        <v>25</v>
      </c>
      <c r="R788" s="1" t="s">
        <v>25</v>
      </c>
      <c r="S788" s="2">
        <v>0</v>
      </c>
    </row>
    <row r="789" spans="1:19" x14ac:dyDescent="0.3">
      <c r="A789" t="s">
        <v>1594</v>
      </c>
      <c r="B789" s="5" t="e" cm="1">
        <f t="array" ref="B789">MAX(#REF!,MIN(#REF!,#REF!+SUMPRODUCT(--(FoodData[[#This Row],[Healthy]:[Refined]]="Yes"),#REF!)+FoodData[[#This Row],[Adjust]]))</f>
        <v>#REF!</v>
      </c>
      <c r="C789" s="1" t="e">
        <f>LOOKUP(FoodData[[#This Row],[Score]],#REF!,#REF!)</f>
        <v>#REF!</v>
      </c>
      <c r="D789" t="s">
        <v>1439</v>
      </c>
      <c r="E789" t="s">
        <v>63</v>
      </c>
      <c r="F789" t="s">
        <v>22</v>
      </c>
      <c r="G789" t="s">
        <v>162</v>
      </c>
      <c r="H789" t="s">
        <v>1595</v>
      </c>
      <c r="I789" s="1" t="s">
        <v>26</v>
      </c>
      <c r="J789" s="1" t="s">
        <v>26</v>
      </c>
      <c r="K789" s="1" t="s">
        <v>26</v>
      </c>
      <c r="L789" s="1" t="s">
        <v>26</v>
      </c>
      <c r="M789" s="1" t="s">
        <v>25</v>
      </c>
      <c r="N789" s="1" t="s">
        <v>25</v>
      </c>
      <c r="O789" s="1" t="s">
        <v>25</v>
      </c>
      <c r="P789" s="1" t="s">
        <v>25</v>
      </c>
      <c r="Q789" s="1" t="s">
        <v>25</v>
      </c>
      <c r="R789" s="1" t="s">
        <v>25</v>
      </c>
      <c r="S789" s="2">
        <v>0</v>
      </c>
    </row>
    <row r="790" spans="1:19" x14ac:dyDescent="0.3">
      <c r="A790" t="s">
        <v>1596</v>
      </c>
      <c r="B790" s="5" t="e" cm="1">
        <f t="array" ref="B790">MAX(#REF!,MIN(#REF!,#REF!+SUMPRODUCT(--(FoodData[[#This Row],[Healthy]:[Refined]]="Yes"),#REF!)+FoodData[[#This Row],[Adjust]]))</f>
        <v>#REF!</v>
      </c>
      <c r="C790" s="1" t="e">
        <f>LOOKUP(FoodData[[#This Row],[Score]],#REF!,#REF!)</f>
        <v>#REF!</v>
      </c>
      <c r="D790" t="s">
        <v>1439</v>
      </c>
      <c r="E790" t="s">
        <v>63</v>
      </c>
      <c r="F790" t="s">
        <v>22</v>
      </c>
      <c r="G790" t="s">
        <v>29</v>
      </c>
      <c r="H790" t="s">
        <v>1597</v>
      </c>
      <c r="I790" s="1" t="s">
        <v>26</v>
      </c>
      <c r="J790" s="1" t="s">
        <v>26</v>
      </c>
      <c r="K790" s="1" t="s">
        <v>26</v>
      </c>
      <c r="L790" s="1" t="s">
        <v>26</v>
      </c>
      <c r="M790" s="1" t="s">
        <v>25</v>
      </c>
      <c r="N790" s="1" t="s">
        <v>25</v>
      </c>
      <c r="O790" s="1" t="s">
        <v>25</v>
      </c>
      <c r="P790" s="1" t="s">
        <v>25</v>
      </c>
      <c r="Q790" s="1" t="s">
        <v>25</v>
      </c>
      <c r="R790" s="1" t="s">
        <v>25</v>
      </c>
      <c r="S790" s="2">
        <v>0</v>
      </c>
    </row>
    <row r="791" spans="1:19" x14ac:dyDescent="0.3">
      <c r="A791" t="s">
        <v>1598</v>
      </c>
      <c r="B791" s="5" t="e" cm="1">
        <f t="array" ref="B791">MAX(#REF!,MIN(#REF!,#REF!+SUMPRODUCT(--(FoodData[[#This Row],[Healthy]:[Refined]]="Yes"),#REF!)+FoodData[[#This Row],[Adjust]]))</f>
        <v>#REF!</v>
      </c>
      <c r="C791" s="1" t="e">
        <f>LOOKUP(FoodData[[#This Row],[Score]],#REF!,#REF!)</f>
        <v>#REF!</v>
      </c>
      <c r="D791" t="s">
        <v>1439</v>
      </c>
      <c r="E791" t="s">
        <v>199</v>
      </c>
      <c r="F791" t="s">
        <v>60</v>
      </c>
      <c r="G791" t="s">
        <v>29</v>
      </c>
      <c r="H791" t="s">
        <v>1599</v>
      </c>
      <c r="I791" s="1" t="s">
        <v>25</v>
      </c>
      <c r="J791" s="1" t="s">
        <v>25</v>
      </c>
      <c r="K791" s="1" t="s">
        <v>26</v>
      </c>
      <c r="L791" s="1" t="s">
        <v>26</v>
      </c>
      <c r="M791" s="1" t="s">
        <v>25</v>
      </c>
      <c r="N791" s="1" t="s">
        <v>25</v>
      </c>
      <c r="O791" s="1" t="s">
        <v>25</v>
      </c>
      <c r="P791" s="1" t="s">
        <v>25</v>
      </c>
      <c r="Q791" s="1" t="s">
        <v>25</v>
      </c>
      <c r="R791" s="1" t="s">
        <v>25</v>
      </c>
      <c r="S791" s="2">
        <v>0</v>
      </c>
    </row>
    <row r="792" spans="1:19" x14ac:dyDescent="0.3">
      <c r="A792" t="s">
        <v>1600</v>
      </c>
      <c r="B792" s="5" t="e" cm="1">
        <f t="array" ref="B792">MAX(#REF!,MIN(#REF!,#REF!+SUMPRODUCT(--(FoodData[[#This Row],[Healthy]:[Refined]]="Yes"),#REF!)+FoodData[[#This Row],[Adjust]]))</f>
        <v>#REF!</v>
      </c>
      <c r="C792" s="1" t="e">
        <f>LOOKUP(FoodData[[#This Row],[Score]],#REF!,#REF!)</f>
        <v>#REF!</v>
      </c>
      <c r="D792" t="s">
        <v>1439</v>
      </c>
      <c r="E792" t="s">
        <v>199</v>
      </c>
      <c r="F792" t="s">
        <v>22</v>
      </c>
      <c r="G792" t="s">
        <v>29</v>
      </c>
      <c r="H792" t="s">
        <v>1601</v>
      </c>
      <c r="I792" s="1" t="s">
        <v>26</v>
      </c>
      <c r="J792" s="1" t="s">
        <v>26</v>
      </c>
      <c r="K792" s="1" t="s">
        <v>25</v>
      </c>
      <c r="L792" s="1" t="s">
        <v>26</v>
      </c>
      <c r="M792" s="1" t="s">
        <v>25</v>
      </c>
      <c r="N792" s="1" t="s">
        <v>25</v>
      </c>
      <c r="O792" s="1" t="s">
        <v>25</v>
      </c>
      <c r="P792" s="1" t="s">
        <v>25</v>
      </c>
      <c r="Q792" s="1" t="s">
        <v>25</v>
      </c>
      <c r="R792" s="1" t="s">
        <v>25</v>
      </c>
      <c r="S792" s="2">
        <v>0</v>
      </c>
    </row>
    <row r="793" spans="1:19" x14ac:dyDescent="0.3">
      <c r="A793" t="s">
        <v>1602</v>
      </c>
      <c r="B793" s="5" t="e" cm="1">
        <f t="array" ref="B793">MAX(#REF!,MIN(#REF!,#REF!+SUMPRODUCT(--(FoodData[[#This Row],[Healthy]:[Refined]]="Yes"),#REF!)+FoodData[[#This Row],[Adjust]]))</f>
        <v>#REF!</v>
      </c>
      <c r="C793" s="1" t="e">
        <f>LOOKUP(FoodData[[#This Row],[Score]],#REF!,#REF!)</f>
        <v>#REF!</v>
      </c>
      <c r="D793" t="s">
        <v>1439</v>
      </c>
      <c r="E793" t="s">
        <v>63</v>
      </c>
      <c r="F793" t="s">
        <v>22</v>
      </c>
      <c r="G793" t="s">
        <v>29</v>
      </c>
      <c r="H793" t="s">
        <v>1603</v>
      </c>
      <c r="I793" s="1" t="s">
        <v>26</v>
      </c>
      <c r="J793" s="1" t="s">
        <v>26</v>
      </c>
      <c r="K793" s="1" t="s">
        <v>26</v>
      </c>
      <c r="L793" s="1" t="s">
        <v>25</v>
      </c>
      <c r="M793" s="1" t="s">
        <v>25</v>
      </c>
      <c r="N793" s="1" t="s">
        <v>25</v>
      </c>
      <c r="O793" s="1" t="s">
        <v>25</v>
      </c>
      <c r="P793" s="1" t="s">
        <v>25</v>
      </c>
      <c r="Q793" s="1" t="s">
        <v>25</v>
      </c>
      <c r="R793" s="1" t="s">
        <v>25</v>
      </c>
      <c r="S793" s="2">
        <v>0</v>
      </c>
    </row>
    <row r="794" spans="1:19" x14ac:dyDescent="0.3">
      <c r="A794" t="s">
        <v>1604</v>
      </c>
      <c r="B794" s="5" t="e" cm="1">
        <f t="array" ref="B794">MAX(#REF!,MIN(#REF!,#REF!+SUMPRODUCT(--(FoodData[[#This Row],[Healthy]:[Refined]]="Yes"),#REF!)+FoodData[[#This Row],[Adjust]]))</f>
        <v>#REF!</v>
      </c>
      <c r="C794" s="1" t="e">
        <f>LOOKUP(FoodData[[#This Row],[Score]],#REF!,#REF!)</f>
        <v>#REF!</v>
      </c>
      <c r="D794" t="s">
        <v>1439</v>
      </c>
      <c r="E794" t="s">
        <v>199</v>
      </c>
      <c r="F794" t="s">
        <v>22</v>
      </c>
      <c r="G794" t="s">
        <v>29</v>
      </c>
      <c r="H794" t="s">
        <v>1605</v>
      </c>
      <c r="I794" s="1" t="s">
        <v>25</v>
      </c>
      <c r="J794" s="1" t="s">
        <v>25</v>
      </c>
      <c r="K794" s="1" t="s">
        <v>25</v>
      </c>
      <c r="L794" s="1" t="s">
        <v>25</v>
      </c>
      <c r="M794" s="1" t="s">
        <v>25</v>
      </c>
      <c r="N794" s="1" t="s">
        <v>25</v>
      </c>
      <c r="O794" s="1" t="s">
        <v>26</v>
      </c>
      <c r="P794" s="1" t="s">
        <v>25</v>
      </c>
      <c r="Q794" s="1" t="s">
        <v>25</v>
      </c>
      <c r="R794" s="1" t="s">
        <v>25</v>
      </c>
      <c r="S794" s="2">
        <v>0</v>
      </c>
    </row>
    <row r="795" spans="1:19" x14ac:dyDescent="0.3">
      <c r="A795" t="s">
        <v>1606</v>
      </c>
      <c r="B795" s="5" t="e" cm="1">
        <f t="array" ref="B795">MAX(#REF!,MIN(#REF!,#REF!+SUMPRODUCT(--(FoodData[[#This Row],[Healthy]:[Refined]]="Yes"),#REF!)+FoodData[[#This Row],[Adjust]]))</f>
        <v>#REF!</v>
      </c>
      <c r="C795" s="1" t="e">
        <f>LOOKUP(FoodData[[#This Row],[Score]],#REF!,#REF!)</f>
        <v>#REF!</v>
      </c>
      <c r="D795" t="s">
        <v>1439</v>
      </c>
      <c r="E795" t="s">
        <v>384</v>
      </c>
      <c r="F795" t="s">
        <v>22</v>
      </c>
      <c r="G795" t="s">
        <v>29</v>
      </c>
      <c r="H795" t="s">
        <v>1607</v>
      </c>
      <c r="I795" s="1" t="s">
        <v>25</v>
      </c>
      <c r="J795" s="1" t="s">
        <v>25</v>
      </c>
      <c r="K795" s="1" t="s">
        <v>25</v>
      </c>
      <c r="L795" s="1" t="s">
        <v>25</v>
      </c>
      <c r="M795" s="1" t="s">
        <v>25</v>
      </c>
      <c r="N795" s="1" t="s">
        <v>26</v>
      </c>
      <c r="O795" s="1" t="s">
        <v>25</v>
      </c>
      <c r="P795" s="1" t="s">
        <v>25</v>
      </c>
      <c r="Q795" s="1" t="s">
        <v>25</v>
      </c>
      <c r="R795" s="1" t="s">
        <v>25</v>
      </c>
      <c r="S795" s="2">
        <v>0</v>
      </c>
    </row>
    <row r="796" spans="1:19" x14ac:dyDescent="0.3">
      <c r="A796" t="s">
        <v>1608</v>
      </c>
      <c r="B796" s="5" t="e" cm="1">
        <f t="array" ref="B796">MAX(#REF!,MIN(#REF!,#REF!+SUMPRODUCT(--(FoodData[[#This Row],[Healthy]:[Refined]]="Yes"),#REF!)+FoodData[[#This Row],[Adjust]]))</f>
        <v>#REF!</v>
      </c>
      <c r="C796" s="1" t="e">
        <f>LOOKUP(FoodData[[#This Row],[Score]],#REF!,#REF!)</f>
        <v>#REF!</v>
      </c>
      <c r="D796" t="s">
        <v>1439</v>
      </c>
      <c r="E796" t="s">
        <v>199</v>
      </c>
      <c r="F796" t="s">
        <v>22</v>
      </c>
      <c r="G796" t="s">
        <v>29</v>
      </c>
      <c r="H796" t="s">
        <v>1609</v>
      </c>
      <c r="I796" s="1" t="s">
        <v>26</v>
      </c>
      <c r="J796" s="1" t="s">
        <v>26</v>
      </c>
      <c r="K796" s="1" t="s">
        <v>25</v>
      </c>
      <c r="L796" s="1" t="s">
        <v>26</v>
      </c>
      <c r="M796" s="1" t="s">
        <v>25</v>
      </c>
      <c r="N796" s="1" t="s">
        <v>25</v>
      </c>
      <c r="O796" s="1" t="s">
        <v>25</v>
      </c>
      <c r="P796" s="1" t="s">
        <v>25</v>
      </c>
      <c r="Q796" s="1" t="s">
        <v>25</v>
      </c>
      <c r="R796" s="1" t="s">
        <v>25</v>
      </c>
      <c r="S796" s="2">
        <v>0</v>
      </c>
    </row>
    <row r="797" spans="1:19" x14ac:dyDescent="0.3">
      <c r="A797" t="s">
        <v>1610</v>
      </c>
      <c r="B797" s="5" t="e" cm="1">
        <f t="array" ref="B797">MAX(#REF!,MIN(#REF!,#REF!+SUMPRODUCT(--(FoodData[[#This Row],[Healthy]:[Refined]]="Yes"),#REF!)+FoodData[[#This Row],[Adjust]]))</f>
        <v>#REF!</v>
      </c>
      <c r="C797" s="1" t="e">
        <f>LOOKUP(FoodData[[#This Row],[Score]],#REF!,#REF!)</f>
        <v>#REF!</v>
      </c>
      <c r="D797" t="s">
        <v>1439</v>
      </c>
      <c r="E797" t="s">
        <v>63</v>
      </c>
      <c r="F797" t="s">
        <v>22</v>
      </c>
      <c r="G797" t="s">
        <v>29</v>
      </c>
      <c r="H797" t="s">
        <v>1611</v>
      </c>
      <c r="I797" s="1" t="s">
        <v>26</v>
      </c>
      <c r="J797" s="1" t="s">
        <v>25</v>
      </c>
      <c r="K797" s="1" t="s">
        <v>26</v>
      </c>
      <c r="L797" s="1" t="s">
        <v>25</v>
      </c>
      <c r="M797" s="1" t="s">
        <v>25</v>
      </c>
      <c r="N797" s="1" t="s">
        <v>25</v>
      </c>
      <c r="O797" s="1" t="s">
        <v>25</v>
      </c>
      <c r="P797" s="1" t="s">
        <v>25</v>
      </c>
      <c r="Q797" s="1" t="s">
        <v>25</v>
      </c>
      <c r="R797" s="1" t="s">
        <v>25</v>
      </c>
      <c r="S797" s="2">
        <v>0</v>
      </c>
    </row>
    <row r="798" spans="1:19" x14ac:dyDescent="0.3">
      <c r="A798" t="s">
        <v>1612</v>
      </c>
      <c r="B798" s="5" t="e" cm="1">
        <f t="array" ref="B798">MAX(#REF!,MIN(#REF!,#REF!+SUMPRODUCT(--(FoodData[[#This Row],[Healthy]:[Refined]]="Yes"),#REF!)+FoodData[[#This Row],[Adjust]]))</f>
        <v>#REF!</v>
      </c>
      <c r="C798" s="1" t="e">
        <f>LOOKUP(FoodData[[#This Row],[Score]],#REF!,#REF!)</f>
        <v>#REF!</v>
      </c>
      <c r="D798" t="s">
        <v>1439</v>
      </c>
      <c r="E798" t="s">
        <v>199</v>
      </c>
      <c r="F798" t="s">
        <v>22</v>
      </c>
      <c r="G798" t="s">
        <v>29</v>
      </c>
      <c r="H798" t="s">
        <v>1613</v>
      </c>
      <c r="I798" s="1" t="s">
        <v>26</v>
      </c>
      <c r="J798" s="1" t="s">
        <v>26</v>
      </c>
      <c r="K798" s="1" t="s">
        <v>25</v>
      </c>
      <c r="L798" s="1" t="s">
        <v>26</v>
      </c>
      <c r="M798" s="1" t="s">
        <v>25</v>
      </c>
      <c r="N798" s="1" t="s">
        <v>25</v>
      </c>
      <c r="O798" s="1" t="s">
        <v>25</v>
      </c>
      <c r="P798" s="1" t="s">
        <v>25</v>
      </c>
      <c r="Q798" s="1" t="s">
        <v>25</v>
      </c>
      <c r="R798" s="1" t="s">
        <v>25</v>
      </c>
      <c r="S798" s="2">
        <v>0</v>
      </c>
    </row>
    <row r="799" spans="1:19" x14ac:dyDescent="0.3">
      <c r="A799" t="s">
        <v>1614</v>
      </c>
      <c r="B799" s="5" t="e" cm="1">
        <f t="array" ref="B799">MAX(#REF!,MIN(#REF!,#REF!+SUMPRODUCT(--(FoodData[[#This Row],[Healthy]:[Refined]]="Yes"),#REF!)+FoodData[[#This Row],[Adjust]]))</f>
        <v>#REF!</v>
      </c>
      <c r="C799" s="1" t="e">
        <f>LOOKUP(FoodData[[#This Row],[Score]],#REF!,#REF!)</f>
        <v>#REF!</v>
      </c>
      <c r="D799" t="s">
        <v>1439</v>
      </c>
      <c r="E799" t="s">
        <v>63</v>
      </c>
      <c r="F799" t="s">
        <v>22</v>
      </c>
      <c r="G799" t="s">
        <v>29</v>
      </c>
      <c r="H799" t="s">
        <v>1615</v>
      </c>
      <c r="I799" s="1" t="s">
        <v>26</v>
      </c>
      <c r="J799" s="1" t="s">
        <v>26</v>
      </c>
      <c r="K799" s="1" t="s">
        <v>26</v>
      </c>
      <c r="L799" s="1" t="s">
        <v>25</v>
      </c>
      <c r="M799" s="1" t="s">
        <v>25</v>
      </c>
      <c r="N799" s="1" t="s">
        <v>25</v>
      </c>
      <c r="O799" s="1" t="s">
        <v>25</v>
      </c>
      <c r="P799" s="1" t="s">
        <v>25</v>
      </c>
      <c r="Q799" s="1" t="s">
        <v>25</v>
      </c>
      <c r="R799" s="1" t="s">
        <v>25</v>
      </c>
      <c r="S799" s="2">
        <v>0</v>
      </c>
    </row>
    <row r="800" spans="1:19" x14ac:dyDescent="0.3">
      <c r="A800" t="s">
        <v>1616</v>
      </c>
      <c r="B800" s="5" t="e" cm="1">
        <f t="array" ref="B800">MAX(#REF!,MIN(#REF!,#REF!+SUMPRODUCT(--(FoodData[[#This Row],[Healthy]:[Refined]]="Yes"),#REF!)+FoodData[[#This Row],[Adjust]]))</f>
        <v>#REF!</v>
      </c>
      <c r="C800" s="1" t="e">
        <f>LOOKUP(FoodData[[#This Row],[Score]],#REF!,#REF!)</f>
        <v>#REF!</v>
      </c>
      <c r="D800" t="s">
        <v>1617</v>
      </c>
      <c r="E800" t="s">
        <v>28</v>
      </c>
      <c r="F800" t="s">
        <v>60</v>
      </c>
      <c r="G800" t="s">
        <v>23</v>
      </c>
      <c r="H800" t="s">
        <v>1618</v>
      </c>
      <c r="I800" s="1" t="s">
        <v>25</v>
      </c>
      <c r="J800" s="1" t="s">
        <v>25</v>
      </c>
      <c r="K800" s="1" t="s">
        <v>26</v>
      </c>
      <c r="L800" s="1" t="s">
        <v>25</v>
      </c>
      <c r="M800" s="1" t="s">
        <v>25</v>
      </c>
      <c r="N800" s="1" t="s">
        <v>26</v>
      </c>
      <c r="O800" s="1" t="s">
        <v>25</v>
      </c>
      <c r="P800" s="1" t="s">
        <v>26</v>
      </c>
      <c r="Q800" s="1" t="s">
        <v>25</v>
      </c>
      <c r="R800" s="1" t="s">
        <v>25</v>
      </c>
      <c r="S800" s="2">
        <v>0</v>
      </c>
    </row>
    <row r="801" spans="1:19" x14ac:dyDescent="0.3">
      <c r="A801" t="s">
        <v>1619</v>
      </c>
      <c r="B801" s="5" t="e" cm="1">
        <f t="array" ref="B801">MAX(#REF!,MIN(#REF!,#REF!+SUMPRODUCT(--(FoodData[[#This Row],[Healthy]:[Refined]]="Yes"),#REF!)+FoodData[[#This Row],[Adjust]]))</f>
        <v>#REF!</v>
      </c>
      <c r="C801" s="1" t="e">
        <f>LOOKUP(FoodData[[#This Row],[Score]],#REF!,#REF!)</f>
        <v>#REF!</v>
      </c>
      <c r="D801" t="s">
        <v>1617</v>
      </c>
      <c r="E801" t="s">
        <v>28</v>
      </c>
      <c r="F801" t="s">
        <v>60</v>
      </c>
      <c r="G801" t="s">
        <v>23</v>
      </c>
      <c r="H801" t="s">
        <v>1620</v>
      </c>
      <c r="I801" s="1" t="s">
        <v>25</v>
      </c>
      <c r="J801" s="1" t="s">
        <v>25</v>
      </c>
      <c r="K801" s="1" t="s">
        <v>26</v>
      </c>
      <c r="L801" s="1" t="s">
        <v>25</v>
      </c>
      <c r="M801" s="1" t="s">
        <v>25</v>
      </c>
      <c r="N801" s="1" t="s">
        <v>26</v>
      </c>
      <c r="O801" s="1" t="s">
        <v>25</v>
      </c>
      <c r="P801" s="1" t="s">
        <v>25</v>
      </c>
      <c r="Q801" s="1" t="s">
        <v>25</v>
      </c>
      <c r="R801" s="1" t="s">
        <v>25</v>
      </c>
      <c r="S801" s="2">
        <v>0</v>
      </c>
    </row>
    <row r="802" spans="1:19" x14ac:dyDescent="0.3">
      <c r="A802" t="s">
        <v>1621</v>
      </c>
      <c r="B802" s="5" t="e" cm="1">
        <f t="array" ref="B802">MAX(#REF!,MIN(#REF!,#REF!+SUMPRODUCT(--(FoodData[[#This Row],[Healthy]:[Refined]]="Yes"),#REF!)+FoodData[[#This Row],[Adjust]]))</f>
        <v>#REF!</v>
      </c>
      <c r="C802" s="1" t="e">
        <f>LOOKUP(FoodData[[#This Row],[Score]],#REF!,#REF!)</f>
        <v>#REF!</v>
      </c>
      <c r="D802" t="s">
        <v>1617</v>
      </c>
      <c r="E802" t="s">
        <v>28</v>
      </c>
      <c r="F802" t="s">
        <v>60</v>
      </c>
      <c r="G802" t="s">
        <v>23</v>
      </c>
      <c r="H802" t="s">
        <v>1622</v>
      </c>
      <c r="I802" s="1" t="s">
        <v>25</v>
      </c>
      <c r="J802" s="1" t="s">
        <v>25</v>
      </c>
      <c r="K802" s="1" t="s">
        <v>26</v>
      </c>
      <c r="L802" s="1" t="s">
        <v>25</v>
      </c>
      <c r="M802" s="1" t="s">
        <v>25</v>
      </c>
      <c r="N802" s="1" t="s">
        <v>26</v>
      </c>
      <c r="O802" s="1" t="s">
        <v>25</v>
      </c>
      <c r="P802" s="1" t="s">
        <v>25</v>
      </c>
      <c r="Q802" s="1" t="s">
        <v>25</v>
      </c>
      <c r="R802" s="1" t="s">
        <v>25</v>
      </c>
      <c r="S802" s="2">
        <v>0</v>
      </c>
    </row>
    <row r="803" spans="1:19" x14ac:dyDescent="0.3">
      <c r="A803" t="s">
        <v>1623</v>
      </c>
      <c r="B803" s="5" t="e" cm="1">
        <f t="array" ref="B803">MAX(#REF!,MIN(#REF!,#REF!+SUMPRODUCT(--(FoodData[[#This Row],[Healthy]:[Refined]]="Yes"),#REF!)+FoodData[[#This Row],[Adjust]]))</f>
        <v>#REF!</v>
      </c>
      <c r="C803" s="1" t="e">
        <f>LOOKUP(FoodData[[#This Row],[Score]],#REF!,#REF!)</f>
        <v>#REF!</v>
      </c>
      <c r="D803" t="s">
        <v>1617</v>
      </c>
      <c r="E803" t="s">
        <v>28</v>
      </c>
      <c r="F803" t="s">
        <v>60</v>
      </c>
      <c r="G803" t="s">
        <v>23</v>
      </c>
      <c r="H803" t="s">
        <v>1624</v>
      </c>
      <c r="I803" s="1" t="s">
        <v>25</v>
      </c>
      <c r="J803" s="1" t="s">
        <v>25</v>
      </c>
      <c r="K803" s="1" t="s">
        <v>26</v>
      </c>
      <c r="L803" s="1" t="s">
        <v>25</v>
      </c>
      <c r="M803" s="1" t="s">
        <v>25</v>
      </c>
      <c r="N803" s="1" t="s">
        <v>25</v>
      </c>
      <c r="O803" s="1" t="s">
        <v>25</v>
      </c>
      <c r="P803" s="1" t="s">
        <v>26</v>
      </c>
      <c r="Q803" s="1" t="s">
        <v>26</v>
      </c>
      <c r="R803" s="1" t="s">
        <v>25</v>
      </c>
      <c r="S803" s="2">
        <v>0</v>
      </c>
    </row>
    <row r="804" spans="1:19" x14ac:dyDescent="0.3">
      <c r="A804" t="s">
        <v>1625</v>
      </c>
      <c r="B804" s="5" t="e" cm="1">
        <f t="array" ref="B804">MAX(#REF!,MIN(#REF!,#REF!+SUMPRODUCT(--(FoodData[[#This Row],[Healthy]:[Refined]]="Yes"),#REF!)+FoodData[[#This Row],[Adjust]]))</f>
        <v>#REF!</v>
      </c>
      <c r="C804" s="1" t="e">
        <f>LOOKUP(FoodData[[#This Row],[Score]],#REF!,#REF!)</f>
        <v>#REF!</v>
      </c>
      <c r="D804" t="s">
        <v>1617</v>
      </c>
      <c r="E804" t="s">
        <v>28</v>
      </c>
      <c r="F804" t="s">
        <v>60</v>
      </c>
      <c r="G804" t="s">
        <v>23</v>
      </c>
      <c r="H804" t="s">
        <v>1626</v>
      </c>
      <c r="I804" s="1" t="s">
        <v>26</v>
      </c>
      <c r="J804" s="1" t="s">
        <v>25</v>
      </c>
      <c r="K804" s="1" t="s">
        <v>26</v>
      </c>
      <c r="L804" s="1" t="s">
        <v>25</v>
      </c>
      <c r="M804" s="1" t="s">
        <v>25</v>
      </c>
      <c r="N804" s="1" t="s">
        <v>26</v>
      </c>
      <c r="O804" s="1" t="s">
        <v>25</v>
      </c>
      <c r="P804" s="1" t="s">
        <v>25</v>
      </c>
      <c r="Q804" s="1" t="s">
        <v>25</v>
      </c>
      <c r="R804" s="1" t="s">
        <v>25</v>
      </c>
      <c r="S804" s="2">
        <v>0</v>
      </c>
    </row>
    <row r="805" spans="1:19" x14ac:dyDescent="0.3">
      <c r="A805" t="s">
        <v>1627</v>
      </c>
      <c r="B805" s="5" t="e" cm="1">
        <f t="array" ref="B805">MAX(#REF!,MIN(#REF!,#REF!+SUMPRODUCT(--(FoodData[[#This Row],[Healthy]:[Refined]]="Yes"),#REF!)+FoodData[[#This Row],[Adjust]]))</f>
        <v>#REF!</v>
      </c>
      <c r="C805" s="1" t="e">
        <f>LOOKUP(FoodData[[#This Row],[Score]],#REF!,#REF!)</f>
        <v>#REF!</v>
      </c>
      <c r="D805" t="s">
        <v>1617</v>
      </c>
      <c r="E805" t="s">
        <v>28</v>
      </c>
      <c r="F805" t="s">
        <v>60</v>
      </c>
      <c r="G805" t="s">
        <v>23</v>
      </c>
      <c r="H805" t="s">
        <v>1628</v>
      </c>
      <c r="I805" s="1" t="s">
        <v>25</v>
      </c>
      <c r="J805" s="1" t="s">
        <v>25</v>
      </c>
      <c r="K805" s="1" t="s">
        <v>26</v>
      </c>
      <c r="L805" s="1" t="s">
        <v>25</v>
      </c>
      <c r="M805" s="1" t="s">
        <v>25</v>
      </c>
      <c r="N805" s="1" t="s">
        <v>26</v>
      </c>
      <c r="O805" s="1" t="s">
        <v>25</v>
      </c>
      <c r="P805" s="1" t="s">
        <v>25</v>
      </c>
      <c r="Q805" s="1" t="s">
        <v>25</v>
      </c>
      <c r="R805" s="1" t="s">
        <v>25</v>
      </c>
      <c r="S805" s="2">
        <v>0</v>
      </c>
    </row>
    <row r="806" spans="1:19" x14ac:dyDescent="0.3">
      <c r="A806" t="s">
        <v>1629</v>
      </c>
      <c r="B806" s="5" t="e" cm="1">
        <f t="array" ref="B806">MAX(#REF!,MIN(#REF!,#REF!+SUMPRODUCT(--(FoodData[[#This Row],[Healthy]:[Refined]]="Yes"),#REF!)+FoodData[[#This Row],[Adjust]]))</f>
        <v>#REF!</v>
      </c>
      <c r="C806" s="1" t="e">
        <f>LOOKUP(FoodData[[#This Row],[Score]],#REF!,#REF!)</f>
        <v>#REF!</v>
      </c>
      <c r="D806" t="s">
        <v>1617</v>
      </c>
      <c r="E806" t="s">
        <v>28</v>
      </c>
      <c r="F806" t="s">
        <v>60</v>
      </c>
      <c r="G806" t="s">
        <v>29</v>
      </c>
      <c r="H806" t="s">
        <v>1630</v>
      </c>
      <c r="I806" s="1" t="s">
        <v>25</v>
      </c>
      <c r="J806" s="1" t="s">
        <v>25</v>
      </c>
      <c r="K806" s="1" t="s">
        <v>26</v>
      </c>
      <c r="L806" s="1" t="s">
        <v>25</v>
      </c>
      <c r="M806" s="1" t="s">
        <v>25</v>
      </c>
      <c r="N806" s="1" t="s">
        <v>25</v>
      </c>
      <c r="O806" s="1" t="s">
        <v>26</v>
      </c>
      <c r="P806" s="1" t="s">
        <v>25</v>
      </c>
      <c r="Q806" s="1" t="s">
        <v>25</v>
      </c>
      <c r="R806" s="1" t="s">
        <v>25</v>
      </c>
      <c r="S806" s="2">
        <v>0</v>
      </c>
    </row>
    <row r="807" spans="1:19" x14ac:dyDescent="0.3">
      <c r="A807" t="s">
        <v>1631</v>
      </c>
      <c r="B807" s="5" t="e" cm="1">
        <f t="array" ref="B807">MAX(#REF!,MIN(#REF!,#REF!+SUMPRODUCT(--(FoodData[[#This Row],[Healthy]:[Refined]]="Yes"),#REF!)+FoodData[[#This Row],[Adjust]]))</f>
        <v>#REF!</v>
      </c>
      <c r="C807" s="1" t="e">
        <f>LOOKUP(FoodData[[#This Row],[Score]],#REF!,#REF!)</f>
        <v>#REF!</v>
      </c>
      <c r="D807" t="s">
        <v>1617</v>
      </c>
      <c r="E807" t="s">
        <v>28</v>
      </c>
      <c r="F807" t="s">
        <v>60</v>
      </c>
      <c r="G807" t="s">
        <v>23</v>
      </c>
      <c r="H807" t="s">
        <v>1632</v>
      </c>
      <c r="I807" s="1" t="s">
        <v>25</v>
      </c>
      <c r="J807" s="1" t="s">
        <v>25</v>
      </c>
      <c r="K807" s="1" t="s">
        <v>26</v>
      </c>
      <c r="L807" s="1" t="s">
        <v>25</v>
      </c>
      <c r="M807" s="1" t="s">
        <v>25</v>
      </c>
      <c r="N807" s="1" t="s">
        <v>26</v>
      </c>
      <c r="O807" s="1" t="s">
        <v>25</v>
      </c>
      <c r="P807" s="1" t="s">
        <v>25</v>
      </c>
      <c r="Q807" s="1" t="s">
        <v>25</v>
      </c>
      <c r="R807" s="1" t="s">
        <v>25</v>
      </c>
      <c r="S807" s="2">
        <v>0</v>
      </c>
    </row>
    <row r="808" spans="1:19" x14ac:dyDescent="0.3">
      <c r="A808" t="s">
        <v>1633</v>
      </c>
      <c r="B808" s="5" t="e" cm="1">
        <f t="array" ref="B808">MAX(#REF!,MIN(#REF!,#REF!+SUMPRODUCT(--(FoodData[[#This Row],[Healthy]:[Refined]]="Yes"),#REF!)+FoodData[[#This Row],[Adjust]]))</f>
        <v>#REF!</v>
      </c>
      <c r="C808" s="1" t="e">
        <f>LOOKUP(FoodData[[#This Row],[Score]],#REF!,#REF!)</f>
        <v>#REF!</v>
      </c>
      <c r="D808" t="s">
        <v>1617</v>
      </c>
      <c r="E808" t="s">
        <v>28</v>
      </c>
      <c r="F808" t="s">
        <v>60</v>
      </c>
      <c r="G808" t="s">
        <v>23</v>
      </c>
      <c r="H808" t="s">
        <v>1634</v>
      </c>
      <c r="I808" s="1" t="s">
        <v>25</v>
      </c>
      <c r="J808" s="1" t="s">
        <v>25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25</v>
      </c>
      <c r="P808" s="1" t="s">
        <v>25</v>
      </c>
      <c r="Q808" s="1" t="s">
        <v>25</v>
      </c>
      <c r="R808" s="1" t="s">
        <v>25</v>
      </c>
      <c r="S808" s="2">
        <v>0</v>
      </c>
    </row>
    <row r="809" spans="1:19" x14ac:dyDescent="0.3">
      <c r="A809" t="s">
        <v>1635</v>
      </c>
      <c r="B809" s="5" t="e" cm="1">
        <f t="array" ref="B809">MAX(#REF!,MIN(#REF!,#REF!+SUMPRODUCT(--(FoodData[[#This Row],[Healthy]:[Refined]]="Yes"),#REF!)+FoodData[[#This Row],[Adjust]]))</f>
        <v>#REF!</v>
      </c>
      <c r="C809" s="1" t="e">
        <f>LOOKUP(FoodData[[#This Row],[Score]],#REF!,#REF!)</f>
        <v>#REF!</v>
      </c>
      <c r="D809" t="s">
        <v>1617</v>
      </c>
      <c r="E809" t="s">
        <v>28</v>
      </c>
      <c r="F809" t="s">
        <v>60</v>
      </c>
      <c r="G809" t="s">
        <v>29</v>
      </c>
      <c r="H809" t="s">
        <v>1636</v>
      </c>
      <c r="I809" s="1" t="s">
        <v>26</v>
      </c>
      <c r="J809" s="1" t="s">
        <v>26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25</v>
      </c>
      <c r="Q809" s="1" t="s">
        <v>25</v>
      </c>
      <c r="R809" s="1" t="s">
        <v>25</v>
      </c>
      <c r="S809" s="2">
        <v>0</v>
      </c>
    </row>
    <row r="810" spans="1:19" x14ac:dyDescent="0.3">
      <c r="A810" t="s">
        <v>1637</v>
      </c>
      <c r="B810" s="5" t="e" cm="1">
        <f t="array" ref="B810">MAX(#REF!,MIN(#REF!,#REF!+SUMPRODUCT(--(FoodData[[#This Row],[Healthy]:[Refined]]="Yes"),#REF!)+FoodData[[#This Row],[Adjust]]))</f>
        <v>#REF!</v>
      </c>
      <c r="C810" s="1" t="e">
        <f>LOOKUP(FoodData[[#This Row],[Score]],#REF!,#REF!)</f>
        <v>#REF!</v>
      </c>
      <c r="D810" t="s">
        <v>1617</v>
      </c>
      <c r="E810" t="s">
        <v>21</v>
      </c>
      <c r="F810" t="s">
        <v>60</v>
      </c>
      <c r="G810" t="s">
        <v>29</v>
      </c>
      <c r="H810" t="s">
        <v>1638</v>
      </c>
      <c r="I810" s="1" t="s">
        <v>26</v>
      </c>
      <c r="J810" s="1" t="s">
        <v>26</v>
      </c>
      <c r="K810" s="1" t="s">
        <v>26</v>
      </c>
      <c r="L810" s="1" t="s">
        <v>25</v>
      </c>
      <c r="M810" s="1" t="s">
        <v>25</v>
      </c>
      <c r="N810" s="1" t="s">
        <v>25</v>
      </c>
      <c r="O810" s="1" t="s">
        <v>25</v>
      </c>
      <c r="P810" s="1" t="s">
        <v>25</v>
      </c>
      <c r="Q810" s="1" t="s">
        <v>25</v>
      </c>
      <c r="R810" s="1" t="s">
        <v>25</v>
      </c>
      <c r="S810" s="2">
        <v>0</v>
      </c>
    </row>
    <row r="811" spans="1:19" x14ac:dyDescent="0.3">
      <c r="A811" t="s">
        <v>1639</v>
      </c>
      <c r="B811" s="5" t="e" cm="1">
        <f t="array" ref="B811">MAX(#REF!,MIN(#REF!,#REF!+SUMPRODUCT(--(FoodData[[#This Row],[Healthy]:[Refined]]="Yes"),#REF!)+FoodData[[#This Row],[Adjust]]))</f>
        <v>#REF!</v>
      </c>
      <c r="C811" s="1" t="e">
        <f>LOOKUP(FoodData[[#This Row],[Score]],#REF!,#REF!)</f>
        <v>#REF!</v>
      </c>
      <c r="D811" t="s">
        <v>1617</v>
      </c>
      <c r="E811" t="s">
        <v>28</v>
      </c>
      <c r="F811" t="s">
        <v>60</v>
      </c>
      <c r="G811" t="s">
        <v>23</v>
      </c>
      <c r="H811" t="s">
        <v>1640</v>
      </c>
      <c r="I811" s="1" t="s">
        <v>25</v>
      </c>
      <c r="J811" s="1" t="s">
        <v>25</v>
      </c>
      <c r="K811" s="1" t="s">
        <v>26</v>
      </c>
      <c r="L811" s="1" t="s">
        <v>25</v>
      </c>
      <c r="M811" s="1" t="s">
        <v>25</v>
      </c>
      <c r="N811" s="1" t="s">
        <v>26</v>
      </c>
      <c r="O811" s="1" t="s">
        <v>25</v>
      </c>
      <c r="P811" s="1" t="s">
        <v>26</v>
      </c>
      <c r="Q811" s="1" t="s">
        <v>25</v>
      </c>
      <c r="R811" s="1" t="s">
        <v>25</v>
      </c>
      <c r="S811" s="2">
        <v>0</v>
      </c>
    </row>
    <row r="812" spans="1:19" x14ac:dyDescent="0.3">
      <c r="A812" t="s">
        <v>1641</v>
      </c>
      <c r="B812" s="5" t="e" cm="1">
        <f t="array" ref="B812">MAX(#REF!,MIN(#REF!,#REF!+SUMPRODUCT(--(FoodData[[#This Row],[Healthy]:[Refined]]="Yes"),#REF!)+FoodData[[#This Row],[Adjust]]))</f>
        <v>#REF!</v>
      </c>
      <c r="C812" s="1" t="e">
        <f>LOOKUP(FoodData[[#This Row],[Score]],#REF!,#REF!)</f>
        <v>#REF!</v>
      </c>
      <c r="D812" t="s">
        <v>1617</v>
      </c>
      <c r="E812" t="s">
        <v>28</v>
      </c>
      <c r="F812" t="s">
        <v>60</v>
      </c>
      <c r="G812" t="s">
        <v>23</v>
      </c>
      <c r="H812" t="s">
        <v>1642</v>
      </c>
      <c r="I812" s="1" t="s">
        <v>25</v>
      </c>
      <c r="J812" s="1" t="s">
        <v>25</v>
      </c>
      <c r="K812" s="1" t="s">
        <v>26</v>
      </c>
      <c r="L812" s="1" t="s">
        <v>25</v>
      </c>
      <c r="M812" s="1" t="s">
        <v>25</v>
      </c>
      <c r="N812" s="1" t="s">
        <v>25</v>
      </c>
      <c r="O812" s="1" t="s">
        <v>25</v>
      </c>
      <c r="P812" s="1" t="s">
        <v>26</v>
      </c>
      <c r="Q812" s="1" t="s">
        <v>26</v>
      </c>
      <c r="R812" s="1" t="s">
        <v>25</v>
      </c>
      <c r="S812" s="2">
        <v>0</v>
      </c>
    </row>
    <row r="813" spans="1:19" x14ac:dyDescent="0.3">
      <c r="A813" t="s">
        <v>1643</v>
      </c>
      <c r="B813" s="5" t="e" cm="1">
        <f t="array" ref="B813">MAX(#REF!,MIN(#REF!,#REF!+SUMPRODUCT(--(FoodData[[#This Row],[Healthy]:[Refined]]="Yes"),#REF!)+FoodData[[#This Row],[Adjust]]))</f>
        <v>#REF!</v>
      </c>
      <c r="C813" s="1" t="e">
        <f>LOOKUP(FoodData[[#This Row],[Score]],#REF!,#REF!)</f>
        <v>#REF!</v>
      </c>
      <c r="D813" t="s">
        <v>1617</v>
      </c>
      <c r="E813" t="s">
        <v>28</v>
      </c>
      <c r="F813" t="s">
        <v>60</v>
      </c>
      <c r="G813" t="s">
        <v>23</v>
      </c>
      <c r="H813" t="s">
        <v>1644</v>
      </c>
      <c r="I813" s="1" t="s">
        <v>26</v>
      </c>
      <c r="J813" s="1" t="s">
        <v>25</v>
      </c>
      <c r="K813" s="1" t="s">
        <v>26</v>
      </c>
      <c r="L813" s="1" t="s">
        <v>25</v>
      </c>
      <c r="M813" s="1" t="s">
        <v>25</v>
      </c>
      <c r="N813" s="1" t="s">
        <v>25</v>
      </c>
      <c r="O813" s="1" t="s">
        <v>25</v>
      </c>
      <c r="P813" s="1" t="s">
        <v>25</v>
      </c>
      <c r="Q813" s="1" t="s">
        <v>25</v>
      </c>
      <c r="R813" s="1" t="s">
        <v>25</v>
      </c>
      <c r="S813" s="2">
        <v>0</v>
      </c>
    </row>
    <row r="814" spans="1:19" x14ac:dyDescent="0.3">
      <c r="A814" t="s">
        <v>1645</v>
      </c>
      <c r="B814" s="5" t="e" cm="1">
        <f t="array" ref="B814">MAX(#REF!,MIN(#REF!,#REF!+SUMPRODUCT(--(FoodData[[#This Row],[Healthy]:[Refined]]="Yes"),#REF!)+FoodData[[#This Row],[Adjust]]))</f>
        <v>#REF!</v>
      </c>
      <c r="C814" s="1" t="e">
        <f>LOOKUP(FoodData[[#This Row],[Score]],#REF!,#REF!)</f>
        <v>#REF!</v>
      </c>
      <c r="D814" t="s">
        <v>1617</v>
      </c>
      <c r="E814" t="s">
        <v>28</v>
      </c>
      <c r="F814" t="s">
        <v>60</v>
      </c>
      <c r="G814" t="s">
        <v>23</v>
      </c>
      <c r="H814" t="s">
        <v>1646</v>
      </c>
      <c r="I814" s="1" t="s">
        <v>25</v>
      </c>
      <c r="J814" s="1" t="s">
        <v>25</v>
      </c>
      <c r="K814" s="1" t="s">
        <v>26</v>
      </c>
      <c r="L814" s="1" t="s">
        <v>26</v>
      </c>
      <c r="M814" s="1" t="s">
        <v>25</v>
      </c>
      <c r="N814" s="1" t="s">
        <v>25</v>
      </c>
      <c r="O814" s="1" t="s">
        <v>26</v>
      </c>
      <c r="P814" s="1" t="s">
        <v>25</v>
      </c>
      <c r="Q814" s="1" t="s">
        <v>25</v>
      </c>
      <c r="R814" s="1" t="s">
        <v>25</v>
      </c>
      <c r="S814" s="2">
        <v>0</v>
      </c>
    </row>
    <row r="815" spans="1:19" x14ac:dyDescent="0.3">
      <c r="A815" t="s">
        <v>1647</v>
      </c>
      <c r="B815" s="5" t="e" cm="1">
        <f t="array" ref="B815">MAX(#REF!,MIN(#REF!,#REF!+SUMPRODUCT(--(FoodData[[#This Row],[Healthy]:[Refined]]="Yes"),#REF!)+FoodData[[#This Row],[Adjust]]))</f>
        <v>#REF!</v>
      </c>
      <c r="C815" s="1" t="e">
        <f>LOOKUP(FoodData[[#This Row],[Score]],#REF!,#REF!)</f>
        <v>#REF!</v>
      </c>
      <c r="D815" t="s">
        <v>1617</v>
      </c>
      <c r="E815" t="s">
        <v>28</v>
      </c>
      <c r="F815" t="s">
        <v>60</v>
      </c>
      <c r="G815" t="s">
        <v>23</v>
      </c>
      <c r="H815" t="s">
        <v>1648</v>
      </c>
      <c r="I815" s="1" t="s">
        <v>25</v>
      </c>
      <c r="J815" s="1" t="s">
        <v>25</v>
      </c>
      <c r="K815" s="1" t="s">
        <v>26</v>
      </c>
      <c r="L815" s="1" t="s">
        <v>25</v>
      </c>
      <c r="M815" s="1" t="s">
        <v>25</v>
      </c>
      <c r="N815" s="1" t="s">
        <v>26</v>
      </c>
      <c r="O815" s="1" t="s">
        <v>26</v>
      </c>
      <c r="P815" s="1" t="s">
        <v>25</v>
      </c>
      <c r="Q815" s="1" t="s">
        <v>25</v>
      </c>
      <c r="R815" s="1" t="s">
        <v>25</v>
      </c>
      <c r="S815" s="2">
        <v>0</v>
      </c>
    </row>
    <row r="816" spans="1:19" x14ac:dyDescent="0.3">
      <c r="A816" t="s">
        <v>1649</v>
      </c>
      <c r="B816" s="5" t="e" cm="1">
        <f t="array" ref="B816">MAX(#REF!,MIN(#REF!,#REF!+SUMPRODUCT(--(FoodData[[#This Row],[Healthy]:[Refined]]="Yes"),#REF!)+FoodData[[#This Row],[Adjust]]))</f>
        <v>#REF!</v>
      </c>
      <c r="C816" s="1" t="e">
        <f>LOOKUP(FoodData[[#This Row],[Score]],#REF!,#REF!)</f>
        <v>#REF!</v>
      </c>
      <c r="D816" t="s">
        <v>1617</v>
      </c>
      <c r="E816" t="s">
        <v>28</v>
      </c>
      <c r="F816" t="s">
        <v>60</v>
      </c>
      <c r="G816" t="s">
        <v>23</v>
      </c>
      <c r="H816" t="s">
        <v>1650</v>
      </c>
      <c r="I816" s="1" t="s">
        <v>25</v>
      </c>
      <c r="J816" s="1" t="s">
        <v>25</v>
      </c>
      <c r="K816" s="1" t="s">
        <v>26</v>
      </c>
      <c r="L816" s="1" t="s">
        <v>25</v>
      </c>
      <c r="M816" s="1" t="s">
        <v>25</v>
      </c>
      <c r="N816" s="1" t="s">
        <v>26</v>
      </c>
      <c r="O816" s="1" t="s">
        <v>26</v>
      </c>
      <c r="P816" s="1" t="s">
        <v>25</v>
      </c>
      <c r="Q816" s="1" t="s">
        <v>25</v>
      </c>
      <c r="R816" s="1" t="s">
        <v>25</v>
      </c>
      <c r="S816" s="2">
        <v>0</v>
      </c>
    </row>
    <row r="817" spans="1:19" x14ac:dyDescent="0.3">
      <c r="A817" t="s">
        <v>1651</v>
      </c>
      <c r="B817" s="5" t="e" cm="1">
        <f t="array" ref="B817">MAX(#REF!,MIN(#REF!,#REF!+SUMPRODUCT(--(FoodData[[#This Row],[Healthy]:[Refined]]="Yes"),#REF!)+FoodData[[#This Row],[Adjust]]))</f>
        <v>#REF!</v>
      </c>
      <c r="C817" s="1" t="e">
        <f>LOOKUP(FoodData[[#This Row],[Score]],#REF!,#REF!)</f>
        <v>#REF!</v>
      </c>
      <c r="D817" t="s">
        <v>1617</v>
      </c>
      <c r="E817" t="s">
        <v>199</v>
      </c>
      <c r="F817" t="s">
        <v>60</v>
      </c>
      <c r="G817" t="s">
        <v>23</v>
      </c>
      <c r="H817" t="s">
        <v>1652</v>
      </c>
      <c r="I817" s="1" t="s">
        <v>25</v>
      </c>
      <c r="J817" s="1" t="s">
        <v>25</v>
      </c>
      <c r="K817" s="1" t="s">
        <v>26</v>
      </c>
      <c r="L817" s="1" t="s">
        <v>26</v>
      </c>
      <c r="M817" s="1" t="s">
        <v>25</v>
      </c>
      <c r="N817" s="1" t="s">
        <v>26</v>
      </c>
      <c r="O817" s="1" t="s">
        <v>25</v>
      </c>
      <c r="P817" s="1" t="s">
        <v>26</v>
      </c>
      <c r="Q817" s="1" t="s">
        <v>26</v>
      </c>
      <c r="R817" s="1" t="s">
        <v>25</v>
      </c>
      <c r="S817" s="2">
        <v>0</v>
      </c>
    </row>
    <row r="818" spans="1:19" x14ac:dyDescent="0.3">
      <c r="A818" t="s">
        <v>1653</v>
      </c>
      <c r="B818" s="5" t="e" cm="1">
        <f t="array" ref="B818">MAX(#REF!,MIN(#REF!,#REF!+SUMPRODUCT(--(FoodData[[#This Row],[Healthy]:[Refined]]="Yes"),#REF!)+FoodData[[#This Row],[Adjust]]))</f>
        <v>#REF!</v>
      </c>
      <c r="C818" s="1" t="e">
        <f>LOOKUP(FoodData[[#This Row],[Score]],#REF!,#REF!)</f>
        <v>#REF!</v>
      </c>
      <c r="D818" t="s">
        <v>1617</v>
      </c>
      <c r="E818" t="s">
        <v>199</v>
      </c>
      <c r="F818" t="s">
        <v>60</v>
      </c>
      <c r="G818" t="s">
        <v>23</v>
      </c>
      <c r="H818" t="s">
        <v>1654</v>
      </c>
      <c r="I818" s="1" t="s">
        <v>26</v>
      </c>
      <c r="J818" s="1" t="s">
        <v>26</v>
      </c>
      <c r="K818" s="1" t="s">
        <v>26</v>
      </c>
      <c r="L818" s="1" t="s">
        <v>26</v>
      </c>
      <c r="M818" s="1" t="s">
        <v>25</v>
      </c>
      <c r="N818" s="1" t="s">
        <v>25</v>
      </c>
      <c r="O818" s="1" t="s">
        <v>25</v>
      </c>
      <c r="P818" s="1" t="s">
        <v>25</v>
      </c>
      <c r="Q818" s="1" t="s">
        <v>25</v>
      </c>
      <c r="R818" s="1" t="s">
        <v>26</v>
      </c>
      <c r="S818" s="2">
        <v>0</v>
      </c>
    </row>
    <row r="819" spans="1:19" x14ac:dyDescent="0.3">
      <c r="A819" t="s">
        <v>1655</v>
      </c>
      <c r="B819" s="5" t="e" cm="1">
        <f t="array" ref="B819">MAX(#REF!,MIN(#REF!,#REF!+SUMPRODUCT(--(FoodData[[#This Row],[Healthy]:[Refined]]="Yes"),#REF!)+FoodData[[#This Row],[Adjust]]))</f>
        <v>#REF!</v>
      </c>
      <c r="C819" s="1" t="e">
        <f>LOOKUP(FoodData[[#This Row],[Score]],#REF!,#REF!)</f>
        <v>#REF!</v>
      </c>
      <c r="D819" t="s">
        <v>1617</v>
      </c>
      <c r="E819" t="s">
        <v>28</v>
      </c>
      <c r="F819" t="s">
        <v>60</v>
      </c>
      <c r="G819" t="s">
        <v>23</v>
      </c>
      <c r="H819" t="s">
        <v>1656</v>
      </c>
      <c r="I819" s="1" t="s">
        <v>25</v>
      </c>
      <c r="J819" s="1" t="s">
        <v>25</v>
      </c>
      <c r="K819" s="1" t="s">
        <v>26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25</v>
      </c>
      <c r="Q819" s="1" t="s">
        <v>26</v>
      </c>
      <c r="R819" s="1" t="s">
        <v>26</v>
      </c>
      <c r="S819" s="2">
        <v>0</v>
      </c>
    </row>
    <row r="820" spans="1:19" x14ac:dyDescent="0.3">
      <c r="A820" t="s">
        <v>1657</v>
      </c>
      <c r="B820" s="5" t="e" cm="1">
        <f t="array" ref="B820">MAX(#REF!,MIN(#REF!,#REF!+SUMPRODUCT(--(FoodData[[#This Row],[Healthy]:[Refined]]="Yes"),#REF!)+FoodData[[#This Row],[Adjust]]))</f>
        <v>#REF!</v>
      </c>
      <c r="C820" s="1" t="e">
        <f>LOOKUP(FoodData[[#This Row],[Score]],#REF!,#REF!)</f>
        <v>#REF!</v>
      </c>
      <c r="D820" t="s">
        <v>1617</v>
      </c>
      <c r="E820" t="s">
        <v>28</v>
      </c>
      <c r="F820" t="s">
        <v>60</v>
      </c>
      <c r="G820" t="s">
        <v>23</v>
      </c>
      <c r="H820" t="s">
        <v>1658</v>
      </c>
      <c r="I820" s="1" t="s">
        <v>25</v>
      </c>
      <c r="J820" s="1" t="s">
        <v>25</v>
      </c>
      <c r="K820" s="1" t="s">
        <v>26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26</v>
      </c>
      <c r="Q820" s="1" t="s">
        <v>26</v>
      </c>
      <c r="R820" s="1" t="s">
        <v>25</v>
      </c>
      <c r="S820" s="2">
        <v>0</v>
      </c>
    </row>
    <row r="821" spans="1:19" x14ac:dyDescent="0.3">
      <c r="A821" t="s">
        <v>1659</v>
      </c>
      <c r="B821" s="5" t="e" cm="1">
        <f t="array" ref="B821">MAX(#REF!,MIN(#REF!,#REF!+SUMPRODUCT(--(FoodData[[#This Row],[Healthy]:[Refined]]="Yes"),#REF!)+FoodData[[#This Row],[Adjust]]))</f>
        <v>#REF!</v>
      </c>
      <c r="C821" s="1" t="e">
        <f>LOOKUP(FoodData[[#This Row],[Score]],#REF!,#REF!)</f>
        <v>#REF!</v>
      </c>
      <c r="D821" t="s">
        <v>1617</v>
      </c>
      <c r="E821" t="s">
        <v>28</v>
      </c>
      <c r="F821" t="s">
        <v>60</v>
      </c>
      <c r="G821" t="s">
        <v>23</v>
      </c>
      <c r="H821" t="s">
        <v>1660</v>
      </c>
      <c r="I821" s="1" t="s">
        <v>26</v>
      </c>
      <c r="J821" s="1" t="s">
        <v>25</v>
      </c>
      <c r="K821" s="1" t="s">
        <v>26</v>
      </c>
      <c r="L821" s="1" t="s">
        <v>25</v>
      </c>
      <c r="M821" s="1" t="s">
        <v>25</v>
      </c>
      <c r="N821" s="1" t="s">
        <v>25</v>
      </c>
      <c r="O821" s="1" t="s">
        <v>25</v>
      </c>
      <c r="P821" s="1" t="s">
        <v>25</v>
      </c>
      <c r="Q821" s="1" t="s">
        <v>25</v>
      </c>
      <c r="R821" s="1" t="s">
        <v>25</v>
      </c>
      <c r="S821" s="2">
        <v>0</v>
      </c>
    </row>
    <row r="822" spans="1:19" x14ac:dyDescent="0.3">
      <c r="A822" t="s">
        <v>1661</v>
      </c>
      <c r="B822" s="5" t="e" cm="1">
        <f t="array" ref="B822">MAX(#REF!,MIN(#REF!,#REF!+SUMPRODUCT(--(FoodData[[#This Row],[Healthy]:[Refined]]="Yes"),#REF!)+FoodData[[#This Row],[Adjust]]))</f>
        <v>#REF!</v>
      </c>
      <c r="C822" s="1" t="e">
        <f>LOOKUP(FoodData[[#This Row],[Score]],#REF!,#REF!)</f>
        <v>#REF!</v>
      </c>
      <c r="D822" t="s">
        <v>1617</v>
      </c>
      <c r="E822" t="s">
        <v>28</v>
      </c>
      <c r="F822" t="s">
        <v>60</v>
      </c>
      <c r="G822" t="s">
        <v>23</v>
      </c>
      <c r="H822" t="s">
        <v>1662</v>
      </c>
      <c r="I822" s="1" t="s">
        <v>25</v>
      </c>
      <c r="J822" s="1" t="s">
        <v>25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26</v>
      </c>
      <c r="P822" s="1" t="s">
        <v>25</v>
      </c>
      <c r="Q822" s="1" t="s">
        <v>25</v>
      </c>
      <c r="R822" s="1" t="s">
        <v>25</v>
      </c>
      <c r="S822" s="2">
        <v>0</v>
      </c>
    </row>
    <row r="823" spans="1:19" x14ac:dyDescent="0.3">
      <c r="A823" t="s">
        <v>1663</v>
      </c>
      <c r="B823" s="5" t="e" cm="1">
        <f t="array" ref="B823">MAX(#REF!,MIN(#REF!,#REF!+SUMPRODUCT(--(FoodData[[#This Row],[Healthy]:[Refined]]="Yes"),#REF!)+FoodData[[#This Row],[Adjust]]))</f>
        <v>#REF!</v>
      </c>
      <c r="C823" s="1" t="e">
        <f>LOOKUP(FoodData[[#This Row],[Score]],#REF!,#REF!)</f>
        <v>#REF!</v>
      </c>
      <c r="D823" t="s">
        <v>1617</v>
      </c>
      <c r="E823" t="s">
        <v>28</v>
      </c>
      <c r="F823" t="s">
        <v>60</v>
      </c>
      <c r="G823" t="s">
        <v>23</v>
      </c>
      <c r="H823" t="s">
        <v>1664</v>
      </c>
      <c r="I823" s="1" t="s">
        <v>25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26</v>
      </c>
      <c r="O823" s="1" t="s">
        <v>25</v>
      </c>
      <c r="P823" s="1" t="s">
        <v>25</v>
      </c>
      <c r="Q823" s="1" t="s">
        <v>25</v>
      </c>
      <c r="R823" s="1" t="s">
        <v>25</v>
      </c>
      <c r="S823" s="2">
        <v>0</v>
      </c>
    </row>
    <row r="824" spans="1:19" x14ac:dyDescent="0.3">
      <c r="A824" t="s">
        <v>1665</v>
      </c>
      <c r="B824" s="5" t="e" cm="1">
        <f t="array" ref="B824">MAX(#REF!,MIN(#REF!,#REF!+SUMPRODUCT(--(FoodData[[#This Row],[Healthy]:[Refined]]="Yes"),#REF!)+FoodData[[#This Row],[Adjust]]))</f>
        <v>#REF!</v>
      </c>
      <c r="C824" s="1" t="e">
        <f>LOOKUP(FoodData[[#This Row],[Score]],#REF!,#REF!)</f>
        <v>#REF!</v>
      </c>
      <c r="D824" t="s">
        <v>1617</v>
      </c>
      <c r="E824" t="s">
        <v>28</v>
      </c>
      <c r="F824" t="s">
        <v>60</v>
      </c>
      <c r="G824" t="s">
        <v>23</v>
      </c>
      <c r="H824" t="s">
        <v>1666</v>
      </c>
      <c r="I824" s="1" t="s">
        <v>25</v>
      </c>
      <c r="J824" s="1" t="s">
        <v>25</v>
      </c>
      <c r="K824" s="1" t="s">
        <v>26</v>
      </c>
      <c r="L824" s="1" t="s">
        <v>25</v>
      </c>
      <c r="M824" s="1" t="s">
        <v>25</v>
      </c>
      <c r="N824" s="1" t="s">
        <v>26</v>
      </c>
      <c r="O824" s="1" t="s">
        <v>26</v>
      </c>
      <c r="P824" s="1" t="s">
        <v>25</v>
      </c>
      <c r="Q824" s="1" t="s">
        <v>25</v>
      </c>
      <c r="R824" s="1" t="s">
        <v>25</v>
      </c>
      <c r="S824" s="2">
        <v>0</v>
      </c>
    </row>
    <row r="825" spans="1:19" x14ac:dyDescent="0.3">
      <c r="A825" t="s">
        <v>1667</v>
      </c>
      <c r="B825" s="5" t="e" cm="1">
        <f t="array" ref="B825">MAX(#REF!,MIN(#REF!,#REF!+SUMPRODUCT(--(FoodData[[#This Row],[Healthy]:[Refined]]="Yes"),#REF!)+FoodData[[#This Row],[Adjust]]))</f>
        <v>#REF!</v>
      </c>
      <c r="C825" s="1" t="e">
        <f>LOOKUP(FoodData[[#This Row],[Score]],#REF!,#REF!)</f>
        <v>#REF!</v>
      </c>
      <c r="D825" t="s">
        <v>1617</v>
      </c>
      <c r="E825" t="s">
        <v>28</v>
      </c>
      <c r="F825" t="s">
        <v>60</v>
      </c>
      <c r="G825" t="s">
        <v>23</v>
      </c>
      <c r="H825" t="s">
        <v>1668</v>
      </c>
      <c r="I825" s="1" t="s">
        <v>25</v>
      </c>
      <c r="J825" s="1" t="s">
        <v>25</v>
      </c>
      <c r="K825" s="1" t="s">
        <v>26</v>
      </c>
      <c r="L825" s="1" t="s">
        <v>25</v>
      </c>
      <c r="M825" s="1" t="s">
        <v>25</v>
      </c>
      <c r="N825" s="1" t="s">
        <v>26</v>
      </c>
      <c r="O825" s="1" t="s">
        <v>25</v>
      </c>
      <c r="P825" s="1" t="s">
        <v>25</v>
      </c>
      <c r="Q825" s="1" t="s">
        <v>25</v>
      </c>
      <c r="R825" s="1" t="s">
        <v>25</v>
      </c>
      <c r="S825" s="2">
        <v>0</v>
      </c>
    </row>
    <row r="826" spans="1:19" x14ac:dyDescent="0.3">
      <c r="A826" t="s">
        <v>1669</v>
      </c>
      <c r="B826" s="5" t="e" cm="1">
        <f t="array" ref="B826">MAX(#REF!,MIN(#REF!,#REF!+SUMPRODUCT(--(FoodData[[#This Row],[Healthy]:[Refined]]="Yes"),#REF!)+FoodData[[#This Row],[Adjust]]))</f>
        <v>#REF!</v>
      </c>
      <c r="C826" s="1" t="e">
        <f>LOOKUP(FoodData[[#This Row],[Score]],#REF!,#REF!)</f>
        <v>#REF!</v>
      </c>
      <c r="D826" t="s">
        <v>1617</v>
      </c>
      <c r="E826" t="s">
        <v>28</v>
      </c>
      <c r="F826" t="s">
        <v>60</v>
      </c>
      <c r="G826" t="s">
        <v>23</v>
      </c>
      <c r="H826" t="s">
        <v>1670</v>
      </c>
      <c r="I826" s="1" t="s">
        <v>26</v>
      </c>
      <c r="J826" s="1" t="s">
        <v>25</v>
      </c>
      <c r="K826" s="1" t="s">
        <v>26</v>
      </c>
      <c r="L826" s="1" t="s">
        <v>25</v>
      </c>
      <c r="M826" s="1" t="s">
        <v>25</v>
      </c>
      <c r="N826" s="1" t="s">
        <v>26</v>
      </c>
      <c r="O826" s="1" t="s">
        <v>25</v>
      </c>
      <c r="P826" s="1" t="s">
        <v>25</v>
      </c>
      <c r="Q826" s="1" t="s">
        <v>25</v>
      </c>
      <c r="R826" s="1" t="s">
        <v>25</v>
      </c>
      <c r="S826" s="2">
        <v>0</v>
      </c>
    </row>
    <row r="827" spans="1:19" x14ac:dyDescent="0.3">
      <c r="A827" t="s">
        <v>1671</v>
      </c>
      <c r="B827" s="5" t="e" cm="1">
        <f t="array" ref="B827">MAX(#REF!,MIN(#REF!,#REF!+SUMPRODUCT(--(FoodData[[#This Row],[Healthy]:[Refined]]="Yes"),#REF!)+FoodData[[#This Row],[Adjust]]))</f>
        <v>#REF!</v>
      </c>
      <c r="C827" s="1" t="e">
        <f>LOOKUP(FoodData[[#This Row],[Score]],#REF!,#REF!)</f>
        <v>#REF!</v>
      </c>
      <c r="D827" t="s">
        <v>1617</v>
      </c>
      <c r="E827" t="s">
        <v>28</v>
      </c>
      <c r="F827" t="s">
        <v>60</v>
      </c>
      <c r="G827" t="s">
        <v>23</v>
      </c>
      <c r="H827" t="s">
        <v>1672</v>
      </c>
      <c r="I827" s="1" t="s">
        <v>26</v>
      </c>
      <c r="J827" s="1" t="s">
        <v>25</v>
      </c>
      <c r="K827" s="1" t="s">
        <v>26</v>
      </c>
      <c r="L827" s="1" t="s">
        <v>25</v>
      </c>
      <c r="M827" s="1" t="s">
        <v>25</v>
      </c>
      <c r="N827" s="1" t="s">
        <v>26</v>
      </c>
      <c r="O827" s="1" t="s">
        <v>25</v>
      </c>
      <c r="P827" s="1" t="s">
        <v>25</v>
      </c>
      <c r="Q827" s="1" t="s">
        <v>25</v>
      </c>
      <c r="R827" s="1" t="s">
        <v>25</v>
      </c>
      <c r="S827" s="2">
        <v>0</v>
      </c>
    </row>
    <row r="828" spans="1:19" x14ac:dyDescent="0.3">
      <c r="A828" t="s">
        <v>1673</v>
      </c>
      <c r="B828" s="5" t="e" cm="1">
        <f t="array" ref="B828">MAX(#REF!,MIN(#REF!,#REF!+SUMPRODUCT(--(FoodData[[#This Row],[Healthy]:[Refined]]="Yes"),#REF!)+FoodData[[#This Row],[Adjust]]))</f>
        <v>#REF!</v>
      </c>
      <c r="C828" s="1" t="e">
        <f>LOOKUP(FoodData[[#This Row],[Score]],#REF!,#REF!)</f>
        <v>#REF!</v>
      </c>
      <c r="D828" t="s">
        <v>1617</v>
      </c>
      <c r="E828" t="s">
        <v>28</v>
      </c>
      <c r="F828" t="s">
        <v>60</v>
      </c>
      <c r="G828" t="s">
        <v>23</v>
      </c>
      <c r="H828" t="s">
        <v>1672</v>
      </c>
      <c r="I828" s="1" t="s">
        <v>26</v>
      </c>
      <c r="J828" s="1" t="s">
        <v>25</v>
      </c>
      <c r="K828" s="1" t="s">
        <v>26</v>
      </c>
      <c r="L828" s="1" t="s">
        <v>25</v>
      </c>
      <c r="M828" s="1" t="s">
        <v>25</v>
      </c>
      <c r="N828" s="1" t="s">
        <v>26</v>
      </c>
      <c r="O828" s="1" t="s">
        <v>25</v>
      </c>
      <c r="P828" s="1" t="s">
        <v>25</v>
      </c>
      <c r="Q828" s="1" t="s">
        <v>25</v>
      </c>
      <c r="R828" s="1" t="s">
        <v>25</v>
      </c>
      <c r="S828" s="2">
        <v>0</v>
      </c>
    </row>
    <row r="829" spans="1:19" x14ac:dyDescent="0.3">
      <c r="A829" t="s">
        <v>1674</v>
      </c>
      <c r="B829" s="5" t="e" cm="1">
        <f t="array" ref="B829">MAX(#REF!,MIN(#REF!,#REF!+SUMPRODUCT(--(FoodData[[#This Row],[Healthy]:[Refined]]="Yes"),#REF!)+FoodData[[#This Row],[Adjust]]))</f>
        <v>#REF!</v>
      </c>
      <c r="C829" s="1" t="e">
        <f>LOOKUP(FoodData[[#This Row],[Score]],#REF!,#REF!)</f>
        <v>#REF!</v>
      </c>
      <c r="D829" t="s">
        <v>1617</v>
      </c>
      <c r="E829" t="s">
        <v>28</v>
      </c>
      <c r="F829" t="s">
        <v>60</v>
      </c>
      <c r="G829" t="s">
        <v>23</v>
      </c>
      <c r="H829" t="s">
        <v>1675</v>
      </c>
      <c r="I829" s="1" t="s">
        <v>25</v>
      </c>
      <c r="J829" s="1" t="s">
        <v>25</v>
      </c>
      <c r="K829" s="1" t="s">
        <v>26</v>
      </c>
      <c r="L829" s="1" t="s">
        <v>25</v>
      </c>
      <c r="M829" s="1" t="s">
        <v>25</v>
      </c>
      <c r="N829" s="1" t="s">
        <v>25</v>
      </c>
      <c r="O829" s="1" t="s">
        <v>26</v>
      </c>
      <c r="P829" s="1" t="s">
        <v>25</v>
      </c>
      <c r="Q829" s="1" t="s">
        <v>25</v>
      </c>
      <c r="R829" s="1" t="s">
        <v>25</v>
      </c>
      <c r="S829" s="2">
        <v>0</v>
      </c>
    </row>
    <row r="830" spans="1:19" x14ac:dyDescent="0.3">
      <c r="A830" t="s">
        <v>1676</v>
      </c>
      <c r="B830" s="5" t="e" cm="1">
        <f t="array" ref="B830">MAX(#REF!,MIN(#REF!,#REF!+SUMPRODUCT(--(FoodData[[#This Row],[Healthy]:[Refined]]="Yes"),#REF!)+FoodData[[#This Row],[Adjust]]))</f>
        <v>#REF!</v>
      </c>
      <c r="C830" s="1" t="e">
        <f>LOOKUP(FoodData[[#This Row],[Score]],#REF!,#REF!)</f>
        <v>#REF!</v>
      </c>
      <c r="D830" t="s">
        <v>1617</v>
      </c>
      <c r="E830" t="s">
        <v>28</v>
      </c>
      <c r="F830" t="s">
        <v>60</v>
      </c>
      <c r="G830" t="s">
        <v>23</v>
      </c>
      <c r="H830" t="s">
        <v>1677</v>
      </c>
      <c r="I830" s="1" t="s">
        <v>25</v>
      </c>
      <c r="J830" s="1" t="s">
        <v>25</v>
      </c>
      <c r="K830" s="1" t="s">
        <v>26</v>
      </c>
      <c r="L830" s="1" t="s">
        <v>25</v>
      </c>
      <c r="M830" s="1" t="s">
        <v>25</v>
      </c>
      <c r="N830" s="1" t="s">
        <v>26</v>
      </c>
      <c r="O830" s="1" t="s">
        <v>25</v>
      </c>
      <c r="P830" s="1" t="s">
        <v>25</v>
      </c>
      <c r="Q830" s="1" t="s">
        <v>25</v>
      </c>
      <c r="R830" s="1" t="s">
        <v>25</v>
      </c>
      <c r="S830" s="2">
        <v>0</v>
      </c>
    </row>
    <row r="831" spans="1:19" x14ac:dyDescent="0.3">
      <c r="A831" t="s">
        <v>1678</v>
      </c>
      <c r="B831" s="5" t="e" cm="1">
        <f t="array" ref="B831">MAX(#REF!,MIN(#REF!,#REF!+SUMPRODUCT(--(FoodData[[#This Row],[Healthy]:[Refined]]="Yes"),#REF!)+FoodData[[#This Row],[Adjust]]))</f>
        <v>#REF!</v>
      </c>
      <c r="C831" s="1" t="e">
        <f>LOOKUP(FoodData[[#This Row],[Score]],#REF!,#REF!)</f>
        <v>#REF!</v>
      </c>
      <c r="D831" t="s">
        <v>1617</v>
      </c>
      <c r="E831" t="s">
        <v>28</v>
      </c>
      <c r="F831" t="s">
        <v>60</v>
      </c>
      <c r="G831" t="s">
        <v>23</v>
      </c>
      <c r="H831" t="s">
        <v>1679</v>
      </c>
      <c r="I831" s="1" t="s">
        <v>25</v>
      </c>
      <c r="J831" s="1" t="s">
        <v>25</v>
      </c>
      <c r="K831" s="1" t="s">
        <v>26</v>
      </c>
      <c r="L831" s="1" t="s">
        <v>25</v>
      </c>
      <c r="M831" s="1" t="s">
        <v>25</v>
      </c>
      <c r="N831" s="1" t="s">
        <v>26</v>
      </c>
      <c r="O831" s="1" t="s">
        <v>26</v>
      </c>
      <c r="P831" s="1" t="s">
        <v>25</v>
      </c>
      <c r="Q831" s="1" t="s">
        <v>25</v>
      </c>
      <c r="R831" s="1" t="s">
        <v>25</v>
      </c>
      <c r="S831" s="2">
        <v>0</v>
      </c>
    </row>
    <row r="832" spans="1:19" x14ac:dyDescent="0.3">
      <c r="A832" t="s">
        <v>1680</v>
      </c>
      <c r="B832" s="5" t="e" cm="1">
        <f t="array" ref="B832">MAX(#REF!,MIN(#REF!,#REF!+SUMPRODUCT(--(FoodData[[#This Row],[Healthy]:[Refined]]="Yes"),#REF!)+FoodData[[#This Row],[Adjust]]))</f>
        <v>#REF!</v>
      </c>
      <c r="C832" s="1" t="e">
        <f>LOOKUP(FoodData[[#This Row],[Score]],#REF!,#REF!)</f>
        <v>#REF!</v>
      </c>
      <c r="D832" t="s">
        <v>1617</v>
      </c>
      <c r="E832" t="s">
        <v>28</v>
      </c>
      <c r="F832" t="s">
        <v>60</v>
      </c>
      <c r="G832" t="s">
        <v>23</v>
      </c>
      <c r="H832" t="s">
        <v>1681</v>
      </c>
      <c r="I832" s="1" t="s">
        <v>26</v>
      </c>
      <c r="J832" s="1" t="s">
        <v>26</v>
      </c>
      <c r="K832" s="1" t="s">
        <v>26</v>
      </c>
      <c r="L832" s="1" t="s">
        <v>25</v>
      </c>
      <c r="M832" s="1" t="s">
        <v>25</v>
      </c>
      <c r="N832" s="1" t="s">
        <v>25</v>
      </c>
      <c r="O832" s="1" t="s">
        <v>25</v>
      </c>
      <c r="P832" s="1" t="s">
        <v>25</v>
      </c>
      <c r="Q832" s="1" t="s">
        <v>25</v>
      </c>
      <c r="R832" s="1" t="s">
        <v>25</v>
      </c>
      <c r="S832" s="2">
        <v>0</v>
      </c>
    </row>
    <row r="833" spans="1:19" x14ac:dyDescent="0.3">
      <c r="A833" t="s">
        <v>1682</v>
      </c>
      <c r="B833" s="5" t="e" cm="1">
        <f t="array" ref="B833">MAX(#REF!,MIN(#REF!,#REF!+SUMPRODUCT(--(FoodData[[#This Row],[Healthy]:[Refined]]="Yes"),#REF!)+FoodData[[#This Row],[Adjust]]))</f>
        <v>#REF!</v>
      </c>
      <c r="C833" s="1" t="e">
        <f>LOOKUP(FoodData[[#This Row],[Score]],#REF!,#REF!)</f>
        <v>#REF!</v>
      </c>
      <c r="D833" t="s">
        <v>1617</v>
      </c>
      <c r="E833" t="s">
        <v>28</v>
      </c>
      <c r="F833" t="s">
        <v>60</v>
      </c>
      <c r="G833" t="s">
        <v>23</v>
      </c>
      <c r="H833" t="s">
        <v>1683</v>
      </c>
      <c r="I833" s="1" t="s">
        <v>26</v>
      </c>
      <c r="J833" s="1" t="s">
        <v>25</v>
      </c>
      <c r="K833" s="1" t="s">
        <v>26</v>
      </c>
      <c r="L833" s="1" t="s">
        <v>25</v>
      </c>
      <c r="M833" s="1" t="s">
        <v>25</v>
      </c>
      <c r="N833" s="1" t="s">
        <v>26</v>
      </c>
      <c r="O833" s="1" t="s">
        <v>25</v>
      </c>
      <c r="P833" s="1" t="s">
        <v>25</v>
      </c>
      <c r="Q833" s="1" t="s">
        <v>25</v>
      </c>
      <c r="R833" s="1" t="s">
        <v>25</v>
      </c>
      <c r="S833" s="2">
        <v>0</v>
      </c>
    </row>
    <row r="834" spans="1:19" x14ac:dyDescent="0.3">
      <c r="A834" t="s">
        <v>1684</v>
      </c>
      <c r="B834" s="5" t="e" cm="1">
        <f t="array" ref="B834">MAX(#REF!,MIN(#REF!,#REF!+SUMPRODUCT(--(FoodData[[#This Row],[Healthy]:[Refined]]="Yes"),#REF!)+FoodData[[#This Row],[Adjust]]))</f>
        <v>#REF!</v>
      </c>
      <c r="C834" s="1" t="e">
        <f>LOOKUP(FoodData[[#This Row],[Score]],#REF!,#REF!)</f>
        <v>#REF!</v>
      </c>
      <c r="D834" t="s">
        <v>1617</v>
      </c>
      <c r="E834" t="s">
        <v>199</v>
      </c>
      <c r="F834" t="s">
        <v>60</v>
      </c>
      <c r="G834" t="s">
        <v>23</v>
      </c>
      <c r="H834" t="s">
        <v>1685</v>
      </c>
      <c r="I834" s="1" t="s">
        <v>26</v>
      </c>
      <c r="J834" s="1" t="s">
        <v>26</v>
      </c>
      <c r="K834" s="1" t="s">
        <v>26</v>
      </c>
      <c r="L834" s="1" t="s">
        <v>25</v>
      </c>
      <c r="M834" s="1" t="s">
        <v>25</v>
      </c>
      <c r="N834" s="1" t="s">
        <v>25</v>
      </c>
      <c r="O834" s="1" t="s">
        <v>25</v>
      </c>
      <c r="P834" s="1" t="s">
        <v>25</v>
      </c>
      <c r="Q834" s="1" t="s">
        <v>25</v>
      </c>
      <c r="R834" s="1" t="s">
        <v>25</v>
      </c>
      <c r="S834" s="2">
        <v>0</v>
      </c>
    </row>
    <row r="835" spans="1:19" x14ac:dyDescent="0.3">
      <c r="A835" t="s">
        <v>1686</v>
      </c>
      <c r="B835" s="5" t="e" cm="1">
        <f t="array" ref="B835">MAX(#REF!,MIN(#REF!,#REF!+SUMPRODUCT(--(FoodData[[#This Row],[Healthy]:[Refined]]="Yes"),#REF!)+FoodData[[#This Row],[Adjust]]))</f>
        <v>#REF!</v>
      </c>
      <c r="C835" s="1" t="e">
        <f>LOOKUP(FoodData[[#This Row],[Score]],#REF!,#REF!)</f>
        <v>#REF!</v>
      </c>
      <c r="D835" t="s">
        <v>1617</v>
      </c>
      <c r="E835" t="s">
        <v>28</v>
      </c>
      <c r="F835" t="s">
        <v>60</v>
      </c>
      <c r="G835" t="s">
        <v>23</v>
      </c>
      <c r="H835" t="s">
        <v>1687</v>
      </c>
      <c r="I835" s="1" t="s">
        <v>26</v>
      </c>
      <c r="J835" s="1" t="s">
        <v>25</v>
      </c>
      <c r="K835" s="1" t="s">
        <v>26</v>
      </c>
      <c r="L835" s="1" t="s">
        <v>26</v>
      </c>
      <c r="M835" s="1" t="s">
        <v>25</v>
      </c>
      <c r="N835" s="1" t="s">
        <v>26</v>
      </c>
      <c r="O835" s="1" t="s">
        <v>25</v>
      </c>
      <c r="P835" s="1" t="s">
        <v>25</v>
      </c>
      <c r="Q835" s="1" t="s">
        <v>25</v>
      </c>
      <c r="R835" s="1" t="s">
        <v>25</v>
      </c>
      <c r="S835" s="2">
        <v>0</v>
      </c>
    </row>
    <row r="836" spans="1:19" x14ac:dyDescent="0.3">
      <c r="A836" t="s">
        <v>1688</v>
      </c>
      <c r="B836" s="5" t="e" cm="1">
        <f t="array" ref="B836">MAX(#REF!,MIN(#REF!,#REF!+SUMPRODUCT(--(FoodData[[#This Row],[Healthy]:[Refined]]="Yes"),#REF!)+FoodData[[#This Row],[Adjust]]))</f>
        <v>#REF!</v>
      </c>
      <c r="C836" s="1" t="e">
        <f>LOOKUP(FoodData[[#This Row],[Score]],#REF!,#REF!)</f>
        <v>#REF!</v>
      </c>
      <c r="D836" t="s">
        <v>1617</v>
      </c>
      <c r="E836" t="s">
        <v>28</v>
      </c>
      <c r="F836" t="s">
        <v>60</v>
      </c>
      <c r="G836" t="s">
        <v>23</v>
      </c>
      <c r="H836" t="s">
        <v>1689</v>
      </c>
      <c r="I836" s="1" t="s">
        <v>25</v>
      </c>
      <c r="J836" s="1" t="s">
        <v>25</v>
      </c>
      <c r="K836" s="1" t="s">
        <v>26</v>
      </c>
      <c r="L836" s="1" t="s">
        <v>25</v>
      </c>
      <c r="M836" s="1" t="s">
        <v>25</v>
      </c>
      <c r="N836" s="1" t="s">
        <v>26</v>
      </c>
      <c r="O836" s="1" t="s">
        <v>25</v>
      </c>
      <c r="P836" s="1" t="s">
        <v>25</v>
      </c>
      <c r="Q836" s="1" t="s">
        <v>25</v>
      </c>
      <c r="R836" s="1" t="s">
        <v>26</v>
      </c>
      <c r="S836" s="2">
        <v>0</v>
      </c>
    </row>
    <row r="837" spans="1:19" x14ac:dyDescent="0.3">
      <c r="A837" t="s">
        <v>1690</v>
      </c>
      <c r="B837" s="5" t="e" cm="1">
        <f t="array" ref="B837">MAX(#REF!,MIN(#REF!,#REF!+SUMPRODUCT(--(FoodData[[#This Row],[Healthy]:[Refined]]="Yes"),#REF!)+FoodData[[#This Row],[Adjust]]))</f>
        <v>#REF!</v>
      </c>
      <c r="C837" s="1" t="e">
        <f>LOOKUP(FoodData[[#This Row],[Score]],#REF!,#REF!)</f>
        <v>#REF!</v>
      </c>
      <c r="D837" t="s">
        <v>1617</v>
      </c>
      <c r="E837" t="s">
        <v>28</v>
      </c>
      <c r="F837" t="s">
        <v>60</v>
      </c>
      <c r="G837" t="s">
        <v>23</v>
      </c>
      <c r="H837" t="s">
        <v>1691</v>
      </c>
      <c r="I837" s="1" t="s">
        <v>25</v>
      </c>
      <c r="J837" s="1" t="s">
        <v>25</v>
      </c>
      <c r="K837" s="1" t="s">
        <v>26</v>
      </c>
      <c r="L837" s="1" t="s">
        <v>25</v>
      </c>
      <c r="M837" s="1" t="s">
        <v>25</v>
      </c>
      <c r="N837" s="1" t="s">
        <v>26</v>
      </c>
      <c r="O837" s="1" t="s">
        <v>25</v>
      </c>
      <c r="P837" s="1" t="s">
        <v>25</v>
      </c>
      <c r="Q837" s="1" t="s">
        <v>25</v>
      </c>
      <c r="R837" s="1" t="s">
        <v>25</v>
      </c>
      <c r="S837" s="2">
        <v>0</v>
      </c>
    </row>
    <row r="838" spans="1:19" x14ac:dyDescent="0.3">
      <c r="A838" t="s">
        <v>1692</v>
      </c>
      <c r="B838" s="5" t="e" cm="1">
        <f t="array" ref="B838">MAX(#REF!,MIN(#REF!,#REF!+SUMPRODUCT(--(FoodData[[#This Row],[Healthy]:[Refined]]="Yes"),#REF!)+FoodData[[#This Row],[Adjust]]))</f>
        <v>#REF!</v>
      </c>
      <c r="C838" s="1" t="e">
        <f>LOOKUP(FoodData[[#This Row],[Score]],#REF!,#REF!)</f>
        <v>#REF!</v>
      </c>
      <c r="D838" t="s">
        <v>1617</v>
      </c>
      <c r="E838" t="s">
        <v>28</v>
      </c>
      <c r="F838" t="s">
        <v>60</v>
      </c>
      <c r="G838" t="s">
        <v>23</v>
      </c>
      <c r="H838" t="s">
        <v>1693</v>
      </c>
      <c r="I838" s="1" t="s">
        <v>25</v>
      </c>
      <c r="J838" s="1" t="s">
        <v>25</v>
      </c>
      <c r="K838" s="1" t="s">
        <v>26</v>
      </c>
      <c r="L838" s="1" t="s">
        <v>26</v>
      </c>
      <c r="M838" s="1" t="s">
        <v>25</v>
      </c>
      <c r="N838" s="1" t="s">
        <v>25</v>
      </c>
      <c r="O838" s="1" t="s">
        <v>26</v>
      </c>
      <c r="P838" s="1" t="s">
        <v>25</v>
      </c>
      <c r="Q838" s="1" t="s">
        <v>25</v>
      </c>
      <c r="R838" s="1" t="s">
        <v>25</v>
      </c>
      <c r="S838" s="2">
        <v>0</v>
      </c>
    </row>
    <row r="839" spans="1:19" x14ac:dyDescent="0.3">
      <c r="A839" t="s">
        <v>1694</v>
      </c>
      <c r="B839" s="5" t="e" cm="1">
        <f t="array" ref="B839">MAX(#REF!,MIN(#REF!,#REF!+SUMPRODUCT(--(FoodData[[#This Row],[Healthy]:[Refined]]="Yes"),#REF!)+FoodData[[#This Row],[Adjust]]))</f>
        <v>#REF!</v>
      </c>
      <c r="C839" s="1" t="e">
        <f>LOOKUP(FoodData[[#This Row],[Score]],#REF!,#REF!)</f>
        <v>#REF!</v>
      </c>
      <c r="D839" t="s">
        <v>1617</v>
      </c>
      <c r="E839" t="s">
        <v>28</v>
      </c>
      <c r="F839" t="s">
        <v>60</v>
      </c>
      <c r="G839" t="s">
        <v>23</v>
      </c>
      <c r="H839" t="s">
        <v>1695</v>
      </c>
      <c r="I839" s="1" t="s">
        <v>25</v>
      </c>
      <c r="J839" s="1" t="s">
        <v>25</v>
      </c>
      <c r="K839" s="1" t="s">
        <v>26</v>
      </c>
      <c r="L839" s="1" t="s">
        <v>25</v>
      </c>
      <c r="M839" s="1" t="s">
        <v>25</v>
      </c>
      <c r="N839" s="1" t="s">
        <v>26</v>
      </c>
      <c r="O839" s="1" t="s">
        <v>26</v>
      </c>
      <c r="P839" s="1" t="s">
        <v>25</v>
      </c>
      <c r="Q839" s="1" t="s">
        <v>25</v>
      </c>
      <c r="R839" s="1" t="s">
        <v>25</v>
      </c>
      <c r="S839" s="2">
        <v>0</v>
      </c>
    </row>
    <row r="840" spans="1:19" x14ac:dyDescent="0.3">
      <c r="A840" t="s">
        <v>1696</v>
      </c>
      <c r="B840" s="5" t="e" cm="1">
        <f t="array" ref="B840">MAX(#REF!,MIN(#REF!,#REF!+SUMPRODUCT(--(FoodData[[#This Row],[Healthy]:[Refined]]="Yes"),#REF!)+FoodData[[#This Row],[Adjust]]))</f>
        <v>#REF!</v>
      </c>
      <c r="C840" s="1" t="e">
        <f>LOOKUP(FoodData[[#This Row],[Score]],#REF!,#REF!)</f>
        <v>#REF!</v>
      </c>
      <c r="D840" t="s">
        <v>1617</v>
      </c>
      <c r="E840" t="s">
        <v>199</v>
      </c>
      <c r="F840" t="s">
        <v>60</v>
      </c>
      <c r="G840" t="s">
        <v>29</v>
      </c>
      <c r="H840" t="s">
        <v>1697</v>
      </c>
      <c r="I840" s="1" t="s">
        <v>25</v>
      </c>
      <c r="J840" s="1" t="s">
        <v>25</v>
      </c>
      <c r="K840" s="1" t="s">
        <v>26</v>
      </c>
      <c r="L840" s="1" t="s">
        <v>26</v>
      </c>
      <c r="M840" s="1" t="s">
        <v>25</v>
      </c>
      <c r="N840" s="1" t="s">
        <v>25</v>
      </c>
      <c r="O840" s="1" t="s">
        <v>25</v>
      </c>
      <c r="P840" s="1" t="s">
        <v>25</v>
      </c>
      <c r="Q840" s="1" t="s">
        <v>25</v>
      </c>
      <c r="R840" s="1" t="s">
        <v>25</v>
      </c>
      <c r="S840" s="2">
        <v>0</v>
      </c>
    </row>
    <row r="841" spans="1:19" x14ac:dyDescent="0.3">
      <c r="A841" t="s">
        <v>1698</v>
      </c>
      <c r="B841" s="5" t="e" cm="1">
        <f t="array" ref="B841">MAX(#REF!,MIN(#REF!,#REF!+SUMPRODUCT(--(FoodData[[#This Row],[Healthy]:[Refined]]="Yes"),#REF!)+FoodData[[#This Row],[Adjust]]))</f>
        <v>#REF!</v>
      </c>
      <c r="C841" s="1" t="e">
        <f>LOOKUP(FoodData[[#This Row],[Score]],#REF!,#REF!)</f>
        <v>#REF!</v>
      </c>
      <c r="D841" t="s">
        <v>1617</v>
      </c>
      <c r="E841" t="s">
        <v>28</v>
      </c>
      <c r="F841" t="s">
        <v>60</v>
      </c>
      <c r="G841" t="s">
        <v>23</v>
      </c>
      <c r="H841" t="s">
        <v>1699</v>
      </c>
      <c r="I841" s="1" t="s">
        <v>25</v>
      </c>
      <c r="J841" s="1" t="s">
        <v>25</v>
      </c>
      <c r="K841" s="1" t="s">
        <v>26</v>
      </c>
      <c r="L841" s="1" t="s">
        <v>25</v>
      </c>
      <c r="M841" s="1" t="s">
        <v>25</v>
      </c>
      <c r="N841" s="1" t="s">
        <v>26</v>
      </c>
      <c r="O841" s="1" t="s">
        <v>26</v>
      </c>
      <c r="P841" s="1" t="s">
        <v>25</v>
      </c>
      <c r="Q841" s="1" t="s">
        <v>25</v>
      </c>
      <c r="R841" s="1" t="s">
        <v>25</v>
      </c>
      <c r="S841" s="2">
        <v>0</v>
      </c>
    </row>
    <row r="842" spans="1:19" x14ac:dyDescent="0.3">
      <c r="A842" t="s">
        <v>1700</v>
      </c>
      <c r="B842" s="5" t="e" cm="1">
        <f t="array" ref="B842">MAX(#REF!,MIN(#REF!,#REF!+SUMPRODUCT(--(FoodData[[#This Row],[Healthy]:[Refined]]="Yes"),#REF!)+FoodData[[#This Row],[Adjust]]))</f>
        <v>#REF!</v>
      </c>
      <c r="C842" s="1" t="e">
        <f>LOOKUP(FoodData[[#This Row],[Score]],#REF!,#REF!)</f>
        <v>#REF!</v>
      </c>
      <c r="D842" t="s">
        <v>1617</v>
      </c>
      <c r="E842" t="s">
        <v>28</v>
      </c>
      <c r="F842" t="s">
        <v>60</v>
      </c>
      <c r="G842" t="s">
        <v>23</v>
      </c>
      <c r="H842" t="s">
        <v>1701</v>
      </c>
      <c r="I842" s="1" t="s">
        <v>25</v>
      </c>
      <c r="J842" s="1" t="s">
        <v>25</v>
      </c>
      <c r="K842" s="1" t="s">
        <v>26</v>
      </c>
      <c r="L842" s="1" t="s">
        <v>25</v>
      </c>
      <c r="M842" s="1" t="s">
        <v>25</v>
      </c>
      <c r="N842" s="1" t="s">
        <v>26</v>
      </c>
      <c r="O842" s="1" t="s">
        <v>26</v>
      </c>
      <c r="P842" s="1" t="s">
        <v>25</v>
      </c>
      <c r="Q842" s="1" t="s">
        <v>25</v>
      </c>
      <c r="R842" s="1" t="s">
        <v>25</v>
      </c>
      <c r="S842" s="2">
        <v>0</v>
      </c>
    </row>
    <row r="843" spans="1:19" x14ac:dyDescent="0.3">
      <c r="A843" t="s">
        <v>1702</v>
      </c>
      <c r="B843" s="5" t="e" cm="1">
        <f t="array" ref="B843">MAX(#REF!,MIN(#REF!,#REF!+SUMPRODUCT(--(FoodData[[#This Row],[Healthy]:[Refined]]="Yes"),#REF!)+FoodData[[#This Row],[Adjust]]))</f>
        <v>#REF!</v>
      </c>
      <c r="C843" s="1" t="e">
        <f>LOOKUP(FoodData[[#This Row],[Score]],#REF!,#REF!)</f>
        <v>#REF!</v>
      </c>
      <c r="D843" t="s">
        <v>1617</v>
      </c>
      <c r="E843" t="s">
        <v>199</v>
      </c>
      <c r="F843" t="s">
        <v>60</v>
      </c>
      <c r="G843" t="s">
        <v>23</v>
      </c>
      <c r="H843" t="s">
        <v>1703</v>
      </c>
      <c r="I843" s="1" t="s">
        <v>25</v>
      </c>
      <c r="J843" s="1" t="s">
        <v>25</v>
      </c>
      <c r="K843" s="1" t="s">
        <v>26</v>
      </c>
      <c r="L843" s="1" t="s">
        <v>25</v>
      </c>
      <c r="M843" s="1" t="s">
        <v>25</v>
      </c>
      <c r="N843" s="1" t="s">
        <v>26</v>
      </c>
      <c r="O843" s="1" t="s">
        <v>25</v>
      </c>
      <c r="P843" s="1" t="s">
        <v>26</v>
      </c>
      <c r="Q843" s="1" t="s">
        <v>26</v>
      </c>
      <c r="R843" s="1" t="s">
        <v>25</v>
      </c>
      <c r="S843" s="2">
        <v>0</v>
      </c>
    </row>
    <row r="844" spans="1:19" x14ac:dyDescent="0.3">
      <c r="A844" t="s">
        <v>1704</v>
      </c>
      <c r="B844" s="5" t="e" cm="1">
        <f t="array" ref="B844">MAX(#REF!,MIN(#REF!,#REF!+SUMPRODUCT(--(FoodData[[#This Row],[Healthy]:[Refined]]="Yes"),#REF!)+FoodData[[#This Row],[Adjust]]))</f>
        <v>#REF!</v>
      </c>
      <c r="C844" s="1" t="e">
        <f>LOOKUP(FoodData[[#This Row],[Score]],#REF!,#REF!)</f>
        <v>#REF!</v>
      </c>
      <c r="D844" t="s">
        <v>1617</v>
      </c>
      <c r="E844" t="s">
        <v>28</v>
      </c>
      <c r="F844" t="s">
        <v>60</v>
      </c>
      <c r="G844" t="s">
        <v>23</v>
      </c>
      <c r="H844" t="s">
        <v>1705</v>
      </c>
      <c r="I844" s="1" t="s">
        <v>26</v>
      </c>
      <c r="J844" s="1" t="s">
        <v>25</v>
      </c>
      <c r="K844" s="1" t="s">
        <v>26</v>
      </c>
      <c r="L844" s="1" t="s">
        <v>26</v>
      </c>
      <c r="M844" s="1" t="s">
        <v>25</v>
      </c>
      <c r="N844" s="1" t="s">
        <v>25</v>
      </c>
      <c r="O844" s="1" t="s">
        <v>25</v>
      </c>
      <c r="P844" s="1" t="s">
        <v>25</v>
      </c>
      <c r="Q844" s="1" t="s">
        <v>25</v>
      </c>
      <c r="R844" s="1" t="s">
        <v>25</v>
      </c>
      <c r="S844" s="2">
        <v>0</v>
      </c>
    </row>
    <row r="845" spans="1:19" x14ac:dyDescent="0.3">
      <c r="A845" t="s">
        <v>1706</v>
      </c>
      <c r="B845" s="5" t="e" cm="1">
        <f t="array" ref="B845">MAX(#REF!,MIN(#REF!,#REF!+SUMPRODUCT(--(FoodData[[#This Row],[Healthy]:[Refined]]="Yes"),#REF!)+FoodData[[#This Row],[Adjust]]))</f>
        <v>#REF!</v>
      </c>
      <c r="C845" s="1" t="e">
        <f>LOOKUP(FoodData[[#This Row],[Score]],#REF!,#REF!)</f>
        <v>#REF!</v>
      </c>
      <c r="D845" t="s">
        <v>1617</v>
      </c>
      <c r="E845" t="s">
        <v>28</v>
      </c>
      <c r="F845" t="s">
        <v>60</v>
      </c>
      <c r="G845" t="s">
        <v>23</v>
      </c>
      <c r="H845" t="s">
        <v>1707</v>
      </c>
      <c r="I845" s="1" t="s">
        <v>25</v>
      </c>
      <c r="J845" s="1" t="s">
        <v>25</v>
      </c>
      <c r="K845" s="1" t="s">
        <v>26</v>
      </c>
      <c r="L845" s="1" t="s">
        <v>25</v>
      </c>
      <c r="M845" s="1" t="s">
        <v>25</v>
      </c>
      <c r="N845" s="1" t="s">
        <v>25</v>
      </c>
      <c r="O845" s="1" t="s">
        <v>26</v>
      </c>
      <c r="P845" s="1" t="s">
        <v>25</v>
      </c>
      <c r="Q845" s="1" t="s">
        <v>25</v>
      </c>
      <c r="R845" s="1" t="s">
        <v>25</v>
      </c>
      <c r="S845" s="2">
        <v>0</v>
      </c>
    </row>
    <row r="846" spans="1:19" x14ac:dyDescent="0.3">
      <c r="A846" t="s">
        <v>1708</v>
      </c>
      <c r="B846" s="5" t="e" cm="1">
        <f t="array" ref="B846">MAX(#REF!,MIN(#REF!,#REF!+SUMPRODUCT(--(FoodData[[#This Row],[Healthy]:[Refined]]="Yes"),#REF!)+FoodData[[#This Row],[Adjust]]))</f>
        <v>#REF!</v>
      </c>
      <c r="C846" s="1" t="e">
        <f>LOOKUP(FoodData[[#This Row],[Score]],#REF!,#REF!)</f>
        <v>#REF!</v>
      </c>
      <c r="D846" t="s">
        <v>1617</v>
      </c>
      <c r="E846" t="s">
        <v>28</v>
      </c>
      <c r="F846" t="s">
        <v>60</v>
      </c>
      <c r="G846" t="s">
        <v>23</v>
      </c>
      <c r="H846" t="s">
        <v>1709</v>
      </c>
      <c r="I846" s="1" t="s">
        <v>26</v>
      </c>
      <c r="J846" s="1" t="s">
        <v>25</v>
      </c>
      <c r="K846" s="1" t="s">
        <v>26</v>
      </c>
      <c r="L846" s="1" t="s">
        <v>26</v>
      </c>
      <c r="M846" s="1" t="s">
        <v>25</v>
      </c>
      <c r="N846" s="1" t="s">
        <v>26</v>
      </c>
      <c r="O846" s="1" t="s">
        <v>25</v>
      </c>
      <c r="P846" s="1" t="s">
        <v>25</v>
      </c>
      <c r="Q846" s="1" t="s">
        <v>25</v>
      </c>
      <c r="R846" s="1" t="s">
        <v>25</v>
      </c>
      <c r="S846" s="2">
        <v>0</v>
      </c>
    </row>
    <row r="847" spans="1:19" x14ac:dyDescent="0.3">
      <c r="A847" t="s">
        <v>1710</v>
      </c>
      <c r="B847" s="5" t="e" cm="1">
        <f t="array" ref="B847">MAX(#REF!,MIN(#REF!,#REF!+SUMPRODUCT(--(FoodData[[#This Row],[Healthy]:[Refined]]="Yes"),#REF!)+FoodData[[#This Row],[Adjust]]))</f>
        <v>#REF!</v>
      </c>
      <c r="C847" s="1" t="e">
        <f>LOOKUP(FoodData[[#This Row],[Score]],#REF!,#REF!)</f>
        <v>#REF!</v>
      </c>
      <c r="D847" t="s">
        <v>1617</v>
      </c>
      <c r="E847" t="s">
        <v>28</v>
      </c>
      <c r="F847" t="s">
        <v>60</v>
      </c>
      <c r="G847" t="s">
        <v>23</v>
      </c>
      <c r="H847" t="s">
        <v>1711</v>
      </c>
      <c r="I847" s="1" t="s">
        <v>26</v>
      </c>
      <c r="J847" s="1" t="s">
        <v>25</v>
      </c>
      <c r="K847" s="1" t="s">
        <v>26</v>
      </c>
      <c r="L847" s="1" t="s">
        <v>26</v>
      </c>
      <c r="M847" s="1" t="s">
        <v>25</v>
      </c>
      <c r="N847" s="1" t="s">
        <v>25</v>
      </c>
      <c r="O847" s="1" t="s">
        <v>25</v>
      </c>
      <c r="P847" s="1" t="s">
        <v>25</v>
      </c>
      <c r="Q847" s="1" t="s">
        <v>25</v>
      </c>
      <c r="R847" s="1" t="s">
        <v>25</v>
      </c>
      <c r="S847" s="2">
        <v>0</v>
      </c>
    </row>
    <row r="848" spans="1:19" x14ac:dyDescent="0.3">
      <c r="A848" t="s">
        <v>1712</v>
      </c>
      <c r="B848" s="5" t="e" cm="1">
        <f t="array" ref="B848">MAX(#REF!,MIN(#REF!,#REF!+SUMPRODUCT(--(FoodData[[#This Row],[Healthy]:[Refined]]="Yes"),#REF!)+FoodData[[#This Row],[Adjust]]))</f>
        <v>#REF!</v>
      </c>
      <c r="C848" s="1" t="e">
        <f>LOOKUP(FoodData[[#This Row],[Score]],#REF!,#REF!)</f>
        <v>#REF!</v>
      </c>
      <c r="D848" t="s">
        <v>1617</v>
      </c>
      <c r="E848" t="s">
        <v>28</v>
      </c>
      <c r="F848" t="s">
        <v>60</v>
      </c>
      <c r="G848" t="s">
        <v>29</v>
      </c>
      <c r="H848" t="s">
        <v>1713</v>
      </c>
      <c r="I848" s="1" t="s">
        <v>26</v>
      </c>
      <c r="J848" s="1" t="s">
        <v>26</v>
      </c>
      <c r="K848" s="1" t="s">
        <v>26</v>
      </c>
      <c r="L848" s="1" t="s">
        <v>26</v>
      </c>
      <c r="M848" s="1" t="s">
        <v>25</v>
      </c>
      <c r="N848" s="1" t="s">
        <v>25</v>
      </c>
      <c r="O848" s="1" t="s">
        <v>25</v>
      </c>
      <c r="P848" s="1" t="s">
        <v>25</v>
      </c>
      <c r="Q848" s="1" t="s">
        <v>25</v>
      </c>
      <c r="R848" s="1" t="s">
        <v>25</v>
      </c>
      <c r="S848" s="2">
        <v>0</v>
      </c>
    </row>
    <row r="849" spans="1:19" x14ac:dyDescent="0.3">
      <c r="A849" t="s">
        <v>1714</v>
      </c>
      <c r="B849" s="5" t="e" cm="1">
        <f t="array" ref="B849">MAX(#REF!,MIN(#REF!,#REF!+SUMPRODUCT(--(FoodData[[#This Row],[Healthy]:[Refined]]="Yes"),#REF!)+FoodData[[#This Row],[Adjust]]))</f>
        <v>#REF!</v>
      </c>
      <c r="C849" s="1" t="e">
        <f>LOOKUP(FoodData[[#This Row],[Score]],#REF!,#REF!)</f>
        <v>#REF!</v>
      </c>
      <c r="D849" t="s">
        <v>1617</v>
      </c>
      <c r="E849" t="s">
        <v>199</v>
      </c>
      <c r="F849" t="s">
        <v>60</v>
      </c>
      <c r="G849" t="s">
        <v>29</v>
      </c>
      <c r="H849" t="s">
        <v>1715</v>
      </c>
      <c r="I849" s="1" t="s">
        <v>26</v>
      </c>
      <c r="J849" s="1" t="s">
        <v>26</v>
      </c>
      <c r="K849" s="1" t="s">
        <v>26</v>
      </c>
      <c r="L849" s="1" t="s">
        <v>26</v>
      </c>
      <c r="M849" s="1" t="s">
        <v>25</v>
      </c>
      <c r="N849" s="1" t="s">
        <v>25</v>
      </c>
      <c r="O849" s="1" t="s">
        <v>25</v>
      </c>
      <c r="P849" s="1" t="s">
        <v>25</v>
      </c>
      <c r="Q849" s="1" t="s">
        <v>25</v>
      </c>
      <c r="R849" s="1" t="s">
        <v>25</v>
      </c>
      <c r="S849" s="2">
        <v>0</v>
      </c>
    </row>
    <row r="850" spans="1:19" x14ac:dyDescent="0.3">
      <c r="A850" t="s">
        <v>1716</v>
      </c>
      <c r="B850" s="5" t="e" cm="1">
        <f t="array" ref="B850">MAX(#REF!,MIN(#REF!,#REF!+SUMPRODUCT(--(FoodData[[#This Row],[Healthy]:[Refined]]="Yes"),#REF!)+FoodData[[#This Row],[Adjust]]))</f>
        <v>#REF!</v>
      </c>
      <c r="C850" s="1" t="e">
        <f>LOOKUP(FoodData[[#This Row],[Score]],#REF!,#REF!)</f>
        <v>#REF!</v>
      </c>
      <c r="D850" t="s">
        <v>1617</v>
      </c>
      <c r="E850" t="s">
        <v>28</v>
      </c>
      <c r="F850" t="s">
        <v>60</v>
      </c>
      <c r="G850" t="s">
        <v>23</v>
      </c>
      <c r="H850" t="s">
        <v>1717</v>
      </c>
      <c r="I850" s="1" t="s">
        <v>26</v>
      </c>
      <c r="J850" s="1" t="s">
        <v>26</v>
      </c>
      <c r="K850" s="1" t="s">
        <v>26</v>
      </c>
      <c r="L850" s="1" t="s">
        <v>26</v>
      </c>
      <c r="M850" s="1" t="s">
        <v>25</v>
      </c>
      <c r="N850" s="1" t="s">
        <v>25</v>
      </c>
      <c r="O850" s="1" t="s">
        <v>25</v>
      </c>
      <c r="P850" s="1" t="s">
        <v>25</v>
      </c>
      <c r="Q850" s="1" t="s">
        <v>25</v>
      </c>
      <c r="R850" s="1" t="s">
        <v>25</v>
      </c>
      <c r="S850" s="2">
        <v>0</v>
      </c>
    </row>
    <row r="851" spans="1:19" x14ac:dyDescent="0.3">
      <c r="A851" t="s">
        <v>1718</v>
      </c>
      <c r="B851" s="5" t="e" cm="1">
        <f t="array" ref="B851">MAX(#REF!,MIN(#REF!,#REF!+SUMPRODUCT(--(FoodData[[#This Row],[Healthy]:[Refined]]="Yes"),#REF!)+FoodData[[#This Row],[Adjust]]))</f>
        <v>#REF!</v>
      </c>
      <c r="C851" s="1" t="e">
        <f>LOOKUP(FoodData[[#This Row],[Score]],#REF!,#REF!)</f>
        <v>#REF!</v>
      </c>
      <c r="D851" t="s">
        <v>1617</v>
      </c>
      <c r="E851" t="s">
        <v>28</v>
      </c>
      <c r="F851" t="s">
        <v>60</v>
      </c>
      <c r="G851" t="s">
        <v>23</v>
      </c>
      <c r="H851" t="s">
        <v>1719</v>
      </c>
      <c r="I851" s="1" t="s">
        <v>26</v>
      </c>
      <c r="J851" s="1" t="s">
        <v>25</v>
      </c>
      <c r="K851" s="1" t="s">
        <v>26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25</v>
      </c>
      <c r="Q851" s="1" t="s">
        <v>25</v>
      </c>
      <c r="R851" s="1" t="s">
        <v>25</v>
      </c>
      <c r="S851" s="2">
        <v>0</v>
      </c>
    </row>
    <row r="852" spans="1:19" x14ac:dyDescent="0.3">
      <c r="A852" t="s">
        <v>1720</v>
      </c>
      <c r="B852" s="5" t="e" cm="1">
        <f t="array" ref="B852">MAX(#REF!,MIN(#REF!,#REF!+SUMPRODUCT(--(FoodData[[#This Row],[Healthy]:[Refined]]="Yes"),#REF!)+FoodData[[#This Row],[Adjust]]))</f>
        <v>#REF!</v>
      </c>
      <c r="C852" s="1" t="e">
        <f>LOOKUP(FoodData[[#This Row],[Score]],#REF!,#REF!)</f>
        <v>#REF!</v>
      </c>
      <c r="D852" t="s">
        <v>1617</v>
      </c>
      <c r="E852" t="s">
        <v>28</v>
      </c>
      <c r="F852" t="s">
        <v>60</v>
      </c>
      <c r="G852" t="s">
        <v>23</v>
      </c>
      <c r="H852" t="s">
        <v>1721</v>
      </c>
      <c r="I852" s="1" t="s">
        <v>26</v>
      </c>
      <c r="J852" s="1" t="s">
        <v>25</v>
      </c>
      <c r="K852" s="1" t="s">
        <v>26</v>
      </c>
      <c r="L852" s="1" t="s">
        <v>25</v>
      </c>
      <c r="M852" s="1" t="s">
        <v>25</v>
      </c>
      <c r="N852" s="1" t="s">
        <v>26</v>
      </c>
      <c r="O852" s="1" t="s">
        <v>25</v>
      </c>
      <c r="P852" s="1" t="s">
        <v>25</v>
      </c>
      <c r="Q852" s="1" t="s">
        <v>25</v>
      </c>
      <c r="R852" s="1" t="s">
        <v>25</v>
      </c>
      <c r="S852" s="2">
        <v>0</v>
      </c>
    </row>
    <row r="853" spans="1:19" x14ac:dyDescent="0.3">
      <c r="A853" t="s">
        <v>1722</v>
      </c>
      <c r="B853" s="5" t="e" cm="1">
        <f t="array" ref="B853">MAX(#REF!,MIN(#REF!,#REF!+SUMPRODUCT(--(FoodData[[#This Row],[Healthy]:[Refined]]="Yes"),#REF!)+FoodData[[#This Row],[Adjust]]))</f>
        <v>#REF!</v>
      </c>
      <c r="C853" s="1" t="e">
        <f>LOOKUP(FoodData[[#This Row],[Score]],#REF!,#REF!)</f>
        <v>#REF!</v>
      </c>
      <c r="D853" t="s">
        <v>1617</v>
      </c>
      <c r="E853" t="s">
        <v>28</v>
      </c>
      <c r="F853" t="s">
        <v>60</v>
      </c>
      <c r="G853" t="s">
        <v>23</v>
      </c>
      <c r="H853" t="s">
        <v>1723</v>
      </c>
      <c r="I853" s="1" t="s">
        <v>25</v>
      </c>
      <c r="J853" s="1" t="s">
        <v>25</v>
      </c>
      <c r="K853" s="1" t="s">
        <v>26</v>
      </c>
      <c r="L853" s="1" t="s">
        <v>25</v>
      </c>
      <c r="M853" s="1" t="s">
        <v>25</v>
      </c>
      <c r="N853" s="1" t="s">
        <v>26</v>
      </c>
      <c r="O853" s="1" t="s">
        <v>25</v>
      </c>
      <c r="P853" s="1" t="s">
        <v>25</v>
      </c>
      <c r="Q853" s="1" t="s">
        <v>25</v>
      </c>
      <c r="R853" s="1" t="s">
        <v>25</v>
      </c>
      <c r="S853" s="2">
        <v>0</v>
      </c>
    </row>
    <row r="854" spans="1:19" x14ac:dyDescent="0.3">
      <c r="A854" t="s">
        <v>1724</v>
      </c>
      <c r="B854" s="5" t="e" cm="1">
        <f t="array" ref="B854">MAX(#REF!,MIN(#REF!,#REF!+SUMPRODUCT(--(FoodData[[#This Row],[Healthy]:[Refined]]="Yes"),#REF!)+FoodData[[#This Row],[Adjust]]))</f>
        <v>#REF!</v>
      </c>
      <c r="C854" s="1" t="e">
        <f>LOOKUP(FoodData[[#This Row],[Score]],#REF!,#REF!)</f>
        <v>#REF!</v>
      </c>
      <c r="D854" t="s">
        <v>1617</v>
      </c>
      <c r="E854" t="s">
        <v>28</v>
      </c>
      <c r="F854" t="s">
        <v>60</v>
      </c>
      <c r="G854" t="s">
        <v>23</v>
      </c>
      <c r="H854" t="s">
        <v>1725</v>
      </c>
      <c r="I854" s="1" t="s">
        <v>26</v>
      </c>
      <c r="J854" s="1" t="s">
        <v>26</v>
      </c>
      <c r="K854" s="1" t="s">
        <v>26</v>
      </c>
      <c r="L854" s="1" t="s">
        <v>25</v>
      </c>
      <c r="M854" s="1" t="s">
        <v>25</v>
      </c>
      <c r="N854" s="1" t="s">
        <v>25</v>
      </c>
      <c r="O854" s="1" t="s">
        <v>25</v>
      </c>
      <c r="P854" s="1" t="s">
        <v>25</v>
      </c>
      <c r="Q854" s="1" t="s">
        <v>25</v>
      </c>
      <c r="R854" s="1" t="s">
        <v>25</v>
      </c>
      <c r="S854" s="2">
        <v>0</v>
      </c>
    </row>
    <row r="855" spans="1:19" x14ac:dyDescent="0.3">
      <c r="A855" t="s">
        <v>1726</v>
      </c>
      <c r="B855" s="5" t="e" cm="1">
        <f t="array" ref="B855">MAX(#REF!,MIN(#REF!,#REF!+SUMPRODUCT(--(FoodData[[#This Row],[Healthy]:[Refined]]="Yes"),#REF!)+FoodData[[#This Row],[Adjust]]))</f>
        <v>#REF!</v>
      </c>
      <c r="C855" s="1" t="e">
        <f>LOOKUP(FoodData[[#This Row],[Score]],#REF!,#REF!)</f>
        <v>#REF!</v>
      </c>
      <c r="D855" t="s">
        <v>1617</v>
      </c>
      <c r="E855" t="s">
        <v>28</v>
      </c>
      <c r="F855" t="s">
        <v>60</v>
      </c>
      <c r="G855" t="s">
        <v>23</v>
      </c>
      <c r="H855" t="s">
        <v>1727</v>
      </c>
      <c r="I855" s="1" t="s">
        <v>25</v>
      </c>
      <c r="J855" s="1" t="s">
        <v>25</v>
      </c>
      <c r="K855" s="1" t="s">
        <v>26</v>
      </c>
      <c r="L855" s="1" t="s">
        <v>25</v>
      </c>
      <c r="M855" s="1" t="s">
        <v>25</v>
      </c>
      <c r="N855" s="1" t="s">
        <v>26</v>
      </c>
      <c r="O855" s="1" t="s">
        <v>25</v>
      </c>
      <c r="P855" s="1" t="s">
        <v>25</v>
      </c>
      <c r="Q855" s="1" t="s">
        <v>25</v>
      </c>
      <c r="R855" s="1" t="s">
        <v>25</v>
      </c>
      <c r="S855" s="2">
        <v>0</v>
      </c>
    </row>
    <row r="856" spans="1:19" x14ac:dyDescent="0.3">
      <c r="A856" t="s">
        <v>1728</v>
      </c>
      <c r="B856" s="5" t="e" cm="1">
        <f t="array" ref="B856">MAX(#REF!,MIN(#REF!,#REF!+SUMPRODUCT(--(FoodData[[#This Row],[Healthy]:[Refined]]="Yes"),#REF!)+FoodData[[#This Row],[Adjust]]))</f>
        <v>#REF!</v>
      </c>
      <c r="C856" s="1" t="e">
        <f>LOOKUP(FoodData[[#This Row],[Score]],#REF!,#REF!)</f>
        <v>#REF!</v>
      </c>
      <c r="D856" t="s">
        <v>1617</v>
      </c>
      <c r="E856" t="s">
        <v>199</v>
      </c>
      <c r="F856" t="s">
        <v>60</v>
      </c>
      <c r="G856" t="s">
        <v>23</v>
      </c>
      <c r="H856" t="s">
        <v>1729</v>
      </c>
      <c r="I856" s="1" t="s">
        <v>25</v>
      </c>
      <c r="J856" s="1" t="s">
        <v>25</v>
      </c>
      <c r="K856" s="1" t="s">
        <v>26</v>
      </c>
      <c r="L856" s="1" t="s">
        <v>26</v>
      </c>
      <c r="M856" s="1" t="s">
        <v>25</v>
      </c>
      <c r="N856" s="1" t="s">
        <v>26</v>
      </c>
      <c r="O856" s="1" t="s">
        <v>25</v>
      </c>
      <c r="P856" s="1" t="s">
        <v>26</v>
      </c>
      <c r="Q856" s="1" t="s">
        <v>26</v>
      </c>
      <c r="R856" s="1" t="s">
        <v>25</v>
      </c>
      <c r="S856" s="2">
        <v>0</v>
      </c>
    </row>
    <row r="857" spans="1:19" x14ac:dyDescent="0.3">
      <c r="A857" t="s">
        <v>1730</v>
      </c>
      <c r="B857" s="5" t="e" cm="1">
        <f t="array" ref="B857">MAX(#REF!,MIN(#REF!,#REF!+SUMPRODUCT(--(FoodData[[#This Row],[Healthy]:[Refined]]="Yes"),#REF!)+FoodData[[#This Row],[Adjust]]))</f>
        <v>#REF!</v>
      </c>
      <c r="C857" s="1" t="e">
        <f>LOOKUP(FoodData[[#This Row],[Score]],#REF!,#REF!)</f>
        <v>#REF!</v>
      </c>
      <c r="D857" t="s">
        <v>1617</v>
      </c>
      <c r="E857" t="s">
        <v>28</v>
      </c>
      <c r="F857" t="s">
        <v>60</v>
      </c>
      <c r="G857" t="s">
        <v>23</v>
      </c>
      <c r="H857" t="s">
        <v>1731</v>
      </c>
      <c r="I857" s="1" t="s">
        <v>25</v>
      </c>
      <c r="J857" s="1" t="s">
        <v>25</v>
      </c>
      <c r="K857" s="1" t="s">
        <v>26</v>
      </c>
      <c r="L857" s="1" t="s">
        <v>25</v>
      </c>
      <c r="M857" s="1" t="s">
        <v>25</v>
      </c>
      <c r="N857" s="1" t="s">
        <v>26</v>
      </c>
      <c r="O857" s="1" t="s">
        <v>25</v>
      </c>
      <c r="P857" s="1" t="s">
        <v>25</v>
      </c>
      <c r="Q857" s="1" t="s">
        <v>25</v>
      </c>
      <c r="R857" s="1" t="s">
        <v>25</v>
      </c>
      <c r="S857" s="2">
        <v>0</v>
      </c>
    </row>
    <row r="858" spans="1:19" x14ac:dyDescent="0.3">
      <c r="A858" t="s">
        <v>1732</v>
      </c>
      <c r="B858" s="5" t="e" cm="1">
        <f t="array" ref="B858">MAX(#REF!,MIN(#REF!,#REF!+SUMPRODUCT(--(FoodData[[#This Row],[Healthy]:[Refined]]="Yes"),#REF!)+FoodData[[#This Row],[Adjust]]))</f>
        <v>#REF!</v>
      </c>
      <c r="C858" s="1" t="e">
        <f>LOOKUP(FoodData[[#This Row],[Score]],#REF!,#REF!)</f>
        <v>#REF!</v>
      </c>
      <c r="D858" t="s">
        <v>1617</v>
      </c>
      <c r="E858" t="s">
        <v>28</v>
      </c>
      <c r="F858" t="s">
        <v>60</v>
      </c>
      <c r="G858" t="s">
        <v>23</v>
      </c>
      <c r="H858" t="s">
        <v>1733</v>
      </c>
      <c r="I858" s="1" t="s">
        <v>26</v>
      </c>
      <c r="J858" s="1" t="s">
        <v>25</v>
      </c>
      <c r="K858" s="1" t="s">
        <v>26</v>
      </c>
      <c r="L858" s="1" t="s">
        <v>25</v>
      </c>
      <c r="M858" s="1" t="s">
        <v>25</v>
      </c>
      <c r="N858" s="1" t="s">
        <v>26</v>
      </c>
      <c r="O858" s="1" t="s">
        <v>25</v>
      </c>
      <c r="P858" s="1" t="s">
        <v>25</v>
      </c>
      <c r="Q858" s="1" t="s">
        <v>25</v>
      </c>
      <c r="R858" s="1" t="s">
        <v>25</v>
      </c>
      <c r="S858" s="2">
        <v>0</v>
      </c>
    </row>
    <row r="859" spans="1:19" x14ac:dyDescent="0.3">
      <c r="A859" t="s">
        <v>1734</v>
      </c>
      <c r="B859" s="5" t="e" cm="1">
        <f t="array" ref="B859">MAX(#REF!,MIN(#REF!,#REF!+SUMPRODUCT(--(FoodData[[#This Row],[Healthy]:[Refined]]="Yes"),#REF!)+FoodData[[#This Row],[Adjust]]))</f>
        <v>#REF!</v>
      </c>
      <c r="C859" s="1" t="e">
        <f>LOOKUP(FoodData[[#This Row],[Score]],#REF!,#REF!)</f>
        <v>#REF!</v>
      </c>
      <c r="D859" t="s">
        <v>1617</v>
      </c>
      <c r="E859" t="s">
        <v>28</v>
      </c>
      <c r="F859" t="s">
        <v>60</v>
      </c>
      <c r="G859" t="s">
        <v>23</v>
      </c>
      <c r="H859" t="s">
        <v>1735</v>
      </c>
      <c r="I859" s="1" t="s">
        <v>25</v>
      </c>
      <c r="J859" s="1" t="s">
        <v>25</v>
      </c>
      <c r="K859" s="1" t="s">
        <v>26</v>
      </c>
      <c r="L859" s="1" t="s">
        <v>25</v>
      </c>
      <c r="M859" s="1" t="s">
        <v>25</v>
      </c>
      <c r="N859" s="1" t="s">
        <v>26</v>
      </c>
      <c r="O859" s="1" t="s">
        <v>25</v>
      </c>
      <c r="P859" s="1" t="s">
        <v>25</v>
      </c>
      <c r="Q859" s="1" t="s">
        <v>25</v>
      </c>
      <c r="R859" s="1" t="s">
        <v>25</v>
      </c>
      <c r="S859" s="2">
        <v>0</v>
      </c>
    </row>
    <row r="860" spans="1:19" x14ac:dyDescent="0.3">
      <c r="A860" t="s">
        <v>1736</v>
      </c>
      <c r="B860" s="5" t="e" cm="1">
        <f t="array" ref="B860">MAX(#REF!,MIN(#REF!,#REF!+SUMPRODUCT(--(FoodData[[#This Row],[Healthy]:[Refined]]="Yes"),#REF!)+FoodData[[#This Row],[Adjust]]))</f>
        <v>#REF!</v>
      </c>
      <c r="C860" s="1" t="e">
        <f>LOOKUP(FoodData[[#This Row],[Score]],#REF!,#REF!)</f>
        <v>#REF!</v>
      </c>
      <c r="D860" t="s">
        <v>1617</v>
      </c>
      <c r="E860" t="s">
        <v>28</v>
      </c>
      <c r="F860" t="s">
        <v>60</v>
      </c>
      <c r="G860" t="s">
        <v>23</v>
      </c>
      <c r="H860" t="s">
        <v>1737</v>
      </c>
      <c r="I860" s="1" t="s">
        <v>25</v>
      </c>
      <c r="J860" s="1" t="s">
        <v>25</v>
      </c>
      <c r="K860" s="1" t="s">
        <v>26</v>
      </c>
      <c r="L860" s="1" t="s">
        <v>25</v>
      </c>
      <c r="M860" s="1" t="s">
        <v>25</v>
      </c>
      <c r="N860" s="1" t="s">
        <v>25</v>
      </c>
      <c r="O860" s="1" t="s">
        <v>26</v>
      </c>
      <c r="P860" s="1" t="s">
        <v>25</v>
      </c>
      <c r="Q860" s="1" t="s">
        <v>25</v>
      </c>
      <c r="R860" s="1" t="s">
        <v>26</v>
      </c>
      <c r="S860" s="2">
        <v>0</v>
      </c>
    </row>
    <row r="861" spans="1:19" x14ac:dyDescent="0.3">
      <c r="A861" t="s">
        <v>1738</v>
      </c>
      <c r="B861" s="5" t="e" cm="1">
        <f t="array" ref="B861">MAX(#REF!,MIN(#REF!,#REF!+SUMPRODUCT(--(FoodData[[#This Row],[Healthy]:[Refined]]="Yes"),#REF!)+FoodData[[#This Row],[Adjust]]))</f>
        <v>#REF!</v>
      </c>
      <c r="C861" s="1" t="e">
        <f>LOOKUP(FoodData[[#This Row],[Score]],#REF!,#REF!)</f>
        <v>#REF!</v>
      </c>
      <c r="D861" t="s">
        <v>1617</v>
      </c>
      <c r="E861" t="s">
        <v>28</v>
      </c>
      <c r="F861" t="s">
        <v>60</v>
      </c>
      <c r="G861" t="s">
        <v>23</v>
      </c>
      <c r="H861" t="s">
        <v>1739</v>
      </c>
      <c r="I861" s="1" t="s">
        <v>25</v>
      </c>
      <c r="J861" s="1" t="s">
        <v>25</v>
      </c>
      <c r="K861" s="1" t="s">
        <v>26</v>
      </c>
      <c r="L861" s="1" t="s">
        <v>25</v>
      </c>
      <c r="M861" s="1" t="s">
        <v>25</v>
      </c>
      <c r="N861" s="1" t="s">
        <v>26</v>
      </c>
      <c r="O861" s="1" t="s">
        <v>25</v>
      </c>
      <c r="P861" s="1" t="s">
        <v>25</v>
      </c>
      <c r="Q861" s="1" t="s">
        <v>25</v>
      </c>
      <c r="R861" s="1" t="s">
        <v>26</v>
      </c>
      <c r="S861" s="2">
        <v>0</v>
      </c>
    </row>
    <row r="862" spans="1:19" x14ac:dyDescent="0.3">
      <c r="A862" t="s">
        <v>1740</v>
      </c>
      <c r="B862" s="5" t="e" cm="1">
        <f t="array" ref="B862">MAX(#REF!,MIN(#REF!,#REF!+SUMPRODUCT(--(FoodData[[#This Row],[Healthy]:[Refined]]="Yes"),#REF!)+FoodData[[#This Row],[Adjust]]))</f>
        <v>#REF!</v>
      </c>
      <c r="C862" s="1" t="e">
        <f>LOOKUP(FoodData[[#This Row],[Score]],#REF!,#REF!)</f>
        <v>#REF!</v>
      </c>
      <c r="D862" t="s">
        <v>1617</v>
      </c>
      <c r="E862" t="s">
        <v>28</v>
      </c>
      <c r="F862" t="s">
        <v>60</v>
      </c>
      <c r="G862" t="s">
        <v>23</v>
      </c>
      <c r="H862" t="s">
        <v>1741</v>
      </c>
      <c r="I862" s="1" t="s">
        <v>26</v>
      </c>
      <c r="J862" s="1" t="s">
        <v>25</v>
      </c>
      <c r="K862" s="1" t="s">
        <v>26</v>
      </c>
      <c r="L862" s="1" t="s">
        <v>25</v>
      </c>
      <c r="M862" s="1" t="s">
        <v>25</v>
      </c>
      <c r="N862" s="1" t="s">
        <v>26</v>
      </c>
      <c r="O862" s="1" t="s">
        <v>25</v>
      </c>
      <c r="P862" s="1" t="s">
        <v>25</v>
      </c>
      <c r="Q862" s="1" t="s">
        <v>25</v>
      </c>
      <c r="R862" s="1" t="s">
        <v>25</v>
      </c>
      <c r="S862" s="2">
        <v>0</v>
      </c>
    </row>
    <row r="863" spans="1:19" x14ac:dyDescent="0.3">
      <c r="A863" t="s">
        <v>1742</v>
      </c>
      <c r="B863" s="5" t="e" cm="1">
        <f t="array" ref="B863">MAX(#REF!,MIN(#REF!,#REF!+SUMPRODUCT(--(FoodData[[#This Row],[Healthy]:[Refined]]="Yes"),#REF!)+FoodData[[#This Row],[Adjust]]))</f>
        <v>#REF!</v>
      </c>
      <c r="C863" s="1" t="e">
        <f>LOOKUP(FoodData[[#This Row],[Score]],#REF!,#REF!)</f>
        <v>#REF!</v>
      </c>
      <c r="D863" t="s">
        <v>1617</v>
      </c>
      <c r="E863" t="s">
        <v>28</v>
      </c>
      <c r="F863" t="s">
        <v>60</v>
      </c>
      <c r="G863" t="s">
        <v>23</v>
      </c>
      <c r="H863" t="s">
        <v>1743</v>
      </c>
      <c r="I863" s="1" t="s">
        <v>25</v>
      </c>
      <c r="J863" s="1" t="s">
        <v>25</v>
      </c>
      <c r="K863" s="1" t="s">
        <v>26</v>
      </c>
      <c r="L863" s="1" t="s">
        <v>25</v>
      </c>
      <c r="M863" s="1" t="s">
        <v>25</v>
      </c>
      <c r="N863" s="1" t="s">
        <v>26</v>
      </c>
      <c r="O863" s="1" t="s">
        <v>25</v>
      </c>
      <c r="P863" s="1" t="s">
        <v>25</v>
      </c>
      <c r="Q863" s="1" t="s">
        <v>25</v>
      </c>
      <c r="R863" s="1" t="s">
        <v>25</v>
      </c>
      <c r="S863" s="2">
        <v>0</v>
      </c>
    </row>
    <row r="864" spans="1:19" x14ac:dyDescent="0.3">
      <c r="A864" t="s">
        <v>1744</v>
      </c>
      <c r="B864" s="5" t="e" cm="1">
        <f t="array" ref="B864">MAX(#REF!,MIN(#REF!,#REF!+SUMPRODUCT(--(FoodData[[#This Row],[Healthy]:[Refined]]="Yes"),#REF!)+FoodData[[#This Row],[Adjust]]))</f>
        <v>#REF!</v>
      </c>
      <c r="C864" s="1" t="e">
        <f>LOOKUP(FoodData[[#This Row],[Score]],#REF!,#REF!)</f>
        <v>#REF!</v>
      </c>
      <c r="D864" t="s">
        <v>1617</v>
      </c>
      <c r="E864" t="s">
        <v>28</v>
      </c>
      <c r="F864" t="s">
        <v>60</v>
      </c>
      <c r="G864" t="s">
        <v>23</v>
      </c>
      <c r="H864" t="s">
        <v>1741</v>
      </c>
      <c r="I864" s="1" t="s">
        <v>26</v>
      </c>
      <c r="J864" s="1" t="s">
        <v>25</v>
      </c>
      <c r="K864" s="1" t="s">
        <v>26</v>
      </c>
      <c r="L864" s="1" t="s">
        <v>25</v>
      </c>
      <c r="M864" s="1" t="s">
        <v>25</v>
      </c>
      <c r="N864" s="1" t="s">
        <v>26</v>
      </c>
      <c r="O864" s="1" t="s">
        <v>25</v>
      </c>
      <c r="P864" s="1" t="s">
        <v>25</v>
      </c>
      <c r="Q864" s="1" t="s">
        <v>25</v>
      </c>
      <c r="R864" s="1" t="s">
        <v>25</v>
      </c>
      <c r="S864" s="2">
        <v>0</v>
      </c>
    </row>
    <row r="865" spans="1:19" x14ac:dyDescent="0.3">
      <c r="A865" t="s">
        <v>1745</v>
      </c>
      <c r="B865" s="5" t="e" cm="1">
        <f t="array" ref="B865">MAX(#REF!,MIN(#REF!,#REF!+SUMPRODUCT(--(FoodData[[#This Row],[Healthy]:[Refined]]="Yes"),#REF!)+FoodData[[#This Row],[Adjust]]))</f>
        <v>#REF!</v>
      </c>
      <c r="C865" s="1" t="e">
        <f>LOOKUP(FoodData[[#This Row],[Score]],#REF!,#REF!)</f>
        <v>#REF!</v>
      </c>
      <c r="D865" t="s">
        <v>1617</v>
      </c>
      <c r="E865" t="s">
        <v>28</v>
      </c>
      <c r="F865" t="s">
        <v>60</v>
      </c>
      <c r="G865" t="s">
        <v>23</v>
      </c>
      <c r="H865" t="s">
        <v>1746</v>
      </c>
      <c r="I865" s="1" t="s">
        <v>25</v>
      </c>
      <c r="J865" s="1" t="s">
        <v>25</v>
      </c>
      <c r="K865" s="1" t="s">
        <v>26</v>
      </c>
      <c r="L865" s="1" t="s">
        <v>25</v>
      </c>
      <c r="M865" s="1" t="s">
        <v>25</v>
      </c>
      <c r="N865" s="1" t="s">
        <v>26</v>
      </c>
      <c r="O865" s="1" t="s">
        <v>25</v>
      </c>
      <c r="P865" s="1" t="s">
        <v>25</v>
      </c>
      <c r="Q865" s="1" t="s">
        <v>25</v>
      </c>
      <c r="R865" s="1" t="s">
        <v>25</v>
      </c>
      <c r="S865" s="2">
        <v>0</v>
      </c>
    </row>
    <row r="866" spans="1:19" x14ac:dyDescent="0.3">
      <c r="A866" t="s">
        <v>1747</v>
      </c>
      <c r="B866" s="5" t="e" cm="1">
        <f t="array" ref="B866">MAX(#REF!,MIN(#REF!,#REF!+SUMPRODUCT(--(FoodData[[#This Row],[Healthy]:[Refined]]="Yes"),#REF!)+FoodData[[#This Row],[Adjust]]))</f>
        <v>#REF!</v>
      </c>
      <c r="C866" s="1" t="e">
        <f>LOOKUP(FoodData[[#This Row],[Score]],#REF!,#REF!)</f>
        <v>#REF!</v>
      </c>
      <c r="D866" t="s">
        <v>1617</v>
      </c>
      <c r="E866" t="s">
        <v>28</v>
      </c>
      <c r="F866" t="s">
        <v>60</v>
      </c>
      <c r="G866" t="s">
        <v>23</v>
      </c>
      <c r="H866" t="s">
        <v>1748</v>
      </c>
      <c r="I866" s="1" t="s">
        <v>25</v>
      </c>
      <c r="J866" s="1" t="s">
        <v>25</v>
      </c>
      <c r="K866" s="1" t="s">
        <v>26</v>
      </c>
      <c r="L866" s="1" t="s">
        <v>25</v>
      </c>
      <c r="M866" s="1" t="s">
        <v>25</v>
      </c>
      <c r="N866" s="1" t="s">
        <v>26</v>
      </c>
      <c r="O866" s="1" t="s">
        <v>25</v>
      </c>
      <c r="P866" s="1" t="s">
        <v>25</v>
      </c>
      <c r="Q866" s="1" t="s">
        <v>25</v>
      </c>
      <c r="R866" s="1" t="s">
        <v>25</v>
      </c>
      <c r="S866" s="2">
        <v>0</v>
      </c>
    </row>
    <row r="867" spans="1:19" x14ac:dyDescent="0.3">
      <c r="A867" t="s">
        <v>1749</v>
      </c>
      <c r="B867" s="5" t="e" cm="1">
        <f t="array" ref="B867">MAX(#REF!,MIN(#REF!,#REF!+SUMPRODUCT(--(FoodData[[#This Row],[Healthy]:[Refined]]="Yes"),#REF!)+FoodData[[#This Row],[Adjust]]))</f>
        <v>#REF!</v>
      </c>
      <c r="C867" s="1" t="e">
        <f>LOOKUP(FoodData[[#This Row],[Score]],#REF!,#REF!)</f>
        <v>#REF!</v>
      </c>
      <c r="D867" t="s">
        <v>1617</v>
      </c>
      <c r="E867" t="s">
        <v>28</v>
      </c>
      <c r="F867" t="s">
        <v>60</v>
      </c>
      <c r="G867" t="s">
        <v>29</v>
      </c>
      <c r="H867" t="s">
        <v>1750</v>
      </c>
      <c r="I867" s="1" t="s">
        <v>26</v>
      </c>
      <c r="J867" s="1" t="s">
        <v>25</v>
      </c>
      <c r="K867" s="1" t="s">
        <v>26</v>
      </c>
      <c r="L867" s="1" t="s">
        <v>26</v>
      </c>
      <c r="M867" s="1" t="s">
        <v>25</v>
      </c>
      <c r="N867" s="1" t="s">
        <v>26</v>
      </c>
      <c r="O867" s="1" t="s">
        <v>25</v>
      </c>
      <c r="P867" s="1" t="s">
        <v>25</v>
      </c>
      <c r="Q867" s="1" t="s">
        <v>25</v>
      </c>
      <c r="R867" s="1" t="s">
        <v>25</v>
      </c>
      <c r="S867" s="2">
        <v>0</v>
      </c>
    </row>
    <row r="868" spans="1:19" x14ac:dyDescent="0.3">
      <c r="A868" t="s">
        <v>1751</v>
      </c>
      <c r="B868" s="5" t="e" cm="1">
        <f t="array" ref="B868">MAX(#REF!,MIN(#REF!,#REF!+SUMPRODUCT(--(FoodData[[#This Row],[Healthy]:[Refined]]="Yes"),#REF!)+FoodData[[#This Row],[Adjust]]))</f>
        <v>#REF!</v>
      </c>
      <c r="C868" s="1" t="e">
        <f>LOOKUP(FoodData[[#This Row],[Score]],#REF!,#REF!)</f>
        <v>#REF!</v>
      </c>
      <c r="D868" t="s">
        <v>1617</v>
      </c>
      <c r="E868" t="s">
        <v>28</v>
      </c>
      <c r="F868" t="s">
        <v>60</v>
      </c>
      <c r="G868" t="s">
        <v>23</v>
      </c>
      <c r="H868" t="s">
        <v>1752</v>
      </c>
      <c r="I868" s="1" t="s">
        <v>26</v>
      </c>
      <c r="J868" s="1" t="s">
        <v>25</v>
      </c>
      <c r="K868" s="1" t="s">
        <v>26</v>
      </c>
      <c r="L868" s="1" t="s">
        <v>25</v>
      </c>
      <c r="M868" s="1" t="s">
        <v>25</v>
      </c>
      <c r="N868" s="1" t="s">
        <v>26</v>
      </c>
      <c r="O868" s="1" t="s">
        <v>25</v>
      </c>
      <c r="P868" s="1" t="s">
        <v>25</v>
      </c>
      <c r="Q868" s="1" t="s">
        <v>25</v>
      </c>
      <c r="R868" s="1" t="s">
        <v>25</v>
      </c>
      <c r="S868" s="2">
        <v>0</v>
      </c>
    </row>
    <row r="869" spans="1:19" x14ac:dyDescent="0.3">
      <c r="A869" t="s">
        <v>1753</v>
      </c>
      <c r="B869" s="5" t="e" cm="1">
        <f t="array" ref="B869">MAX(#REF!,MIN(#REF!,#REF!+SUMPRODUCT(--(FoodData[[#This Row],[Healthy]:[Refined]]="Yes"),#REF!)+FoodData[[#This Row],[Adjust]]))</f>
        <v>#REF!</v>
      </c>
      <c r="C869" s="1" t="e">
        <f>LOOKUP(FoodData[[#This Row],[Score]],#REF!,#REF!)</f>
        <v>#REF!</v>
      </c>
      <c r="D869" t="s">
        <v>1617</v>
      </c>
      <c r="E869" t="s">
        <v>28</v>
      </c>
      <c r="F869" t="s">
        <v>60</v>
      </c>
      <c r="G869" t="s">
        <v>23</v>
      </c>
      <c r="H869" t="s">
        <v>1754</v>
      </c>
      <c r="I869" s="1" t="s">
        <v>26</v>
      </c>
      <c r="J869" s="1" t="s">
        <v>25</v>
      </c>
      <c r="K869" s="1" t="s">
        <v>26</v>
      </c>
      <c r="L869" s="1" t="s">
        <v>25</v>
      </c>
      <c r="M869" s="1" t="s">
        <v>25</v>
      </c>
      <c r="N869" s="1" t="s">
        <v>26</v>
      </c>
      <c r="O869" s="1" t="s">
        <v>25</v>
      </c>
      <c r="P869" s="1" t="s">
        <v>25</v>
      </c>
      <c r="Q869" s="1" t="s">
        <v>25</v>
      </c>
      <c r="R869" s="1" t="s">
        <v>25</v>
      </c>
      <c r="S869" s="2">
        <v>0</v>
      </c>
    </row>
    <row r="870" spans="1:19" x14ac:dyDescent="0.3">
      <c r="A870" t="s">
        <v>1755</v>
      </c>
      <c r="B870" s="5" t="e" cm="1">
        <f t="array" ref="B870">MAX(#REF!,MIN(#REF!,#REF!+SUMPRODUCT(--(FoodData[[#This Row],[Healthy]:[Refined]]="Yes"),#REF!)+FoodData[[#This Row],[Adjust]]))</f>
        <v>#REF!</v>
      </c>
      <c r="C870" s="1" t="e">
        <f>LOOKUP(FoodData[[#This Row],[Score]],#REF!,#REF!)</f>
        <v>#REF!</v>
      </c>
      <c r="D870" t="s">
        <v>1617</v>
      </c>
      <c r="E870" t="s">
        <v>28</v>
      </c>
      <c r="F870" t="s">
        <v>60</v>
      </c>
      <c r="G870" t="s">
        <v>23</v>
      </c>
      <c r="H870" t="s">
        <v>1756</v>
      </c>
      <c r="I870" s="1" t="s">
        <v>26</v>
      </c>
      <c r="J870" s="1" t="s">
        <v>25</v>
      </c>
      <c r="K870" s="1" t="s">
        <v>26</v>
      </c>
      <c r="L870" s="1" t="s">
        <v>25</v>
      </c>
      <c r="M870" s="1" t="s">
        <v>25</v>
      </c>
      <c r="N870" s="1" t="s">
        <v>26</v>
      </c>
      <c r="O870" s="1" t="s">
        <v>25</v>
      </c>
      <c r="P870" s="1" t="s">
        <v>25</v>
      </c>
      <c r="Q870" s="1" t="s">
        <v>25</v>
      </c>
      <c r="R870" s="1" t="s">
        <v>25</v>
      </c>
      <c r="S870" s="2">
        <v>0</v>
      </c>
    </row>
    <row r="871" spans="1:19" x14ac:dyDescent="0.3">
      <c r="A871" t="s">
        <v>1757</v>
      </c>
      <c r="B871" s="5" t="e" cm="1">
        <f t="array" ref="B871">MAX(#REF!,MIN(#REF!,#REF!+SUMPRODUCT(--(FoodData[[#This Row],[Healthy]:[Refined]]="Yes"),#REF!)+FoodData[[#This Row],[Adjust]]))</f>
        <v>#REF!</v>
      </c>
      <c r="C871" s="1" t="e">
        <f>LOOKUP(FoodData[[#This Row],[Score]],#REF!,#REF!)</f>
        <v>#REF!</v>
      </c>
      <c r="D871" t="s">
        <v>1617</v>
      </c>
      <c r="E871" t="s">
        <v>63</v>
      </c>
      <c r="F871" t="s">
        <v>60</v>
      </c>
      <c r="G871" t="s">
        <v>29</v>
      </c>
      <c r="H871" t="s">
        <v>1758</v>
      </c>
      <c r="I871" s="1" t="s">
        <v>25</v>
      </c>
      <c r="J871" s="1" t="s">
        <v>25</v>
      </c>
      <c r="K871" s="1" t="s">
        <v>26</v>
      </c>
      <c r="L871" s="1" t="s">
        <v>25</v>
      </c>
      <c r="M871" s="1" t="s">
        <v>25</v>
      </c>
      <c r="N871" s="1" t="s">
        <v>26</v>
      </c>
      <c r="O871" s="1" t="s">
        <v>25</v>
      </c>
      <c r="P871" s="1" t="s">
        <v>26</v>
      </c>
      <c r="Q871" s="1" t="s">
        <v>26</v>
      </c>
      <c r="R871" s="1" t="s">
        <v>26</v>
      </c>
      <c r="S871" s="2">
        <v>0</v>
      </c>
    </row>
    <row r="872" spans="1:19" x14ac:dyDescent="0.3">
      <c r="A872" t="s">
        <v>1759</v>
      </c>
      <c r="B872" s="5" t="e" cm="1">
        <f t="array" ref="B872">MAX(#REF!,MIN(#REF!,#REF!+SUMPRODUCT(--(FoodData[[#This Row],[Healthy]:[Refined]]="Yes"),#REF!)+FoodData[[#This Row],[Adjust]]))</f>
        <v>#REF!</v>
      </c>
      <c r="C872" s="1" t="e">
        <f>LOOKUP(FoodData[[#This Row],[Score]],#REF!,#REF!)</f>
        <v>#REF!</v>
      </c>
      <c r="D872" t="s">
        <v>1617</v>
      </c>
      <c r="E872" t="s">
        <v>199</v>
      </c>
      <c r="F872" t="s">
        <v>60</v>
      </c>
      <c r="G872" t="s">
        <v>23</v>
      </c>
      <c r="H872" t="s">
        <v>1760</v>
      </c>
      <c r="I872" s="1" t="s">
        <v>25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26</v>
      </c>
      <c r="O872" s="1" t="s">
        <v>25</v>
      </c>
      <c r="P872" s="1" t="s">
        <v>26</v>
      </c>
      <c r="Q872" s="1" t="s">
        <v>26</v>
      </c>
      <c r="R872" s="1" t="s">
        <v>25</v>
      </c>
      <c r="S872" s="2">
        <v>0</v>
      </c>
    </row>
    <row r="873" spans="1:19" x14ac:dyDescent="0.3">
      <c r="A873" t="s">
        <v>1761</v>
      </c>
      <c r="B873" s="5" t="e" cm="1">
        <f t="array" ref="B873">MAX(#REF!,MIN(#REF!,#REF!+SUMPRODUCT(--(FoodData[[#This Row],[Healthy]:[Refined]]="Yes"),#REF!)+FoodData[[#This Row],[Adjust]]))</f>
        <v>#REF!</v>
      </c>
      <c r="C873" s="1" t="e">
        <f>LOOKUP(FoodData[[#This Row],[Score]],#REF!,#REF!)</f>
        <v>#REF!</v>
      </c>
      <c r="D873" t="s">
        <v>1617</v>
      </c>
      <c r="E873" t="s">
        <v>28</v>
      </c>
      <c r="F873" t="s">
        <v>60</v>
      </c>
      <c r="G873" t="s">
        <v>23</v>
      </c>
      <c r="H873" t="s">
        <v>1762</v>
      </c>
      <c r="I873" s="1" t="s">
        <v>26</v>
      </c>
      <c r="J873" s="1" t="s">
        <v>26</v>
      </c>
      <c r="K873" s="1" t="s">
        <v>26</v>
      </c>
      <c r="L873" s="1" t="s">
        <v>25</v>
      </c>
      <c r="M873" s="1" t="s">
        <v>25</v>
      </c>
      <c r="N873" s="1" t="s">
        <v>25</v>
      </c>
      <c r="O873" s="1" t="s">
        <v>25</v>
      </c>
      <c r="P873" s="1" t="s">
        <v>25</v>
      </c>
      <c r="Q873" s="1" t="s">
        <v>25</v>
      </c>
      <c r="R873" s="1" t="s">
        <v>25</v>
      </c>
      <c r="S873" s="2">
        <v>0</v>
      </c>
    </row>
    <row r="874" spans="1:19" x14ac:dyDescent="0.3">
      <c r="A874" t="s">
        <v>1763</v>
      </c>
      <c r="B874" s="5" t="e" cm="1">
        <f t="array" ref="B874">MAX(#REF!,MIN(#REF!,#REF!+SUMPRODUCT(--(FoodData[[#This Row],[Healthy]:[Refined]]="Yes"),#REF!)+FoodData[[#This Row],[Adjust]]))</f>
        <v>#REF!</v>
      </c>
      <c r="C874" s="1" t="e">
        <f>LOOKUP(FoodData[[#This Row],[Score]],#REF!,#REF!)</f>
        <v>#REF!</v>
      </c>
      <c r="D874" t="s">
        <v>1617</v>
      </c>
      <c r="E874" t="s">
        <v>28</v>
      </c>
      <c r="F874" t="s">
        <v>60</v>
      </c>
      <c r="G874" t="s">
        <v>162</v>
      </c>
      <c r="H874" t="s">
        <v>1764</v>
      </c>
      <c r="I874" s="1" t="s">
        <v>26</v>
      </c>
      <c r="J874" s="1" t="s">
        <v>25</v>
      </c>
      <c r="K874" s="1" t="s">
        <v>26</v>
      </c>
      <c r="L874" s="1" t="s">
        <v>25</v>
      </c>
      <c r="M874" s="1" t="s">
        <v>25</v>
      </c>
      <c r="N874" s="1" t="s">
        <v>26</v>
      </c>
      <c r="O874" s="1" t="s">
        <v>25</v>
      </c>
      <c r="P874" s="1" t="s">
        <v>25</v>
      </c>
      <c r="Q874" s="1" t="s">
        <v>25</v>
      </c>
      <c r="R874" s="1" t="s">
        <v>25</v>
      </c>
      <c r="S874" s="2">
        <v>0</v>
      </c>
    </row>
    <row r="875" spans="1:19" x14ac:dyDescent="0.3">
      <c r="A875" t="s">
        <v>1765</v>
      </c>
      <c r="B875" s="5" t="e" cm="1">
        <f t="array" ref="B875">MAX(#REF!,MIN(#REF!,#REF!+SUMPRODUCT(--(FoodData[[#This Row],[Healthy]:[Refined]]="Yes"),#REF!)+FoodData[[#This Row],[Adjust]]))</f>
        <v>#REF!</v>
      </c>
      <c r="C875" s="1" t="e">
        <f>LOOKUP(FoodData[[#This Row],[Score]],#REF!,#REF!)</f>
        <v>#REF!</v>
      </c>
      <c r="D875" t="s">
        <v>1617</v>
      </c>
      <c r="E875" t="s">
        <v>199</v>
      </c>
      <c r="F875" t="s">
        <v>60</v>
      </c>
      <c r="G875" t="s">
        <v>23</v>
      </c>
      <c r="H875" t="s">
        <v>1766</v>
      </c>
      <c r="I875" s="1" t="s">
        <v>25</v>
      </c>
      <c r="J875" s="1" t="s">
        <v>25</v>
      </c>
      <c r="K875" s="1" t="s">
        <v>26</v>
      </c>
      <c r="L875" s="1" t="s">
        <v>25</v>
      </c>
      <c r="M875" s="1" t="s">
        <v>25</v>
      </c>
      <c r="N875" s="1" t="s">
        <v>26</v>
      </c>
      <c r="O875" s="1" t="s">
        <v>25</v>
      </c>
      <c r="P875" s="1" t="s">
        <v>26</v>
      </c>
      <c r="Q875" s="1" t="s">
        <v>26</v>
      </c>
      <c r="R875" s="1" t="s">
        <v>25</v>
      </c>
      <c r="S875" s="2">
        <v>0</v>
      </c>
    </row>
    <row r="876" spans="1:19" x14ac:dyDescent="0.3">
      <c r="A876" t="s">
        <v>1767</v>
      </c>
      <c r="B876" s="5" t="e" cm="1">
        <f t="array" ref="B876">MAX(#REF!,MIN(#REF!,#REF!+SUMPRODUCT(--(FoodData[[#This Row],[Healthy]:[Refined]]="Yes"),#REF!)+FoodData[[#This Row],[Adjust]]))</f>
        <v>#REF!</v>
      </c>
      <c r="C876" s="1" t="e">
        <f>LOOKUP(FoodData[[#This Row],[Score]],#REF!,#REF!)</f>
        <v>#REF!</v>
      </c>
      <c r="D876" t="s">
        <v>1617</v>
      </c>
      <c r="E876" t="s">
        <v>28</v>
      </c>
      <c r="F876" t="s">
        <v>60</v>
      </c>
      <c r="G876" t="s">
        <v>23</v>
      </c>
      <c r="H876" t="s">
        <v>1768</v>
      </c>
      <c r="I876" s="1" t="s">
        <v>25</v>
      </c>
      <c r="J876" s="1" t="s">
        <v>25</v>
      </c>
      <c r="K876" s="1" t="s">
        <v>26</v>
      </c>
      <c r="L876" s="1" t="s">
        <v>25</v>
      </c>
      <c r="M876" s="1" t="s">
        <v>25</v>
      </c>
      <c r="N876" s="1" t="s">
        <v>26</v>
      </c>
      <c r="O876" s="1" t="s">
        <v>25</v>
      </c>
      <c r="P876" s="1" t="s">
        <v>25</v>
      </c>
      <c r="Q876" s="1" t="s">
        <v>25</v>
      </c>
      <c r="R876" s="1" t="s">
        <v>25</v>
      </c>
      <c r="S876" s="2">
        <v>0</v>
      </c>
    </row>
    <row r="877" spans="1:19" x14ac:dyDescent="0.3">
      <c r="A877" t="s">
        <v>1769</v>
      </c>
      <c r="B877" s="5" t="e" cm="1">
        <f t="array" ref="B877">MAX(#REF!,MIN(#REF!,#REF!+SUMPRODUCT(--(FoodData[[#This Row],[Healthy]:[Refined]]="Yes"),#REF!)+FoodData[[#This Row],[Adjust]]))</f>
        <v>#REF!</v>
      </c>
      <c r="C877" s="1" t="e">
        <f>LOOKUP(FoodData[[#This Row],[Score]],#REF!,#REF!)</f>
        <v>#REF!</v>
      </c>
      <c r="D877" t="s">
        <v>1617</v>
      </c>
      <c r="E877" t="s">
        <v>28</v>
      </c>
      <c r="F877" t="s">
        <v>60</v>
      </c>
      <c r="G877" t="s">
        <v>23</v>
      </c>
      <c r="H877" t="s">
        <v>1770</v>
      </c>
      <c r="I877" s="1" t="s">
        <v>26</v>
      </c>
      <c r="J877" s="1" t="s">
        <v>26</v>
      </c>
      <c r="K877" s="1" t="s">
        <v>26</v>
      </c>
      <c r="L877" s="1" t="s">
        <v>25</v>
      </c>
      <c r="M877" s="1" t="s">
        <v>25</v>
      </c>
      <c r="N877" s="1" t="s">
        <v>25</v>
      </c>
      <c r="O877" s="1" t="s">
        <v>25</v>
      </c>
      <c r="P877" s="1" t="s">
        <v>25</v>
      </c>
      <c r="Q877" s="1" t="s">
        <v>25</v>
      </c>
      <c r="R877" s="1" t="s">
        <v>25</v>
      </c>
      <c r="S877" s="2">
        <v>0</v>
      </c>
    </row>
    <row r="878" spans="1:19" x14ac:dyDescent="0.3">
      <c r="A878" t="s">
        <v>1771</v>
      </c>
      <c r="B878" s="5" t="e" cm="1">
        <f t="array" ref="B878">MAX(#REF!,MIN(#REF!,#REF!+SUMPRODUCT(--(FoodData[[#This Row],[Healthy]:[Refined]]="Yes"),#REF!)+FoodData[[#This Row],[Adjust]]))</f>
        <v>#REF!</v>
      </c>
      <c r="C878" s="1" t="e">
        <f>LOOKUP(FoodData[[#This Row],[Score]],#REF!,#REF!)</f>
        <v>#REF!</v>
      </c>
      <c r="D878" t="s">
        <v>1617</v>
      </c>
      <c r="E878" t="s">
        <v>28</v>
      </c>
      <c r="F878" t="s">
        <v>60</v>
      </c>
      <c r="G878" t="s">
        <v>23</v>
      </c>
      <c r="H878" t="s">
        <v>1772</v>
      </c>
      <c r="I878" s="1" t="s">
        <v>25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26</v>
      </c>
      <c r="O878" s="1" t="s">
        <v>25</v>
      </c>
      <c r="P878" s="1" t="s">
        <v>26</v>
      </c>
      <c r="Q878" s="1" t="s">
        <v>26</v>
      </c>
      <c r="R878" s="1" t="s">
        <v>26</v>
      </c>
      <c r="S878" s="2">
        <v>0</v>
      </c>
    </row>
    <row r="879" spans="1:19" x14ac:dyDescent="0.3">
      <c r="A879" t="s">
        <v>1773</v>
      </c>
      <c r="B879" s="5" t="e" cm="1">
        <f t="array" ref="B879">MAX(#REF!,MIN(#REF!,#REF!+SUMPRODUCT(--(FoodData[[#This Row],[Healthy]:[Refined]]="Yes"),#REF!)+FoodData[[#This Row],[Adjust]]))</f>
        <v>#REF!</v>
      </c>
      <c r="C879" s="1" t="e">
        <f>LOOKUP(FoodData[[#This Row],[Score]],#REF!,#REF!)</f>
        <v>#REF!</v>
      </c>
      <c r="D879" t="s">
        <v>1617</v>
      </c>
      <c r="E879" t="s">
        <v>21</v>
      </c>
      <c r="F879" t="s">
        <v>60</v>
      </c>
      <c r="G879" t="s">
        <v>29</v>
      </c>
      <c r="H879" t="s">
        <v>1774</v>
      </c>
      <c r="I879" s="1" t="s">
        <v>25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26</v>
      </c>
      <c r="O879" s="1" t="s">
        <v>25</v>
      </c>
      <c r="P879" s="1" t="s">
        <v>26</v>
      </c>
      <c r="Q879" s="1" t="s">
        <v>26</v>
      </c>
      <c r="R879" s="1" t="s">
        <v>25</v>
      </c>
      <c r="S879" s="2">
        <v>0</v>
      </c>
    </row>
    <row r="880" spans="1:19" x14ac:dyDescent="0.3">
      <c r="A880" t="s">
        <v>1775</v>
      </c>
      <c r="B880" s="5" t="e" cm="1">
        <f t="array" ref="B880">MAX(#REF!,MIN(#REF!,#REF!+SUMPRODUCT(--(FoodData[[#This Row],[Healthy]:[Refined]]="Yes"),#REF!)+FoodData[[#This Row],[Adjust]]))</f>
        <v>#REF!</v>
      </c>
      <c r="C880" s="1" t="e">
        <f>LOOKUP(FoodData[[#This Row],[Score]],#REF!,#REF!)</f>
        <v>#REF!</v>
      </c>
      <c r="D880" t="s">
        <v>1617</v>
      </c>
      <c r="E880" t="s">
        <v>28</v>
      </c>
      <c r="F880" t="s">
        <v>60</v>
      </c>
      <c r="G880" t="s">
        <v>23</v>
      </c>
      <c r="H880" t="s">
        <v>1776</v>
      </c>
      <c r="I880" s="1" t="s">
        <v>25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25</v>
      </c>
      <c r="O880" s="1" t="s">
        <v>26</v>
      </c>
      <c r="P880" s="1" t="s">
        <v>26</v>
      </c>
      <c r="Q880" s="1" t="s">
        <v>25</v>
      </c>
      <c r="R880" s="1" t="s">
        <v>25</v>
      </c>
      <c r="S880" s="2">
        <v>0</v>
      </c>
    </row>
    <row r="881" spans="1:19" x14ac:dyDescent="0.3">
      <c r="A881" t="s">
        <v>1777</v>
      </c>
      <c r="B881" s="5" t="e" cm="1">
        <f t="array" ref="B881">MAX(#REF!,MIN(#REF!,#REF!+SUMPRODUCT(--(FoodData[[#This Row],[Healthy]:[Refined]]="Yes"),#REF!)+FoodData[[#This Row],[Adjust]]))</f>
        <v>#REF!</v>
      </c>
      <c r="C881" s="1" t="e">
        <f>LOOKUP(FoodData[[#This Row],[Score]],#REF!,#REF!)</f>
        <v>#REF!</v>
      </c>
      <c r="D881" t="s">
        <v>1617</v>
      </c>
      <c r="E881" t="s">
        <v>28</v>
      </c>
      <c r="F881" t="s">
        <v>60</v>
      </c>
      <c r="G881" t="s">
        <v>23</v>
      </c>
      <c r="H881" t="s">
        <v>1778</v>
      </c>
      <c r="I881" s="1" t="s">
        <v>25</v>
      </c>
      <c r="J881" s="1" t="s">
        <v>25</v>
      </c>
      <c r="K881" s="1" t="s">
        <v>26</v>
      </c>
      <c r="L881" s="1" t="s">
        <v>25</v>
      </c>
      <c r="M881" s="1" t="s">
        <v>25</v>
      </c>
      <c r="N881" s="1" t="s">
        <v>26</v>
      </c>
      <c r="O881" s="1" t="s">
        <v>25</v>
      </c>
      <c r="P881" s="1" t="s">
        <v>25</v>
      </c>
      <c r="Q881" s="1" t="s">
        <v>25</v>
      </c>
      <c r="R881" s="1" t="s">
        <v>25</v>
      </c>
      <c r="S881" s="2">
        <v>0</v>
      </c>
    </row>
    <row r="882" spans="1:19" x14ac:dyDescent="0.3">
      <c r="A882" t="s">
        <v>1779</v>
      </c>
      <c r="B882" s="5" t="e" cm="1">
        <f t="array" ref="B882">MAX(#REF!,MIN(#REF!,#REF!+SUMPRODUCT(--(FoodData[[#This Row],[Healthy]:[Refined]]="Yes"),#REF!)+FoodData[[#This Row],[Adjust]]))</f>
        <v>#REF!</v>
      </c>
      <c r="C882" s="1" t="e">
        <f>LOOKUP(FoodData[[#This Row],[Score]],#REF!,#REF!)</f>
        <v>#REF!</v>
      </c>
      <c r="D882" t="s">
        <v>1617</v>
      </c>
      <c r="E882" t="s">
        <v>28</v>
      </c>
      <c r="F882" t="s">
        <v>60</v>
      </c>
      <c r="G882" t="s">
        <v>23</v>
      </c>
      <c r="H882" t="s">
        <v>1780</v>
      </c>
      <c r="I882" s="1" t="s">
        <v>26</v>
      </c>
      <c r="J882" s="1" t="s">
        <v>26</v>
      </c>
      <c r="K882" s="1" t="s">
        <v>26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25</v>
      </c>
      <c r="Q882" s="1" t="s">
        <v>25</v>
      </c>
      <c r="R882" s="1" t="s">
        <v>25</v>
      </c>
      <c r="S882" s="2">
        <v>0</v>
      </c>
    </row>
    <row r="883" spans="1:19" x14ac:dyDescent="0.3">
      <c r="A883" t="s">
        <v>1781</v>
      </c>
      <c r="B883" s="5" t="e" cm="1">
        <f t="array" ref="B883">MAX(#REF!,MIN(#REF!,#REF!+SUMPRODUCT(--(FoodData[[#This Row],[Healthy]:[Refined]]="Yes"),#REF!)+FoodData[[#This Row],[Adjust]]))</f>
        <v>#REF!</v>
      </c>
      <c r="C883" s="1" t="e">
        <f>LOOKUP(FoodData[[#This Row],[Score]],#REF!,#REF!)</f>
        <v>#REF!</v>
      </c>
      <c r="D883" t="s">
        <v>1617</v>
      </c>
      <c r="E883" t="s">
        <v>28</v>
      </c>
      <c r="F883" t="s">
        <v>60</v>
      </c>
      <c r="G883" t="s">
        <v>29</v>
      </c>
      <c r="H883" t="s">
        <v>1782</v>
      </c>
      <c r="I883" s="1" t="s">
        <v>26</v>
      </c>
      <c r="J883" s="1" t="s">
        <v>26</v>
      </c>
      <c r="K883" s="1" t="s">
        <v>26</v>
      </c>
      <c r="L883" s="1" t="s">
        <v>25</v>
      </c>
      <c r="M883" s="1" t="s">
        <v>25</v>
      </c>
      <c r="N883" s="1" t="s">
        <v>25</v>
      </c>
      <c r="O883" s="1" t="s">
        <v>25</v>
      </c>
      <c r="P883" s="1" t="s">
        <v>25</v>
      </c>
      <c r="Q883" s="1" t="s">
        <v>25</v>
      </c>
      <c r="R883" s="1" t="s">
        <v>25</v>
      </c>
      <c r="S883" s="2">
        <v>0</v>
      </c>
    </row>
    <row r="884" spans="1:19" x14ac:dyDescent="0.3">
      <c r="A884" t="s">
        <v>1783</v>
      </c>
      <c r="B884" s="5" t="e" cm="1">
        <f t="array" ref="B884">MAX(#REF!,MIN(#REF!,#REF!+SUMPRODUCT(--(FoodData[[#This Row],[Healthy]:[Refined]]="Yes"),#REF!)+FoodData[[#This Row],[Adjust]]))</f>
        <v>#REF!</v>
      </c>
      <c r="C884" s="1" t="e">
        <f>LOOKUP(FoodData[[#This Row],[Score]],#REF!,#REF!)</f>
        <v>#REF!</v>
      </c>
      <c r="D884" t="s">
        <v>1617</v>
      </c>
      <c r="E884" t="s">
        <v>28</v>
      </c>
      <c r="F884" t="s">
        <v>60</v>
      </c>
      <c r="G884" t="s">
        <v>29</v>
      </c>
      <c r="H884" t="s">
        <v>1784</v>
      </c>
      <c r="I884" s="1" t="s">
        <v>26</v>
      </c>
      <c r="J884" s="1" t="s">
        <v>26</v>
      </c>
      <c r="K884" s="1" t="s">
        <v>26</v>
      </c>
      <c r="L884" s="1" t="s">
        <v>25</v>
      </c>
      <c r="M884" s="1" t="s">
        <v>25</v>
      </c>
      <c r="N884" s="1" t="s">
        <v>25</v>
      </c>
      <c r="O884" s="1" t="s">
        <v>25</v>
      </c>
      <c r="P884" s="1" t="s">
        <v>25</v>
      </c>
      <c r="Q884" s="1" t="s">
        <v>25</v>
      </c>
      <c r="R884" s="1" t="s">
        <v>25</v>
      </c>
      <c r="S884" s="2">
        <v>0</v>
      </c>
    </row>
    <row r="885" spans="1:19" x14ac:dyDescent="0.3">
      <c r="A885" t="s">
        <v>1785</v>
      </c>
      <c r="B885" s="5" t="e" cm="1">
        <f t="array" ref="B885">MAX(#REF!,MIN(#REF!,#REF!+SUMPRODUCT(--(FoodData[[#This Row],[Healthy]:[Refined]]="Yes"),#REF!)+FoodData[[#This Row],[Adjust]]))</f>
        <v>#REF!</v>
      </c>
      <c r="C885" s="1" t="e">
        <f>LOOKUP(FoodData[[#This Row],[Score]],#REF!,#REF!)</f>
        <v>#REF!</v>
      </c>
      <c r="D885" t="s">
        <v>1617</v>
      </c>
      <c r="E885" t="s">
        <v>28</v>
      </c>
      <c r="F885" t="s">
        <v>60</v>
      </c>
      <c r="G885" t="s">
        <v>23</v>
      </c>
      <c r="H885" t="s">
        <v>1786</v>
      </c>
      <c r="I885" s="1" t="s">
        <v>25</v>
      </c>
      <c r="J885" s="1" t="s">
        <v>25</v>
      </c>
      <c r="K885" s="1" t="s">
        <v>26</v>
      </c>
      <c r="L885" s="1" t="s">
        <v>26</v>
      </c>
      <c r="M885" s="1" t="s">
        <v>25</v>
      </c>
      <c r="N885" s="1" t="s">
        <v>25</v>
      </c>
      <c r="O885" s="1" t="s">
        <v>26</v>
      </c>
      <c r="P885" s="1" t="s">
        <v>25</v>
      </c>
      <c r="Q885" s="1" t="s">
        <v>25</v>
      </c>
      <c r="R885" s="1" t="s">
        <v>25</v>
      </c>
      <c r="S885" s="2">
        <v>0</v>
      </c>
    </row>
    <row r="886" spans="1:19" x14ac:dyDescent="0.3">
      <c r="A886" t="s">
        <v>1787</v>
      </c>
      <c r="B886" s="5" t="e" cm="1">
        <f t="array" ref="B886">MAX(#REF!,MIN(#REF!,#REF!+SUMPRODUCT(--(FoodData[[#This Row],[Healthy]:[Refined]]="Yes"),#REF!)+FoodData[[#This Row],[Adjust]]))</f>
        <v>#REF!</v>
      </c>
      <c r="C886" s="1" t="e">
        <f>LOOKUP(FoodData[[#This Row],[Score]],#REF!,#REF!)</f>
        <v>#REF!</v>
      </c>
      <c r="D886" t="s">
        <v>1617</v>
      </c>
      <c r="E886" t="s">
        <v>28</v>
      </c>
      <c r="F886" t="s">
        <v>60</v>
      </c>
      <c r="G886" t="s">
        <v>23</v>
      </c>
      <c r="H886" t="s">
        <v>1788</v>
      </c>
      <c r="I886" s="1" t="s">
        <v>26</v>
      </c>
      <c r="J886" s="1" t="s">
        <v>25</v>
      </c>
      <c r="K886" s="1" t="s">
        <v>26</v>
      </c>
      <c r="L886" s="1" t="s">
        <v>25</v>
      </c>
      <c r="M886" s="1" t="s">
        <v>25</v>
      </c>
      <c r="N886" s="1" t="s">
        <v>25</v>
      </c>
      <c r="O886" s="1" t="s">
        <v>25</v>
      </c>
      <c r="P886" s="1" t="s">
        <v>25</v>
      </c>
      <c r="Q886" s="1" t="s">
        <v>25</v>
      </c>
      <c r="R886" s="1" t="s">
        <v>25</v>
      </c>
      <c r="S886" s="2">
        <v>0</v>
      </c>
    </row>
    <row r="887" spans="1:19" x14ac:dyDescent="0.3">
      <c r="A887" t="s">
        <v>1789</v>
      </c>
      <c r="B887" s="5" t="e" cm="1">
        <f t="array" ref="B887">MAX(#REF!,MIN(#REF!,#REF!+SUMPRODUCT(--(FoodData[[#This Row],[Healthy]:[Refined]]="Yes"),#REF!)+FoodData[[#This Row],[Adjust]]))</f>
        <v>#REF!</v>
      </c>
      <c r="C887" s="1" t="e">
        <f>LOOKUP(FoodData[[#This Row],[Score]],#REF!,#REF!)</f>
        <v>#REF!</v>
      </c>
      <c r="D887" t="s">
        <v>1617</v>
      </c>
      <c r="E887" t="s">
        <v>28</v>
      </c>
      <c r="F887" t="s">
        <v>60</v>
      </c>
      <c r="G887" t="s">
        <v>23</v>
      </c>
      <c r="H887" t="s">
        <v>1790</v>
      </c>
      <c r="I887" s="1" t="s">
        <v>25</v>
      </c>
      <c r="J887" s="1" t="s">
        <v>25</v>
      </c>
      <c r="K887" s="1" t="s">
        <v>26</v>
      </c>
      <c r="L887" s="1" t="s">
        <v>25</v>
      </c>
      <c r="M887" s="1" t="s">
        <v>25</v>
      </c>
      <c r="N887" s="1" t="s">
        <v>26</v>
      </c>
      <c r="O887" s="1" t="s">
        <v>25</v>
      </c>
      <c r="P887" s="1" t="s">
        <v>25</v>
      </c>
      <c r="Q887" s="1" t="s">
        <v>25</v>
      </c>
      <c r="R887" s="1" t="s">
        <v>25</v>
      </c>
      <c r="S887" s="2">
        <v>0</v>
      </c>
    </row>
    <row r="888" spans="1:19" x14ac:dyDescent="0.3">
      <c r="A888" t="s">
        <v>1791</v>
      </c>
      <c r="B888" s="5" t="e" cm="1">
        <f t="array" ref="B888">MAX(#REF!,MIN(#REF!,#REF!+SUMPRODUCT(--(FoodData[[#This Row],[Healthy]:[Refined]]="Yes"),#REF!)+FoodData[[#This Row],[Adjust]]))</f>
        <v>#REF!</v>
      </c>
      <c r="C888" s="1" t="e">
        <f>LOOKUP(FoodData[[#This Row],[Score]],#REF!,#REF!)</f>
        <v>#REF!</v>
      </c>
      <c r="D888" t="s">
        <v>1617</v>
      </c>
      <c r="E888" t="s">
        <v>28</v>
      </c>
      <c r="F888" t="s">
        <v>60</v>
      </c>
      <c r="G888" t="s">
        <v>23</v>
      </c>
      <c r="H888" t="s">
        <v>1792</v>
      </c>
      <c r="I888" s="1" t="s">
        <v>25</v>
      </c>
      <c r="J888" s="1" t="s">
        <v>25</v>
      </c>
      <c r="K888" s="1" t="s">
        <v>26</v>
      </c>
      <c r="L888" s="1" t="s">
        <v>25</v>
      </c>
      <c r="M888" s="1" t="s">
        <v>25</v>
      </c>
      <c r="N888" s="1" t="s">
        <v>26</v>
      </c>
      <c r="O888" s="1" t="s">
        <v>25</v>
      </c>
      <c r="P888" s="1" t="s">
        <v>25</v>
      </c>
      <c r="Q888" s="1" t="s">
        <v>25</v>
      </c>
      <c r="R888" s="1" t="s">
        <v>25</v>
      </c>
      <c r="S888" s="2">
        <v>0</v>
      </c>
    </row>
    <row r="889" spans="1:19" x14ac:dyDescent="0.3">
      <c r="A889" t="s">
        <v>1793</v>
      </c>
      <c r="B889" s="5" t="e" cm="1">
        <f t="array" ref="B889">MAX(#REF!,MIN(#REF!,#REF!+SUMPRODUCT(--(FoodData[[#This Row],[Healthy]:[Refined]]="Yes"),#REF!)+FoodData[[#This Row],[Adjust]]))</f>
        <v>#REF!</v>
      </c>
      <c r="C889" s="1" t="e">
        <f>LOOKUP(FoodData[[#This Row],[Score]],#REF!,#REF!)</f>
        <v>#REF!</v>
      </c>
      <c r="D889" t="s">
        <v>1617</v>
      </c>
      <c r="E889" t="s">
        <v>28</v>
      </c>
      <c r="F889" t="s">
        <v>60</v>
      </c>
      <c r="G889" t="s">
        <v>23</v>
      </c>
      <c r="H889" t="s">
        <v>1794</v>
      </c>
      <c r="I889" s="1" t="s">
        <v>25</v>
      </c>
      <c r="J889" s="1" t="s">
        <v>25</v>
      </c>
      <c r="K889" s="1" t="s">
        <v>26</v>
      </c>
      <c r="L889" s="1" t="s">
        <v>26</v>
      </c>
      <c r="M889" s="1" t="s">
        <v>25</v>
      </c>
      <c r="N889" s="1" t="s">
        <v>26</v>
      </c>
      <c r="O889" s="1" t="s">
        <v>25</v>
      </c>
      <c r="P889" s="1" t="s">
        <v>25</v>
      </c>
      <c r="Q889" s="1" t="s">
        <v>26</v>
      </c>
      <c r="R889" s="1" t="s">
        <v>25</v>
      </c>
      <c r="S889" s="2">
        <v>0</v>
      </c>
    </row>
    <row r="890" spans="1:19" x14ac:dyDescent="0.3">
      <c r="A890" t="s">
        <v>1795</v>
      </c>
      <c r="B890" s="5" t="e" cm="1">
        <f t="array" ref="B890">MAX(#REF!,MIN(#REF!,#REF!+SUMPRODUCT(--(FoodData[[#This Row],[Healthy]:[Refined]]="Yes"),#REF!)+FoodData[[#This Row],[Adjust]]))</f>
        <v>#REF!</v>
      </c>
      <c r="C890" s="1" t="e">
        <f>LOOKUP(FoodData[[#This Row],[Score]],#REF!,#REF!)</f>
        <v>#REF!</v>
      </c>
      <c r="D890" t="s">
        <v>1617</v>
      </c>
      <c r="E890" t="s">
        <v>28</v>
      </c>
      <c r="F890" t="s">
        <v>60</v>
      </c>
      <c r="G890" t="s">
        <v>23</v>
      </c>
      <c r="H890" t="s">
        <v>1796</v>
      </c>
      <c r="I890" s="1" t="s">
        <v>25</v>
      </c>
      <c r="J890" s="1" t="s">
        <v>25</v>
      </c>
      <c r="K890" s="1" t="s">
        <v>26</v>
      </c>
      <c r="L890" s="1" t="s">
        <v>25</v>
      </c>
      <c r="M890" s="1" t="s">
        <v>25</v>
      </c>
      <c r="N890" s="1" t="s">
        <v>26</v>
      </c>
      <c r="O890" s="1" t="s">
        <v>25</v>
      </c>
      <c r="P890" s="1" t="s">
        <v>25</v>
      </c>
      <c r="Q890" s="1" t="s">
        <v>25</v>
      </c>
      <c r="R890" s="1" t="s">
        <v>25</v>
      </c>
      <c r="S890" s="2">
        <v>0</v>
      </c>
    </row>
    <row r="891" spans="1:19" x14ac:dyDescent="0.3">
      <c r="A891" t="s">
        <v>1797</v>
      </c>
      <c r="B891" s="5" t="e" cm="1">
        <f t="array" ref="B891">MAX(#REF!,MIN(#REF!,#REF!+SUMPRODUCT(--(FoodData[[#This Row],[Healthy]:[Refined]]="Yes"),#REF!)+FoodData[[#This Row],[Adjust]]))</f>
        <v>#REF!</v>
      </c>
      <c r="C891" s="1" t="e">
        <f>LOOKUP(FoodData[[#This Row],[Score]],#REF!,#REF!)</f>
        <v>#REF!</v>
      </c>
      <c r="D891" t="s">
        <v>1617</v>
      </c>
      <c r="E891" t="s">
        <v>28</v>
      </c>
      <c r="F891" t="s">
        <v>60</v>
      </c>
      <c r="G891" t="s">
        <v>23</v>
      </c>
      <c r="H891" t="s">
        <v>1798</v>
      </c>
      <c r="I891" s="1" t="s">
        <v>25</v>
      </c>
      <c r="J891" s="1" t="s">
        <v>25</v>
      </c>
      <c r="K891" s="1" t="s">
        <v>26</v>
      </c>
      <c r="L891" s="1" t="s">
        <v>25</v>
      </c>
      <c r="M891" s="1" t="s">
        <v>25</v>
      </c>
      <c r="N891" s="1" t="s">
        <v>26</v>
      </c>
      <c r="O891" s="1" t="s">
        <v>25</v>
      </c>
      <c r="P891" s="1" t="s">
        <v>26</v>
      </c>
      <c r="Q891" s="1" t="s">
        <v>25</v>
      </c>
      <c r="R891" s="1" t="s">
        <v>25</v>
      </c>
      <c r="S891" s="2">
        <v>0</v>
      </c>
    </row>
    <row r="892" spans="1:19" x14ac:dyDescent="0.3">
      <c r="A892" t="s">
        <v>1799</v>
      </c>
      <c r="B892" s="5" t="e" cm="1">
        <f t="array" ref="B892">MAX(#REF!,MIN(#REF!,#REF!+SUMPRODUCT(--(FoodData[[#This Row],[Healthy]:[Refined]]="Yes"),#REF!)+FoodData[[#This Row],[Adjust]]))</f>
        <v>#REF!</v>
      </c>
      <c r="C892" s="1" t="e">
        <f>LOOKUP(FoodData[[#This Row],[Score]],#REF!,#REF!)</f>
        <v>#REF!</v>
      </c>
      <c r="D892" t="s">
        <v>1617</v>
      </c>
      <c r="E892" t="s">
        <v>28</v>
      </c>
      <c r="F892" t="s">
        <v>60</v>
      </c>
      <c r="G892" t="s">
        <v>23</v>
      </c>
      <c r="H892" t="s">
        <v>1800</v>
      </c>
      <c r="I892" s="1" t="s">
        <v>26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25</v>
      </c>
      <c r="P892" s="1" t="s">
        <v>25</v>
      </c>
      <c r="Q892" s="1" t="s">
        <v>25</v>
      </c>
      <c r="R892" s="1" t="s">
        <v>25</v>
      </c>
      <c r="S892" s="2">
        <v>0</v>
      </c>
    </row>
    <row r="893" spans="1:19" x14ac:dyDescent="0.3">
      <c r="A893" t="s">
        <v>1801</v>
      </c>
      <c r="B893" s="5" t="e" cm="1">
        <f t="array" ref="B893">MAX(#REF!,MIN(#REF!,#REF!+SUMPRODUCT(--(FoodData[[#This Row],[Healthy]:[Refined]]="Yes"),#REF!)+FoodData[[#This Row],[Adjust]]))</f>
        <v>#REF!</v>
      </c>
      <c r="C893" s="1" t="e">
        <f>LOOKUP(FoodData[[#This Row],[Score]],#REF!,#REF!)</f>
        <v>#REF!</v>
      </c>
      <c r="D893" t="s">
        <v>1617</v>
      </c>
      <c r="E893" t="s">
        <v>28</v>
      </c>
      <c r="F893" t="s">
        <v>60</v>
      </c>
      <c r="G893" t="s">
        <v>23</v>
      </c>
      <c r="H893" t="s">
        <v>1802</v>
      </c>
      <c r="I893" s="1" t="s">
        <v>26</v>
      </c>
      <c r="J893" s="1" t="s">
        <v>25</v>
      </c>
      <c r="K893" s="1" t="s">
        <v>26</v>
      </c>
      <c r="L893" s="1" t="s">
        <v>25</v>
      </c>
      <c r="M893" s="1" t="s">
        <v>25</v>
      </c>
      <c r="N893" s="1" t="s">
        <v>26</v>
      </c>
      <c r="O893" s="1" t="s">
        <v>25</v>
      </c>
      <c r="P893" s="1" t="s">
        <v>25</v>
      </c>
      <c r="Q893" s="1" t="s">
        <v>25</v>
      </c>
      <c r="R893" s="1" t="s">
        <v>25</v>
      </c>
      <c r="S893" s="2">
        <v>0</v>
      </c>
    </row>
    <row r="894" spans="1:19" x14ac:dyDescent="0.3">
      <c r="A894" t="s">
        <v>1803</v>
      </c>
      <c r="B894" s="5" t="e" cm="1">
        <f t="array" ref="B894">MAX(#REF!,MIN(#REF!,#REF!+SUMPRODUCT(--(FoodData[[#This Row],[Healthy]:[Refined]]="Yes"),#REF!)+FoodData[[#This Row],[Adjust]]))</f>
        <v>#REF!</v>
      </c>
      <c r="C894" s="1" t="e">
        <f>LOOKUP(FoodData[[#This Row],[Score]],#REF!,#REF!)</f>
        <v>#REF!</v>
      </c>
      <c r="D894" t="s">
        <v>1617</v>
      </c>
      <c r="E894" t="s">
        <v>28</v>
      </c>
      <c r="F894" t="s">
        <v>60</v>
      </c>
      <c r="G894" t="s">
        <v>23</v>
      </c>
      <c r="H894" t="s">
        <v>1804</v>
      </c>
      <c r="I894" s="1" t="s">
        <v>25</v>
      </c>
      <c r="J894" s="1" t="s">
        <v>25</v>
      </c>
      <c r="K894" s="1" t="s">
        <v>26</v>
      </c>
      <c r="L894" s="1" t="s">
        <v>25</v>
      </c>
      <c r="M894" s="1" t="s">
        <v>25</v>
      </c>
      <c r="N894" s="1" t="s">
        <v>26</v>
      </c>
      <c r="O894" s="1" t="s">
        <v>26</v>
      </c>
      <c r="P894" s="1" t="s">
        <v>25</v>
      </c>
      <c r="Q894" s="1" t="s">
        <v>25</v>
      </c>
      <c r="R894" s="1" t="s">
        <v>25</v>
      </c>
      <c r="S894" s="2">
        <v>0</v>
      </c>
    </row>
    <row r="895" spans="1:19" x14ac:dyDescent="0.3">
      <c r="A895" t="s">
        <v>1805</v>
      </c>
      <c r="B895" s="5" t="e" cm="1">
        <f t="array" ref="B895">MAX(#REF!,MIN(#REF!,#REF!+SUMPRODUCT(--(FoodData[[#This Row],[Healthy]:[Refined]]="Yes"),#REF!)+FoodData[[#This Row],[Adjust]]))</f>
        <v>#REF!</v>
      </c>
      <c r="C895" s="1" t="e">
        <f>LOOKUP(FoodData[[#This Row],[Score]],#REF!,#REF!)</f>
        <v>#REF!</v>
      </c>
      <c r="D895" t="s">
        <v>1617</v>
      </c>
      <c r="E895" t="s">
        <v>28</v>
      </c>
      <c r="F895" t="s">
        <v>60</v>
      </c>
      <c r="G895" t="s">
        <v>29</v>
      </c>
      <c r="H895" t="s">
        <v>1806</v>
      </c>
      <c r="I895" s="1" t="s">
        <v>25</v>
      </c>
      <c r="J895" s="1" t="s">
        <v>25</v>
      </c>
      <c r="K895" s="1" t="s">
        <v>26</v>
      </c>
      <c r="L895" s="1" t="s">
        <v>25</v>
      </c>
      <c r="M895" s="1" t="s">
        <v>25</v>
      </c>
      <c r="N895" s="1" t="s">
        <v>26</v>
      </c>
      <c r="O895" s="1" t="s">
        <v>25</v>
      </c>
      <c r="P895" s="1" t="s">
        <v>25</v>
      </c>
      <c r="Q895" s="1" t="s">
        <v>25</v>
      </c>
      <c r="R895" s="1" t="s">
        <v>25</v>
      </c>
      <c r="S895" s="2">
        <v>0</v>
      </c>
    </row>
    <row r="896" spans="1:19" x14ac:dyDescent="0.3">
      <c r="A896" t="s">
        <v>1807</v>
      </c>
      <c r="B896" s="5" t="e" cm="1">
        <f t="array" ref="B896">MAX(#REF!,MIN(#REF!,#REF!+SUMPRODUCT(--(FoodData[[#This Row],[Healthy]:[Refined]]="Yes"),#REF!)+FoodData[[#This Row],[Adjust]]))</f>
        <v>#REF!</v>
      </c>
      <c r="C896" s="1" t="e">
        <f>LOOKUP(FoodData[[#This Row],[Score]],#REF!,#REF!)</f>
        <v>#REF!</v>
      </c>
      <c r="D896" t="s">
        <v>1617</v>
      </c>
      <c r="E896" t="s">
        <v>28</v>
      </c>
      <c r="F896" t="s">
        <v>60</v>
      </c>
      <c r="G896" t="s">
        <v>23</v>
      </c>
      <c r="H896" t="s">
        <v>1808</v>
      </c>
      <c r="I896" s="1" t="s">
        <v>26</v>
      </c>
      <c r="J896" s="1" t="s">
        <v>26</v>
      </c>
      <c r="K896" s="1" t="s">
        <v>26</v>
      </c>
      <c r="L896" s="1" t="s">
        <v>25</v>
      </c>
      <c r="M896" s="1" t="s">
        <v>25</v>
      </c>
      <c r="N896" s="1" t="s">
        <v>25</v>
      </c>
      <c r="O896" s="1" t="s">
        <v>25</v>
      </c>
      <c r="P896" s="1" t="s">
        <v>25</v>
      </c>
      <c r="Q896" s="1" t="s">
        <v>25</v>
      </c>
      <c r="R896" s="1" t="s">
        <v>25</v>
      </c>
      <c r="S896" s="2">
        <v>0</v>
      </c>
    </row>
    <row r="897" spans="1:19" x14ac:dyDescent="0.3">
      <c r="A897" t="s">
        <v>1809</v>
      </c>
      <c r="B897" s="5" t="e" cm="1">
        <f t="array" ref="B897">MAX(#REF!,MIN(#REF!,#REF!+SUMPRODUCT(--(FoodData[[#This Row],[Healthy]:[Refined]]="Yes"),#REF!)+FoodData[[#This Row],[Adjust]]))</f>
        <v>#REF!</v>
      </c>
      <c r="C897" s="1" t="e">
        <f>LOOKUP(FoodData[[#This Row],[Score]],#REF!,#REF!)</f>
        <v>#REF!</v>
      </c>
      <c r="D897" t="s">
        <v>1617</v>
      </c>
      <c r="E897" t="s">
        <v>28</v>
      </c>
      <c r="F897" t="s">
        <v>60</v>
      </c>
      <c r="G897" t="s">
        <v>23</v>
      </c>
      <c r="H897" t="s">
        <v>1810</v>
      </c>
      <c r="I897" s="1" t="s">
        <v>26</v>
      </c>
      <c r="J897" s="1" t="s">
        <v>25</v>
      </c>
      <c r="K897" s="1" t="s">
        <v>26</v>
      </c>
      <c r="L897" s="1" t="s">
        <v>25</v>
      </c>
      <c r="M897" s="1" t="s">
        <v>25</v>
      </c>
      <c r="N897" s="1" t="s">
        <v>26</v>
      </c>
      <c r="O897" s="1" t="s">
        <v>25</v>
      </c>
      <c r="P897" s="1" t="s">
        <v>25</v>
      </c>
      <c r="Q897" s="1" t="s">
        <v>25</v>
      </c>
      <c r="R897" s="1" t="s">
        <v>25</v>
      </c>
      <c r="S897" s="2">
        <v>0</v>
      </c>
    </row>
    <row r="898" spans="1:19" x14ac:dyDescent="0.3">
      <c r="A898" t="s">
        <v>1811</v>
      </c>
      <c r="B898" s="5" t="e" cm="1">
        <f t="array" ref="B898">MAX(#REF!,MIN(#REF!,#REF!+SUMPRODUCT(--(FoodData[[#This Row],[Healthy]:[Refined]]="Yes"),#REF!)+FoodData[[#This Row],[Adjust]]))</f>
        <v>#REF!</v>
      </c>
      <c r="C898" s="1" t="e">
        <f>LOOKUP(FoodData[[#This Row],[Score]],#REF!,#REF!)</f>
        <v>#REF!</v>
      </c>
      <c r="D898" t="s">
        <v>1617</v>
      </c>
      <c r="E898" t="s">
        <v>28</v>
      </c>
      <c r="F898" t="s">
        <v>60</v>
      </c>
      <c r="G898" t="s">
        <v>23</v>
      </c>
      <c r="H898" t="s">
        <v>1812</v>
      </c>
      <c r="I898" s="1" t="s">
        <v>25</v>
      </c>
      <c r="J898" s="1" t="s">
        <v>25</v>
      </c>
      <c r="K898" s="1" t="s">
        <v>26</v>
      </c>
      <c r="L898" s="1" t="s">
        <v>25</v>
      </c>
      <c r="M898" s="1" t="s">
        <v>25</v>
      </c>
      <c r="N898" s="1" t="s">
        <v>26</v>
      </c>
      <c r="O898" s="1" t="s">
        <v>25</v>
      </c>
      <c r="P898" s="1" t="s">
        <v>25</v>
      </c>
      <c r="Q898" s="1" t="s">
        <v>25</v>
      </c>
      <c r="R898" s="1" t="s">
        <v>25</v>
      </c>
      <c r="S898" s="2">
        <v>0</v>
      </c>
    </row>
    <row r="899" spans="1:19" x14ac:dyDescent="0.3">
      <c r="A899" t="s">
        <v>1813</v>
      </c>
      <c r="B899" s="5" t="e" cm="1">
        <f t="array" ref="B899">MAX(#REF!,MIN(#REF!,#REF!+SUMPRODUCT(--(FoodData[[#This Row],[Healthy]:[Refined]]="Yes"),#REF!)+FoodData[[#This Row],[Adjust]]))</f>
        <v>#REF!</v>
      </c>
      <c r="C899" s="1" t="e">
        <f>LOOKUP(FoodData[[#This Row],[Score]],#REF!,#REF!)</f>
        <v>#REF!</v>
      </c>
      <c r="D899" t="s">
        <v>1617</v>
      </c>
      <c r="E899" t="s">
        <v>28</v>
      </c>
      <c r="F899" t="s">
        <v>60</v>
      </c>
      <c r="G899" t="s">
        <v>23</v>
      </c>
      <c r="H899" t="s">
        <v>1814</v>
      </c>
      <c r="I899" s="1" t="s">
        <v>26</v>
      </c>
      <c r="J899" s="1" t="s">
        <v>25</v>
      </c>
      <c r="K899" s="1" t="s">
        <v>26</v>
      </c>
      <c r="L899" s="1" t="s">
        <v>25</v>
      </c>
      <c r="M899" s="1" t="s">
        <v>25</v>
      </c>
      <c r="N899" s="1" t="s">
        <v>26</v>
      </c>
      <c r="O899" s="1" t="s">
        <v>25</v>
      </c>
      <c r="P899" s="1" t="s">
        <v>25</v>
      </c>
      <c r="Q899" s="1" t="s">
        <v>25</v>
      </c>
      <c r="R899" s="1" t="s">
        <v>25</v>
      </c>
      <c r="S899" s="2">
        <v>0</v>
      </c>
    </row>
    <row r="900" spans="1:19" x14ac:dyDescent="0.3">
      <c r="A900" t="s">
        <v>1815</v>
      </c>
      <c r="B900" s="5" t="e" cm="1">
        <f t="array" ref="B900">MAX(#REF!,MIN(#REF!,#REF!+SUMPRODUCT(--(FoodData[[#This Row],[Healthy]:[Refined]]="Yes"),#REF!)+FoodData[[#This Row],[Adjust]]))</f>
        <v>#REF!</v>
      </c>
      <c r="C900" s="1" t="e">
        <f>LOOKUP(FoodData[[#This Row],[Score]],#REF!,#REF!)</f>
        <v>#REF!</v>
      </c>
      <c r="D900" t="s">
        <v>1617</v>
      </c>
      <c r="E900" t="s">
        <v>28</v>
      </c>
      <c r="F900" t="s">
        <v>60</v>
      </c>
      <c r="G900" t="s">
        <v>23</v>
      </c>
      <c r="H900" t="s">
        <v>1816</v>
      </c>
      <c r="I900" s="1" t="s">
        <v>26</v>
      </c>
      <c r="J900" s="1" t="s">
        <v>25</v>
      </c>
      <c r="K900" s="1" t="s">
        <v>26</v>
      </c>
      <c r="L900" s="1" t="s">
        <v>25</v>
      </c>
      <c r="M900" s="1" t="s">
        <v>25</v>
      </c>
      <c r="N900" s="1" t="s">
        <v>26</v>
      </c>
      <c r="O900" s="1" t="s">
        <v>25</v>
      </c>
      <c r="P900" s="1" t="s">
        <v>25</v>
      </c>
      <c r="Q900" s="1" t="s">
        <v>25</v>
      </c>
      <c r="R900" s="1" t="s">
        <v>25</v>
      </c>
      <c r="S900" s="2">
        <v>0</v>
      </c>
    </row>
    <row r="901" spans="1:19" x14ac:dyDescent="0.3">
      <c r="A901" t="s">
        <v>1817</v>
      </c>
      <c r="B901" s="5" t="e" cm="1">
        <f t="array" ref="B901">MAX(#REF!,MIN(#REF!,#REF!+SUMPRODUCT(--(FoodData[[#This Row],[Healthy]:[Refined]]="Yes"),#REF!)+FoodData[[#This Row],[Adjust]]))</f>
        <v>#REF!</v>
      </c>
      <c r="C901" s="1" t="e">
        <f>LOOKUP(FoodData[[#This Row],[Score]],#REF!,#REF!)</f>
        <v>#REF!</v>
      </c>
      <c r="D901" t="s">
        <v>1617</v>
      </c>
      <c r="E901" t="s">
        <v>28</v>
      </c>
      <c r="F901" t="s">
        <v>60</v>
      </c>
      <c r="G901" t="s">
        <v>23</v>
      </c>
      <c r="H901" t="s">
        <v>1818</v>
      </c>
      <c r="I901" s="1" t="s">
        <v>26</v>
      </c>
      <c r="J901" s="1" t="s">
        <v>25</v>
      </c>
      <c r="K901" s="1" t="s">
        <v>26</v>
      </c>
      <c r="L901" s="1" t="s">
        <v>25</v>
      </c>
      <c r="M901" s="1" t="s">
        <v>25</v>
      </c>
      <c r="N901" s="1" t="s">
        <v>26</v>
      </c>
      <c r="O901" s="1" t="s">
        <v>25</v>
      </c>
      <c r="P901" s="1" t="s">
        <v>25</v>
      </c>
      <c r="Q901" s="1" t="s">
        <v>25</v>
      </c>
      <c r="R901" s="1" t="s">
        <v>25</v>
      </c>
      <c r="S901" s="2">
        <v>0</v>
      </c>
    </row>
    <row r="902" spans="1:19" x14ac:dyDescent="0.3">
      <c r="A902" t="s">
        <v>1819</v>
      </c>
      <c r="B902" s="5" t="e" cm="1">
        <f t="array" ref="B902">MAX(#REF!,MIN(#REF!,#REF!+SUMPRODUCT(--(FoodData[[#This Row],[Healthy]:[Refined]]="Yes"),#REF!)+FoodData[[#This Row],[Adjust]]))</f>
        <v>#REF!</v>
      </c>
      <c r="C902" s="1" t="e">
        <f>LOOKUP(FoodData[[#This Row],[Score]],#REF!,#REF!)</f>
        <v>#REF!</v>
      </c>
      <c r="D902" t="s">
        <v>1617</v>
      </c>
      <c r="E902" t="s">
        <v>28</v>
      </c>
      <c r="F902" t="s">
        <v>60</v>
      </c>
      <c r="G902" t="s">
        <v>23</v>
      </c>
      <c r="H902" t="s">
        <v>1820</v>
      </c>
      <c r="I902" s="1" t="s">
        <v>25</v>
      </c>
      <c r="J902" s="1" t="s">
        <v>25</v>
      </c>
      <c r="K902" s="1" t="s">
        <v>26</v>
      </c>
      <c r="L902" s="1" t="s">
        <v>25</v>
      </c>
      <c r="M902" s="1" t="s">
        <v>25</v>
      </c>
      <c r="N902" s="1" t="s">
        <v>26</v>
      </c>
      <c r="O902" s="1" t="s">
        <v>25</v>
      </c>
      <c r="P902" s="1" t="s">
        <v>25</v>
      </c>
      <c r="Q902" s="1" t="s">
        <v>25</v>
      </c>
      <c r="R902" s="1" t="s">
        <v>25</v>
      </c>
      <c r="S902" s="2">
        <v>0</v>
      </c>
    </row>
    <row r="903" spans="1:19" x14ac:dyDescent="0.3">
      <c r="A903" t="s">
        <v>1821</v>
      </c>
      <c r="B903" s="5" t="e" cm="1">
        <f t="array" ref="B903">MAX(#REF!,MIN(#REF!,#REF!+SUMPRODUCT(--(FoodData[[#This Row],[Healthy]:[Refined]]="Yes"),#REF!)+FoodData[[#This Row],[Adjust]]))</f>
        <v>#REF!</v>
      </c>
      <c r="C903" s="1" t="e">
        <f>LOOKUP(FoodData[[#This Row],[Score]],#REF!,#REF!)</f>
        <v>#REF!</v>
      </c>
      <c r="D903" t="s">
        <v>1617</v>
      </c>
      <c r="E903" t="s">
        <v>28</v>
      </c>
      <c r="F903" t="s">
        <v>60</v>
      </c>
      <c r="G903" t="s">
        <v>23</v>
      </c>
      <c r="H903" t="s">
        <v>1822</v>
      </c>
      <c r="I903" s="1" t="s">
        <v>25</v>
      </c>
      <c r="J903" s="1" t="s">
        <v>25</v>
      </c>
      <c r="K903" s="1" t="s">
        <v>26</v>
      </c>
      <c r="L903" s="1" t="s">
        <v>25</v>
      </c>
      <c r="M903" s="1" t="s">
        <v>25</v>
      </c>
      <c r="N903" s="1" t="s">
        <v>26</v>
      </c>
      <c r="O903" s="1" t="s">
        <v>26</v>
      </c>
      <c r="P903" s="1" t="s">
        <v>25</v>
      </c>
      <c r="Q903" s="1" t="s">
        <v>25</v>
      </c>
      <c r="R903" s="1" t="s">
        <v>25</v>
      </c>
      <c r="S903" s="2">
        <v>0</v>
      </c>
    </row>
    <row r="904" spans="1:19" x14ac:dyDescent="0.3">
      <c r="A904" t="s">
        <v>1823</v>
      </c>
      <c r="B904" s="5" t="e" cm="1">
        <f t="array" ref="B904">MAX(#REF!,MIN(#REF!,#REF!+SUMPRODUCT(--(FoodData[[#This Row],[Healthy]:[Refined]]="Yes"),#REF!)+FoodData[[#This Row],[Adjust]]))</f>
        <v>#REF!</v>
      </c>
      <c r="C904" s="1" t="e">
        <f>LOOKUP(FoodData[[#This Row],[Score]],#REF!,#REF!)</f>
        <v>#REF!</v>
      </c>
      <c r="D904" t="s">
        <v>1617</v>
      </c>
      <c r="E904" t="s">
        <v>199</v>
      </c>
      <c r="F904" t="s">
        <v>60</v>
      </c>
      <c r="G904" t="s">
        <v>23</v>
      </c>
      <c r="H904" t="s">
        <v>1824</v>
      </c>
      <c r="I904" s="1" t="s">
        <v>25</v>
      </c>
      <c r="J904" s="1" t="s">
        <v>25</v>
      </c>
      <c r="K904" s="1" t="s">
        <v>26</v>
      </c>
      <c r="L904" s="1" t="s">
        <v>25</v>
      </c>
      <c r="M904" s="1" t="s">
        <v>25</v>
      </c>
      <c r="N904" s="1" t="s">
        <v>26</v>
      </c>
      <c r="O904" s="1" t="s">
        <v>25</v>
      </c>
      <c r="P904" s="1" t="s">
        <v>26</v>
      </c>
      <c r="Q904" s="1" t="s">
        <v>26</v>
      </c>
      <c r="R904" s="1" t="s">
        <v>25</v>
      </c>
      <c r="S904" s="2">
        <v>0</v>
      </c>
    </row>
    <row r="905" spans="1:19" x14ac:dyDescent="0.3">
      <c r="A905" t="s">
        <v>1825</v>
      </c>
      <c r="B905" s="5" t="e" cm="1">
        <f t="array" ref="B905">MAX(#REF!,MIN(#REF!,#REF!+SUMPRODUCT(--(FoodData[[#This Row],[Healthy]:[Refined]]="Yes"),#REF!)+FoodData[[#This Row],[Adjust]]))</f>
        <v>#REF!</v>
      </c>
      <c r="C905" s="1" t="e">
        <f>LOOKUP(FoodData[[#This Row],[Score]],#REF!,#REF!)</f>
        <v>#REF!</v>
      </c>
      <c r="D905" t="s">
        <v>1617</v>
      </c>
      <c r="E905" t="s">
        <v>28</v>
      </c>
      <c r="F905" t="s">
        <v>60</v>
      </c>
      <c r="G905" t="s">
        <v>23</v>
      </c>
      <c r="H905" t="s">
        <v>1826</v>
      </c>
      <c r="I905" s="1" t="s">
        <v>26</v>
      </c>
      <c r="J905" s="1" t="s">
        <v>25</v>
      </c>
      <c r="K905" s="1" t="s">
        <v>26</v>
      </c>
      <c r="L905" s="1" t="s">
        <v>25</v>
      </c>
      <c r="M905" s="1" t="s">
        <v>25</v>
      </c>
      <c r="N905" s="1" t="s">
        <v>26</v>
      </c>
      <c r="O905" s="1" t="s">
        <v>25</v>
      </c>
      <c r="P905" s="1" t="s">
        <v>25</v>
      </c>
      <c r="Q905" s="1" t="s">
        <v>25</v>
      </c>
      <c r="R905" s="1" t="s">
        <v>25</v>
      </c>
      <c r="S905" s="2">
        <v>0</v>
      </c>
    </row>
    <row r="906" spans="1:19" x14ac:dyDescent="0.3">
      <c r="A906" t="s">
        <v>1827</v>
      </c>
      <c r="B906" s="5" t="e" cm="1">
        <f t="array" ref="B906">MAX(#REF!,MIN(#REF!,#REF!+SUMPRODUCT(--(FoodData[[#This Row],[Healthy]:[Refined]]="Yes"),#REF!)+FoodData[[#This Row],[Adjust]]))</f>
        <v>#REF!</v>
      </c>
      <c r="C906" s="1" t="e">
        <f>LOOKUP(FoodData[[#This Row],[Score]],#REF!,#REF!)</f>
        <v>#REF!</v>
      </c>
      <c r="D906" t="s">
        <v>1617</v>
      </c>
      <c r="E906" t="s">
        <v>199</v>
      </c>
      <c r="F906" t="s">
        <v>60</v>
      </c>
      <c r="G906" t="s">
        <v>23</v>
      </c>
      <c r="H906" t="s">
        <v>1828</v>
      </c>
      <c r="I906" s="1" t="s">
        <v>25</v>
      </c>
      <c r="J906" s="1" t="s">
        <v>25</v>
      </c>
      <c r="K906" s="1" t="s">
        <v>26</v>
      </c>
      <c r="L906" s="1" t="s">
        <v>25</v>
      </c>
      <c r="M906" s="1" t="s">
        <v>25</v>
      </c>
      <c r="N906" s="1" t="s">
        <v>26</v>
      </c>
      <c r="O906" s="1" t="s">
        <v>25</v>
      </c>
      <c r="P906" s="1" t="s">
        <v>26</v>
      </c>
      <c r="Q906" s="1" t="s">
        <v>26</v>
      </c>
      <c r="R906" s="1" t="s">
        <v>25</v>
      </c>
      <c r="S906" s="2">
        <v>0</v>
      </c>
    </row>
    <row r="907" spans="1:19" x14ac:dyDescent="0.3">
      <c r="A907" t="s">
        <v>1829</v>
      </c>
      <c r="B907" s="5" t="e" cm="1">
        <f t="array" ref="B907">MAX(#REF!,MIN(#REF!,#REF!+SUMPRODUCT(--(FoodData[[#This Row],[Healthy]:[Refined]]="Yes"),#REF!)+FoodData[[#This Row],[Adjust]]))</f>
        <v>#REF!</v>
      </c>
      <c r="C907" s="1" t="e">
        <f>LOOKUP(FoodData[[#This Row],[Score]],#REF!,#REF!)</f>
        <v>#REF!</v>
      </c>
      <c r="D907" t="s">
        <v>1617</v>
      </c>
      <c r="E907" t="s">
        <v>28</v>
      </c>
      <c r="F907" t="s">
        <v>60</v>
      </c>
      <c r="G907" t="s">
        <v>23</v>
      </c>
      <c r="H907" t="s">
        <v>1830</v>
      </c>
      <c r="I907" s="1" t="s">
        <v>26</v>
      </c>
      <c r="J907" s="1" t="s">
        <v>25</v>
      </c>
      <c r="K907" s="1" t="s">
        <v>26</v>
      </c>
      <c r="L907" s="1" t="s">
        <v>26</v>
      </c>
      <c r="M907" s="1" t="s">
        <v>25</v>
      </c>
      <c r="N907" s="1" t="s">
        <v>26</v>
      </c>
      <c r="O907" s="1" t="s">
        <v>25</v>
      </c>
      <c r="P907" s="1" t="s">
        <v>25</v>
      </c>
      <c r="Q907" s="1" t="s">
        <v>25</v>
      </c>
      <c r="R907" s="1" t="s">
        <v>25</v>
      </c>
      <c r="S907" s="2">
        <v>0</v>
      </c>
    </row>
    <row r="908" spans="1:19" x14ac:dyDescent="0.3">
      <c r="A908" t="s">
        <v>1831</v>
      </c>
      <c r="B908" s="5" t="e" cm="1">
        <f t="array" ref="B908">MAX(#REF!,MIN(#REF!,#REF!+SUMPRODUCT(--(FoodData[[#This Row],[Healthy]:[Refined]]="Yes"),#REF!)+FoodData[[#This Row],[Adjust]]))</f>
        <v>#REF!</v>
      </c>
      <c r="C908" s="1" t="e">
        <f>LOOKUP(FoodData[[#This Row],[Score]],#REF!,#REF!)</f>
        <v>#REF!</v>
      </c>
      <c r="D908" t="s">
        <v>1617</v>
      </c>
      <c r="E908" t="s">
        <v>28</v>
      </c>
      <c r="F908" t="s">
        <v>60</v>
      </c>
      <c r="G908" t="s">
        <v>23</v>
      </c>
      <c r="H908" t="s">
        <v>1832</v>
      </c>
      <c r="I908" s="1" t="s">
        <v>25</v>
      </c>
      <c r="J908" s="1" t="s">
        <v>25</v>
      </c>
      <c r="K908" s="1" t="s">
        <v>26</v>
      </c>
      <c r="L908" s="1" t="s">
        <v>26</v>
      </c>
      <c r="M908" s="1" t="s">
        <v>25</v>
      </c>
      <c r="N908" s="1" t="s">
        <v>26</v>
      </c>
      <c r="O908" s="1" t="s">
        <v>25</v>
      </c>
      <c r="P908" s="1" t="s">
        <v>25</v>
      </c>
      <c r="Q908" s="1" t="s">
        <v>25</v>
      </c>
      <c r="R908" s="1" t="s">
        <v>25</v>
      </c>
      <c r="S908" s="2">
        <v>0</v>
      </c>
    </row>
    <row r="909" spans="1:19" x14ac:dyDescent="0.3">
      <c r="A909" t="s">
        <v>1833</v>
      </c>
      <c r="B909" s="5" t="e" cm="1">
        <f t="array" ref="B909">MAX(#REF!,MIN(#REF!,#REF!+SUMPRODUCT(--(FoodData[[#This Row],[Healthy]:[Refined]]="Yes"),#REF!)+FoodData[[#This Row],[Adjust]]))</f>
        <v>#REF!</v>
      </c>
      <c r="C909" s="1" t="e">
        <f>LOOKUP(FoodData[[#This Row],[Score]],#REF!,#REF!)</f>
        <v>#REF!</v>
      </c>
      <c r="D909" t="s">
        <v>1617</v>
      </c>
      <c r="E909" t="s">
        <v>28</v>
      </c>
      <c r="F909" t="s">
        <v>60</v>
      </c>
      <c r="G909" t="s">
        <v>23</v>
      </c>
      <c r="H909" t="s">
        <v>1834</v>
      </c>
      <c r="I909" s="1" t="s">
        <v>25</v>
      </c>
      <c r="J909" s="1" t="s">
        <v>25</v>
      </c>
      <c r="K909" s="1" t="s">
        <v>26</v>
      </c>
      <c r="L909" s="1" t="s">
        <v>25</v>
      </c>
      <c r="M909" s="1" t="s">
        <v>25</v>
      </c>
      <c r="N909" s="1" t="s">
        <v>26</v>
      </c>
      <c r="O909" s="1" t="s">
        <v>25</v>
      </c>
      <c r="P909" s="1" t="s">
        <v>26</v>
      </c>
      <c r="Q909" s="1" t="s">
        <v>25</v>
      </c>
      <c r="R909" s="1" t="s">
        <v>25</v>
      </c>
      <c r="S909" s="2">
        <v>0</v>
      </c>
    </row>
    <row r="910" spans="1:19" x14ac:dyDescent="0.3">
      <c r="A910" t="s">
        <v>1835</v>
      </c>
      <c r="B910" s="5" t="e" cm="1">
        <f t="array" ref="B910">MAX(#REF!,MIN(#REF!,#REF!+SUMPRODUCT(--(FoodData[[#This Row],[Healthy]:[Refined]]="Yes"),#REF!)+FoodData[[#This Row],[Adjust]]))</f>
        <v>#REF!</v>
      </c>
      <c r="C910" s="1" t="e">
        <f>LOOKUP(FoodData[[#This Row],[Score]],#REF!,#REF!)</f>
        <v>#REF!</v>
      </c>
      <c r="D910" t="s">
        <v>1617</v>
      </c>
      <c r="E910" t="s">
        <v>28</v>
      </c>
      <c r="F910" t="s">
        <v>60</v>
      </c>
      <c r="G910" t="s">
        <v>23</v>
      </c>
      <c r="H910" t="s">
        <v>1836</v>
      </c>
      <c r="I910" s="1" t="s">
        <v>25</v>
      </c>
      <c r="J910" s="1" t="s">
        <v>25</v>
      </c>
      <c r="K910" s="1" t="s">
        <v>26</v>
      </c>
      <c r="L910" s="1" t="s">
        <v>26</v>
      </c>
      <c r="M910" s="1" t="s">
        <v>25</v>
      </c>
      <c r="N910" s="1" t="s">
        <v>25</v>
      </c>
      <c r="O910" s="1" t="s">
        <v>26</v>
      </c>
      <c r="P910" s="1" t="s">
        <v>25</v>
      </c>
      <c r="Q910" s="1" t="s">
        <v>25</v>
      </c>
      <c r="R910" s="1" t="s">
        <v>25</v>
      </c>
      <c r="S910" s="2">
        <v>0</v>
      </c>
    </row>
    <row r="911" spans="1:19" x14ac:dyDescent="0.3">
      <c r="A911" t="s">
        <v>1837</v>
      </c>
      <c r="B911" s="5" t="e" cm="1">
        <f t="array" ref="B911">MAX(#REF!,MIN(#REF!,#REF!+SUMPRODUCT(--(FoodData[[#This Row],[Healthy]:[Refined]]="Yes"),#REF!)+FoodData[[#This Row],[Adjust]]))</f>
        <v>#REF!</v>
      </c>
      <c r="C911" s="1" t="e">
        <f>LOOKUP(FoodData[[#This Row],[Score]],#REF!,#REF!)</f>
        <v>#REF!</v>
      </c>
      <c r="D911" t="s">
        <v>1617</v>
      </c>
      <c r="E911" t="s">
        <v>28</v>
      </c>
      <c r="F911" t="s">
        <v>60</v>
      </c>
      <c r="G911" t="s">
        <v>23</v>
      </c>
      <c r="H911" t="s">
        <v>1838</v>
      </c>
      <c r="I911" s="1" t="s">
        <v>25</v>
      </c>
      <c r="J911" s="1" t="s">
        <v>25</v>
      </c>
      <c r="K911" s="1" t="s">
        <v>26</v>
      </c>
      <c r="L911" s="1" t="s">
        <v>25</v>
      </c>
      <c r="M911" s="1" t="s">
        <v>25</v>
      </c>
      <c r="N911" s="1" t="s">
        <v>26</v>
      </c>
      <c r="O911" s="1" t="s">
        <v>26</v>
      </c>
      <c r="P911" s="1" t="s">
        <v>25</v>
      </c>
      <c r="Q911" s="1" t="s">
        <v>25</v>
      </c>
      <c r="R911" s="1" t="s">
        <v>25</v>
      </c>
      <c r="S911" s="2">
        <v>0</v>
      </c>
    </row>
    <row r="912" spans="1:19" x14ac:dyDescent="0.3">
      <c r="A912" t="s">
        <v>1839</v>
      </c>
      <c r="B912" s="5" t="e" cm="1">
        <f t="array" ref="B912">MAX(#REF!,MIN(#REF!,#REF!+SUMPRODUCT(--(FoodData[[#This Row],[Healthy]:[Refined]]="Yes"),#REF!)+FoodData[[#This Row],[Adjust]]))</f>
        <v>#REF!</v>
      </c>
      <c r="C912" s="1" t="e">
        <f>LOOKUP(FoodData[[#This Row],[Score]],#REF!,#REF!)</f>
        <v>#REF!</v>
      </c>
      <c r="D912" t="s">
        <v>1617</v>
      </c>
      <c r="E912" t="s">
        <v>28</v>
      </c>
      <c r="F912" t="s">
        <v>60</v>
      </c>
      <c r="G912" t="s">
        <v>23</v>
      </c>
      <c r="H912" t="s">
        <v>1840</v>
      </c>
      <c r="I912" s="1" t="s">
        <v>25</v>
      </c>
      <c r="J912" s="1" t="s">
        <v>25</v>
      </c>
      <c r="K912" s="1" t="s">
        <v>26</v>
      </c>
      <c r="L912" s="1" t="s">
        <v>25</v>
      </c>
      <c r="M912" s="1" t="s">
        <v>25</v>
      </c>
      <c r="N912" s="1" t="s">
        <v>25</v>
      </c>
      <c r="O912" s="1" t="s">
        <v>26</v>
      </c>
      <c r="P912" s="1" t="s">
        <v>25</v>
      </c>
      <c r="Q912" s="1" t="s">
        <v>25</v>
      </c>
      <c r="R912" s="1" t="s">
        <v>25</v>
      </c>
      <c r="S912" s="2">
        <v>0</v>
      </c>
    </row>
    <row r="913" spans="1:19" x14ac:dyDescent="0.3">
      <c r="A913" t="s">
        <v>1841</v>
      </c>
      <c r="B913" s="5" t="e" cm="1">
        <f t="array" ref="B913">MAX(#REF!,MIN(#REF!,#REF!+SUMPRODUCT(--(FoodData[[#This Row],[Healthy]:[Refined]]="Yes"),#REF!)+FoodData[[#This Row],[Adjust]]))</f>
        <v>#REF!</v>
      </c>
      <c r="C913" s="1" t="e">
        <f>LOOKUP(FoodData[[#This Row],[Score]],#REF!,#REF!)</f>
        <v>#REF!</v>
      </c>
      <c r="D913" t="s">
        <v>1617</v>
      </c>
      <c r="E913" t="s">
        <v>28</v>
      </c>
      <c r="F913" t="s">
        <v>60</v>
      </c>
      <c r="G913" t="s">
        <v>23</v>
      </c>
      <c r="H913" t="s">
        <v>1842</v>
      </c>
      <c r="I913" s="1" t="s">
        <v>25</v>
      </c>
      <c r="J913" s="1" t="s">
        <v>25</v>
      </c>
      <c r="K913" s="1" t="s">
        <v>26</v>
      </c>
      <c r="L913" s="1" t="s">
        <v>25</v>
      </c>
      <c r="M913" s="1" t="s">
        <v>25</v>
      </c>
      <c r="N913" s="1" t="s">
        <v>26</v>
      </c>
      <c r="O913" s="1" t="s">
        <v>25</v>
      </c>
      <c r="P913" s="1" t="s">
        <v>25</v>
      </c>
      <c r="Q913" s="1" t="s">
        <v>25</v>
      </c>
      <c r="R913" s="1" t="s">
        <v>25</v>
      </c>
      <c r="S913" s="2">
        <v>0</v>
      </c>
    </row>
    <row r="914" spans="1:19" x14ac:dyDescent="0.3">
      <c r="A914" t="s">
        <v>1843</v>
      </c>
      <c r="B914" s="5" t="e" cm="1">
        <f t="array" ref="B914">MAX(#REF!,MIN(#REF!,#REF!+SUMPRODUCT(--(FoodData[[#This Row],[Healthy]:[Refined]]="Yes"),#REF!)+FoodData[[#This Row],[Adjust]]))</f>
        <v>#REF!</v>
      </c>
      <c r="C914" s="1" t="e">
        <f>LOOKUP(FoodData[[#This Row],[Score]],#REF!,#REF!)</f>
        <v>#REF!</v>
      </c>
      <c r="D914" t="s">
        <v>1617</v>
      </c>
      <c r="E914" t="s">
        <v>199</v>
      </c>
      <c r="F914" t="s">
        <v>60</v>
      </c>
      <c r="G914" t="s">
        <v>23</v>
      </c>
      <c r="H914" t="s">
        <v>1844</v>
      </c>
      <c r="I914" s="1" t="s">
        <v>26</v>
      </c>
      <c r="J914" s="1" t="s">
        <v>25</v>
      </c>
      <c r="K914" s="1" t="s">
        <v>26</v>
      </c>
      <c r="L914" s="1" t="s">
        <v>25</v>
      </c>
      <c r="M914" s="1" t="s">
        <v>25</v>
      </c>
      <c r="N914" s="1" t="s">
        <v>25</v>
      </c>
      <c r="O914" s="1" t="s">
        <v>25</v>
      </c>
      <c r="P914" s="1" t="s">
        <v>25</v>
      </c>
      <c r="Q914" s="1" t="s">
        <v>25</v>
      </c>
      <c r="R914" s="1" t="s">
        <v>25</v>
      </c>
      <c r="S914" s="2">
        <v>0</v>
      </c>
    </row>
    <row r="915" spans="1:19" x14ac:dyDescent="0.3">
      <c r="A915" t="s">
        <v>1845</v>
      </c>
      <c r="B915" s="5" t="e" cm="1">
        <f t="array" ref="B915">MAX(#REF!,MIN(#REF!,#REF!+SUMPRODUCT(--(FoodData[[#This Row],[Healthy]:[Refined]]="Yes"),#REF!)+FoodData[[#This Row],[Adjust]]))</f>
        <v>#REF!</v>
      </c>
      <c r="C915" s="1" t="e">
        <f>LOOKUP(FoodData[[#This Row],[Score]],#REF!,#REF!)</f>
        <v>#REF!</v>
      </c>
      <c r="D915" t="s">
        <v>1617</v>
      </c>
      <c r="E915" t="s">
        <v>199</v>
      </c>
      <c r="F915" t="s">
        <v>60</v>
      </c>
      <c r="G915" t="s">
        <v>23</v>
      </c>
      <c r="H915" t="s">
        <v>1846</v>
      </c>
      <c r="I915" s="1" t="s">
        <v>25</v>
      </c>
      <c r="J915" s="1" t="s">
        <v>25</v>
      </c>
      <c r="K915" s="1" t="s">
        <v>26</v>
      </c>
      <c r="L915" s="1" t="s">
        <v>25</v>
      </c>
      <c r="M915" s="1" t="s">
        <v>25</v>
      </c>
      <c r="N915" s="1" t="s">
        <v>25</v>
      </c>
      <c r="O915" s="1" t="s">
        <v>25</v>
      </c>
      <c r="P915" s="1" t="s">
        <v>25</v>
      </c>
      <c r="Q915" s="1" t="s">
        <v>25</v>
      </c>
      <c r="R915" s="1" t="s">
        <v>25</v>
      </c>
      <c r="S915" s="2">
        <v>0</v>
      </c>
    </row>
    <row r="916" spans="1:19" x14ac:dyDescent="0.3">
      <c r="A916" t="s">
        <v>1847</v>
      </c>
      <c r="B916" s="5" t="e" cm="1">
        <f t="array" ref="B916">MAX(#REF!,MIN(#REF!,#REF!+SUMPRODUCT(--(FoodData[[#This Row],[Healthy]:[Refined]]="Yes"),#REF!)+FoodData[[#This Row],[Adjust]]))</f>
        <v>#REF!</v>
      </c>
      <c r="C916" s="1" t="e">
        <f>LOOKUP(FoodData[[#This Row],[Score]],#REF!,#REF!)</f>
        <v>#REF!</v>
      </c>
      <c r="D916" t="s">
        <v>1617</v>
      </c>
      <c r="E916" t="s">
        <v>28</v>
      </c>
      <c r="F916" t="s">
        <v>60</v>
      </c>
      <c r="G916" t="s">
        <v>23</v>
      </c>
      <c r="H916" t="s">
        <v>1848</v>
      </c>
      <c r="I916" s="1" t="s">
        <v>25</v>
      </c>
      <c r="J916" s="1" t="s">
        <v>25</v>
      </c>
      <c r="K916" s="1" t="s">
        <v>26</v>
      </c>
      <c r="L916" s="1" t="s">
        <v>25</v>
      </c>
      <c r="M916" s="1" t="s">
        <v>25</v>
      </c>
      <c r="N916" s="1" t="s">
        <v>26</v>
      </c>
      <c r="O916" s="1" t="s">
        <v>25</v>
      </c>
      <c r="P916" s="1" t="s">
        <v>25</v>
      </c>
      <c r="Q916" s="1" t="s">
        <v>25</v>
      </c>
      <c r="R916" s="1" t="s">
        <v>25</v>
      </c>
      <c r="S916" s="2">
        <v>0</v>
      </c>
    </row>
    <row r="917" spans="1:19" x14ac:dyDescent="0.3">
      <c r="A917" t="s">
        <v>1849</v>
      </c>
      <c r="B917" s="5" t="e" cm="1">
        <f t="array" ref="B917">MAX(#REF!,MIN(#REF!,#REF!+SUMPRODUCT(--(FoodData[[#This Row],[Healthy]:[Refined]]="Yes"),#REF!)+FoodData[[#This Row],[Adjust]]))</f>
        <v>#REF!</v>
      </c>
      <c r="C917" s="1" t="e">
        <f>LOOKUP(FoodData[[#This Row],[Score]],#REF!,#REF!)</f>
        <v>#REF!</v>
      </c>
      <c r="D917" t="s">
        <v>1617</v>
      </c>
      <c r="E917" t="s">
        <v>28</v>
      </c>
      <c r="F917" t="s">
        <v>60</v>
      </c>
      <c r="G917" t="s">
        <v>23</v>
      </c>
      <c r="H917" t="s">
        <v>1850</v>
      </c>
      <c r="I917" s="1" t="s">
        <v>25</v>
      </c>
      <c r="J917" s="1" t="s">
        <v>25</v>
      </c>
      <c r="K917" s="1" t="s">
        <v>26</v>
      </c>
      <c r="L917" s="1" t="s">
        <v>25</v>
      </c>
      <c r="M917" s="1" t="s">
        <v>25</v>
      </c>
      <c r="N917" s="1" t="s">
        <v>26</v>
      </c>
      <c r="O917" s="1" t="s">
        <v>25</v>
      </c>
      <c r="P917" s="1" t="s">
        <v>25</v>
      </c>
      <c r="Q917" s="1" t="s">
        <v>25</v>
      </c>
      <c r="R917" s="1" t="s">
        <v>25</v>
      </c>
      <c r="S917" s="2">
        <v>0</v>
      </c>
    </row>
    <row r="918" spans="1:19" x14ac:dyDescent="0.3">
      <c r="A918" t="s">
        <v>1851</v>
      </c>
      <c r="B918" s="5" t="e" cm="1">
        <f t="array" ref="B918">MAX(#REF!,MIN(#REF!,#REF!+SUMPRODUCT(--(FoodData[[#This Row],[Healthy]:[Refined]]="Yes"),#REF!)+FoodData[[#This Row],[Adjust]]))</f>
        <v>#REF!</v>
      </c>
      <c r="C918" s="1" t="e">
        <f>LOOKUP(FoodData[[#This Row],[Score]],#REF!,#REF!)</f>
        <v>#REF!</v>
      </c>
      <c r="D918" t="s">
        <v>1617</v>
      </c>
      <c r="E918" t="s">
        <v>28</v>
      </c>
      <c r="F918" t="s">
        <v>60</v>
      </c>
      <c r="G918" t="s">
        <v>23</v>
      </c>
      <c r="H918" t="s">
        <v>1796</v>
      </c>
      <c r="I918" s="1" t="s">
        <v>25</v>
      </c>
      <c r="J918" s="1" t="s">
        <v>25</v>
      </c>
      <c r="K918" s="1" t="s">
        <v>26</v>
      </c>
      <c r="L918" s="1" t="s">
        <v>25</v>
      </c>
      <c r="M918" s="1" t="s">
        <v>25</v>
      </c>
      <c r="N918" s="1" t="s">
        <v>26</v>
      </c>
      <c r="O918" s="1" t="s">
        <v>25</v>
      </c>
      <c r="P918" s="1" t="s">
        <v>25</v>
      </c>
      <c r="Q918" s="1" t="s">
        <v>25</v>
      </c>
      <c r="R918" s="1" t="s">
        <v>25</v>
      </c>
      <c r="S918" s="2">
        <v>0</v>
      </c>
    </row>
    <row r="919" spans="1:19" x14ac:dyDescent="0.3">
      <c r="A919" t="s">
        <v>1852</v>
      </c>
      <c r="B919" s="5" t="e" cm="1">
        <f t="array" ref="B919">MAX(#REF!,MIN(#REF!,#REF!+SUMPRODUCT(--(FoodData[[#This Row],[Healthy]:[Refined]]="Yes"),#REF!)+FoodData[[#This Row],[Adjust]]))</f>
        <v>#REF!</v>
      </c>
      <c r="C919" s="1" t="e">
        <f>LOOKUP(FoodData[[#This Row],[Score]],#REF!,#REF!)</f>
        <v>#REF!</v>
      </c>
      <c r="D919" t="s">
        <v>1617</v>
      </c>
      <c r="E919" t="s">
        <v>28</v>
      </c>
      <c r="F919" t="s">
        <v>60</v>
      </c>
      <c r="G919" t="s">
        <v>23</v>
      </c>
      <c r="H919" t="s">
        <v>1853</v>
      </c>
      <c r="I919" s="1" t="s">
        <v>25</v>
      </c>
      <c r="J919" s="1" t="s">
        <v>25</v>
      </c>
      <c r="K919" s="1" t="s">
        <v>26</v>
      </c>
      <c r="L919" s="1" t="s">
        <v>26</v>
      </c>
      <c r="M919" s="1" t="s">
        <v>25</v>
      </c>
      <c r="N919" s="1" t="s">
        <v>25</v>
      </c>
      <c r="O919" s="1" t="s">
        <v>26</v>
      </c>
      <c r="P919" s="1" t="s">
        <v>25</v>
      </c>
      <c r="Q919" s="1" t="s">
        <v>25</v>
      </c>
      <c r="R919" s="1" t="s">
        <v>25</v>
      </c>
      <c r="S919" s="2">
        <v>0</v>
      </c>
    </row>
    <row r="920" spans="1:19" x14ac:dyDescent="0.3">
      <c r="A920" t="s">
        <v>1854</v>
      </c>
      <c r="B920" s="5" t="e" cm="1">
        <f t="array" ref="B920">MAX(#REF!,MIN(#REF!,#REF!+SUMPRODUCT(--(FoodData[[#This Row],[Healthy]:[Refined]]="Yes"),#REF!)+FoodData[[#This Row],[Adjust]]))</f>
        <v>#REF!</v>
      </c>
      <c r="C920" s="1" t="e">
        <f>LOOKUP(FoodData[[#This Row],[Score]],#REF!,#REF!)</f>
        <v>#REF!</v>
      </c>
      <c r="D920" t="s">
        <v>1617</v>
      </c>
      <c r="E920" t="s">
        <v>28</v>
      </c>
      <c r="F920" t="s">
        <v>60</v>
      </c>
      <c r="G920" t="s">
        <v>23</v>
      </c>
      <c r="H920" t="s">
        <v>1855</v>
      </c>
      <c r="I920" s="1" t="s">
        <v>25</v>
      </c>
      <c r="J920" s="1" t="s">
        <v>25</v>
      </c>
      <c r="K920" s="1" t="s">
        <v>26</v>
      </c>
      <c r="L920" s="1" t="s">
        <v>25</v>
      </c>
      <c r="M920" s="1" t="s">
        <v>25</v>
      </c>
      <c r="N920" s="1" t="s">
        <v>26</v>
      </c>
      <c r="O920" s="1" t="s">
        <v>25</v>
      </c>
      <c r="P920" s="1" t="s">
        <v>25</v>
      </c>
      <c r="Q920" s="1" t="s">
        <v>25</v>
      </c>
      <c r="R920" s="1" t="s">
        <v>25</v>
      </c>
      <c r="S920" s="2">
        <v>0</v>
      </c>
    </row>
    <row r="921" spans="1:19" x14ac:dyDescent="0.3">
      <c r="A921" t="s">
        <v>1856</v>
      </c>
      <c r="B921" s="5" t="e" cm="1">
        <f t="array" ref="B921">MAX(#REF!,MIN(#REF!,#REF!+SUMPRODUCT(--(FoodData[[#This Row],[Healthy]:[Refined]]="Yes"),#REF!)+FoodData[[#This Row],[Adjust]]))</f>
        <v>#REF!</v>
      </c>
      <c r="C921" s="1" t="e">
        <f>LOOKUP(FoodData[[#This Row],[Score]],#REF!,#REF!)</f>
        <v>#REF!</v>
      </c>
      <c r="D921" t="s">
        <v>1617</v>
      </c>
      <c r="E921" t="s">
        <v>28</v>
      </c>
      <c r="F921" t="s">
        <v>60</v>
      </c>
      <c r="G921" t="s">
        <v>23</v>
      </c>
      <c r="H921" t="s">
        <v>1857</v>
      </c>
      <c r="I921" s="1" t="s">
        <v>25</v>
      </c>
      <c r="J921" s="1" t="s">
        <v>25</v>
      </c>
      <c r="K921" s="1" t="s">
        <v>26</v>
      </c>
      <c r="L921" s="1" t="s">
        <v>25</v>
      </c>
      <c r="M921" s="1" t="s">
        <v>25</v>
      </c>
      <c r="N921" s="1" t="s">
        <v>26</v>
      </c>
      <c r="O921" s="1" t="s">
        <v>25</v>
      </c>
      <c r="P921" s="1" t="s">
        <v>25</v>
      </c>
      <c r="Q921" s="1" t="s">
        <v>25</v>
      </c>
      <c r="R921" s="1" t="s">
        <v>26</v>
      </c>
      <c r="S921" s="2">
        <v>0</v>
      </c>
    </row>
    <row r="922" spans="1:19" x14ac:dyDescent="0.3">
      <c r="A922" t="s">
        <v>1858</v>
      </c>
      <c r="B922" s="5" t="e" cm="1">
        <f t="array" ref="B922">MAX(#REF!,MIN(#REF!,#REF!+SUMPRODUCT(--(FoodData[[#This Row],[Healthy]:[Refined]]="Yes"),#REF!)+FoodData[[#This Row],[Adjust]]))</f>
        <v>#REF!</v>
      </c>
      <c r="C922" s="1" t="e">
        <f>LOOKUP(FoodData[[#This Row],[Score]],#REF!,#REF!)</f>
        <v>#REF!</v>
      </c>
      <c r="D922" t="s">
        <v>1617</v>
      </c>
      <c r="E922" t="s">
        <v>28</v>
      </c>
      <c r="F922" t="s">
        <v>60</v>
      </c>
      <c r="G922" t="s">
        <v>23</v>
      </c>
      <c r="H922" t="s">
        <v>1859</v>
      </c>
      <c r="I922" s="1" t="s">
        <v>26</v>
      </c>
      <c r="J922" s="1" t="s">
        <v>25</v>
      </c>
      <c r="K922" s="1" t="s">
        <v>26</v>
      </c>
      <c r="L922" s="1" t="s">
        <v>25</v>
      </c>
      <c r="M922" s="1" t="s">
        <v>25</v>
      </c>
      <c r="N922" s="1" t="s">
        <v>26</v>
      </c>
      <c r="O922" s="1" t="s">
        <v>25</v>
      </c>
      <c r="P922" s="1" t="s">
        <v>25</v>
      </c>
      <c r="Q922" s="1" t="s">
        <v>25</v>
      </c>
      <c r="R922" s="1" t="s">
        <v>25</v>
      </c>
      <c r="S922" s="2">
        <v>0</v>
      </c>
    </row>
    <row r="923" spans="1:19" x14ac:dyDescent="0.3">
      <c r="A923" t="s">
        <v>1860</v>
      </c>
      <c r="B923" s="5" t="e" cm="1">
        <f t="array" ref="B923">MAX(#REF!,MIN(#REF!,#REF!+SUMPRODUCT(--(FoodData[[#This Row],[Healthy]:[Refined]]="Yes"),#REF!)+FoodData[[#This Row],[Adjust]]))</f>
        <v>#REF!</v>
      </c>
      <c r="C923" s="1" t="e">
        <f>LOOKUP(FoodData[[#This Row],[Score]],#REF!,#REF!)</f>
        <v>#REF!</v>
      </c>
      <c r="D923" t="s">
        <v>1617</v>
      </c>
      <c r="E923" t="s">
        <v>21</v>
      </c>
      <c r="F923" t="s">
        <v>60</v>
      </c>
      <c r="G923" t="s">
        <v>29</v>
      </c>
      <c r="H923" t="s">
        <v>1861</v>
      </c>
      <c r="I923" s="1" t="s">
        <v>26</v>
      </c>
      <c r="J923" s="1" t="s">
        <v>25</v>
      </c>
      <c r="K923" s="1" t="s">
        <v>26</v>
      </c>
      <c r="L923" s="1" t="s">
        <v>25</v>
      </c>
      <c r="M923" s="1" t="s">
        <v>25</v>
      </c>
      <c r="N923" s="1" t="s">
        <v>25</v>
      </c>
      <c r="O923" s="1" t="s">
        <v>25</v>
      </c>
      <c r="P923" s="1" t="s">
        <v>25</v>
      </c>
      <c r="Q923" s="1" t="s">
        <v>25</v>
      </c>
      <c r="R923" s="1" t="s">
        <v>25</v>
      </c>
      <c r="S923" s="2">
        <v>0</v>
      </c>
    </row>
    <row r="924" spans="1:19" x14ac:dyDescent="0.3">
      <c r="A924" t="s">
        <v>1862</v>
      </c>
      <c r="B924" s="5" t="e" cm="1">
        <f t="array" ref="B924">MAX(#REF!,MIN(#REF!,#REF!+SUMPRODUCT(--(FoodData[[#This Row],[Healthy]:[Refined]]="Yes"),#REF!)+FoodData[[#This Row],[Adjust]]))</f>
        <v>#REF!</v>
      </c>
      <c r="C924" s="1" t="e">
        <f>LOOKUP(FoodData[[#This Row],[Score]],#REF!,#REF!)</f>
        <v>#REF!</v>
      </c>
      <c r="D924" t="s">
        <v>1617</v>
      </c>
      <c r="E924" t="s">
        <v>199</v>
      </c>
      <c r="F924" t="s">
        <v>60</v>
      </c>
      <c r="G924" t="s">
        <v>23</v>
      </c>
      <c r="H924" t="s">
        <v>1863</v>
      </c>
      <c r="I924" s="1" t="s">
        <v>25</v>
      </c>
      <c r="J924" s="1" t="s">
        <v>25</v>
      </c>
      <c r="K924" s="1" t="s">
        <v>26</v>
      </c>
      <c r="L924" s="1" t="s">
        <v>25</v>
      </c>
      <c r="M924" s="1" t="s">
        <v>25</v>
      </c>
      <c r="N924" s="1" t="s">
        <v>26</v>
      </c>
      <c r="O924" s="1" t="s">
        <v>25</v>
      </c>
      <c r="P924" s="1" t="s">
        <v>26</v>
      </c>
      <c r="Q924" s="1" t="s">
        <v>26</v>
      </c>
      <c r="R924" s="1" t="s">
        <v>25</v>
      </c>
      <c r="S924" s="2">
        <v>0</v>
      </c>
    </row>
    <row r="925" spans="1:19" x14ac:dyDescent="0.3">
      <c r="A925" t="s">
        <v>1864</v>
      </c>
      <c r="B925" s="5" t="e" cm="1">
        <f t="array" ref="B925">MAX(#REF!,MIN(#REF!,#REF!+SUMPRODUCT(--(FoodData[[#This Row],[Healthy]:[Refined]]="Yes"),#REF!)+FoodData[[#This Row],[Adjust]]))</f>
        <v>#REF!</v>
      </c>
      <c r="C925" s="1" t="e">
        <f>LOOKUP(FoodData[[#This Row],[Score]],#REF!,#REF!)</f>
        <v>#REF!</v>
      </c>
      <c r="D925" t="s">
        <v>1617</v>
      </c>
      <c r="E925" t="s">
        <v>28</v>
      </c>
      <c r="F925" t="s">
        <v>60</v>
      </c>
      <c r="G925" t="s">
        <v>23</v>
      </c>
      <c r="H925" t="s">
        <v>1865</v>
      </c>
      <c r="I925" s="1" t="s">
        <v>26</v>
      </c>
      <c r="J925" s="1" t="s">
        <v>25</v>
      </c>
      <c r="K925" s="1" t="s">
        <v>26</v>
      </c>
      <c r="L925" s="1" t="s">
        <v>25</v>
      </c>
      <c r="M925" s="1" t="s">
        <v>25</v>
      </c>
      <c r="N925" s="1" t="s">
        <v>25</v>
      </c>
      <c r="O925" s="1" t="s">
        <v>25</v>
      </c>
      <c r="P925" s="1" t="s">
        <v>25</v>
      </c>
      <c r="Q925" s="1" t="s">
        <v>25</v>
      </c>
      <c r="R925" s="1" t="s">
        <v>25</v>
      </c>
      <c r="S925" s="2">
        <v>0</v>
      </c>
    </row>
    <row r="926" spans="1:19" x14ac:dyDescent="0.3">
      <c r="A926" t="s">
        <v>1866</v>
      </c>
      <c r="B926" s="5" t="e" cm="1">
        <f t="array" ref="B926">MAX(#REF!,MIN(#REF!,#REF!+SUMPRODUCT(--(FoodData[[#This Row],[Healthy]:[Refined]]="Yes"),#REF!)+FoodData[[#This Row],[Adjust]]))</f>
        <v>#REF!</v>
      </c>
      <c r="C926" s="1" t="e">
        <f>LOOKUP(FoodData[[#This Row],[Score]],#REF!,#REF!)</f>
        <v>#REF!</v>
      </c>
      <c r="D926" t="s">
        <v>1617</v>
      </c>
      <c r="E926" t="s">
        <v>28</v>
      </c>
      <c r="F926" t="s">
        <v>60</v>
      </c>
      <c r="G926" t="s">
        <v>23</v>
      </c>
      <c r="H926" t="s">
        <v>1867</v>
      </c>
      <c r="I926" s="1" t="s">
        <v>26</v>
      </c>
      <c r="J926" s="1" t="s">
        <v>25</v>
      </c>
      <c r="K926" s="1" t="s">
        <v>26</v>
      </c>
      <c r="L926" s="1" t="s">
        <v>25</v>
      </c>
      <c r="M926" s="1" t="s">
        <v>25</v>
      </c>
      <c r="N926" s="1" t="s">
        <v>26</v>
      </c>
      <c r="O926" s="1" t="s">
        <v>25</v>
      </c>
      <c r="P926" s="1" t="s">
        <v>25</v>
      </c>
      <c r="Q926" s="1" t="s">
        <v>25</v>
      </c>
      <c r="R926" s="1" t="s">
        <v>25</v>
      </c>
      <c r="S926" s="2">
        <v>0</v>
      </c>
    </row>
    <row r="927" spans="1:19" x14ac:dyDescent="0.3">
      <c r="A927" t="s">
        <v>1868</v>
      </c>
      <c r="B927" s="5" t="e" cm="1">
        <f t="array" ref="B927">MAX(#REF!,MIN(#REF!,#REF!+SUMPRODUCT(--(FoodData[[#This Row],[Healthy]:[Refined]]="Yes"),#REF!)+FoodData[[#This Row],[Adjust]]))</f>
        <v>#REF!</v>
      </c>
      <c r="C927" s="1" t="e">
        <f>LOOKUP(FoodData[[#This Row],[Score]],#REF!,#REF!)</f>
        <v>#REF!</v>
      </c>
      <c r="D927" t="s">
        <v>1617</v>
      </c>
      <c r="E927" t="s">
        <v>28</v>
      </c>
      <c r="F927" t="s">
        <v>60</v>
      </c>
      <c r="G927" t="s">
        <v>23</v>
      </c>
      <c r="H927" t="s">
        <v>1869</v>
      </c>
      <c r="I927" s="1" t="s">
        <v>25</v>
      </c>
      <c r="J927" s="1" t="s">
        <v>25</v>
      </c>
      <c r="K927" s="1" t="s">
        <v>26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25</v>
      </c>
      <c r="Q927" s="1" t="s">
        <v>25</v>
      </c>
      <c r="R927" s="1" t="s">
        <v>25</v>
      </c>
      <c r="S927" s="2">
        <v>0</v>
      </c>
    </row>
    <row r="928" spans="1:19" x14ac:dyDescent="0.3">
      <c r="A928" t="s">
        <v>1870</v>
      </c>
      <c r="B928" s="5" t="e" cm="1">
        <f t="array" ref="B928">MAX(#REF!,MIN(#REF!,#REF!+SUMPRODUCT(--(FoodData[[#This Row],[Healthy]:[Refined]]="Yes"),#REF!)+FoodData[[#This Row],[Adjust]]))</f>
        <v>#REF!</v>
      </c>
      <c r="C928" s="1" t="e">
        <f>LOOKUP(FoodData[[#This Row],[Score]],#REF!,#REF!)</f>
        <v>#REF!</v>
      </c>
      <c r="D928" t="s">
        <v>1617</v>
      </c>
      <c r="E928" t="s">
        <v>28</v>
      </c>
      <c r="F928" t="s">
        <v>60</v>
      </c>
      <c r="G928" t="s">
        <v>23</v>
      </c>
      <c r="H928" t="s">
        <v>1871</v>
      </c>
      <c r="I928" s="1" t="s">
        <v>25</v>
      </c>
      <c r="J928" s="1" t="s">
        <v>25</v>
      </c>
      <c r="K928" s="1" t="s">
        <v>26</v>
      </c>
      <c r="L928" s="1" t="s">
        <v>25</v>
      </c>
      <c r="M928" s="1" t="s">
        <v>25</v>
      </c>
      <c r="N928" s="1" t="s">
        <v>26</v>
      </c>
      <c r="O928" s="1" t="s">
        <v>25</v>
      </c>
      <c r="P928" s="1" t="s">
        <v>25</v>
      </c>
      <c r="Q928" s="1" t="s">
        <v>25</v>
      </c>
      <c r="R928" s="1" t="s">
        <v>25</v>
      </c>
      <c r="S928" s="2">
        <v>0</v>
      </c>
    </row>
    <row r="929" spans="1:19" x14ac:dyDescent="0.3">
      <c r="A929" t="s">
        <v>1872</v>
      </c>
      <c r="B929" s="5" t="e" cm="1">
        <f t="array" ref="B929">MAX(#REF!,MIN(#REF!,#REF!+SUMPRODUCT(--(FoodData[[#This Row],[Healthy]:[Refined]]="Yes"),#REF!)+FoodData[[#This Row],[Adjust]]))</f>
        <v>#REF!</v>
      </c>
      <c r="C929" s="1" t="e">
        <f>LOOKUP(FoodData[[#This Row],[Score]],#REF!,#REF!)</f>
        <v>#REF!</v>
      </c>
      <c r="D929" t="s">
        <v>1617</v>
      </c>
      <c r="E929" t="s">
        <v>28</v>
      </c>
      <c r="F929" t="s">
        <v>60</v>
      </c>
      <c r="G929" t="s">
        <v>23</v>
      </c>
      <c r="H929" t="s">
        <v>1873</v>
      </c>
      <c r="I929" s="1" t="s">
        <v>25</v>
      </c>
      <c r="J929" s="1" t="s">
        <v>25</v>
      </c>
      <c r="K929" s="1" t="s">
        <v>26</v>
      </c>
      <c r="L929" s="1" t="s">
        <v>25</v>
      </c>
      <c r="M929" s="1" t="s">
        <v>25</v>
      </c>
      <c r="N929" s="1" t="s">
        <v>26</v>
      </c>
      <c r="O929" s="1" t="s">
        <v>25</v>
      </c>
      <c r="P929" s="1" t="s">
        <v>25</v>
      </c>
      <c r="Q929" s="1" t="s">
        <v>25</v>
      </c>
      <c r="R929" s="1" t="s">
        <v>25</v>
      </c>
      <c r="S929" s="2">
        <v>0</v>
      </c>
    </row>
    <row r="930" spans="1:19" x14ac:dyDescent="0.3">
      <c r="A930" t="s">
        <v>1874</v>
      </c>
      <c r="B930" s="5" t="e" cm="1">
        <f t="array" ref="B930">MAX(#REF!,MIN(#REF!,#REF!+SUMPRODUCT(--(FoodData[[#This Row],[Healthy]:[Refined]]="Yes"),#REF!)+FoodData[[#This Row],[Adjust]]))</f>
        <v>#REF!</v>
      </c>
      <c r="C930" s="1" t="e">
        <f>LOOKUP(FoodData[[#This Row],[Score]],#REF!,#REF!)</f>
        <v>#REF!</v>
      </c>
      <c r="D930" t="s">
        <v>1617</v>
      </c>
      <c r="E930" t="s">
        <v>28</v>
      </c>
      <c r="F930" t="s">
        <v>60</v>
      </c>
      <c r="G930" t="s">
        <v>23</v>
      </c>
      <c r="H930" t="s">
        <v>1875</v>
      </c>
      <c r="I930" s="1" t="s">
        <v>26</v>
      </c>
      <c r="J930" s="1" t="s">
        <v>25</v>
      </c>
      <c r="K930" s="1" t="s">
        <v>26</v>
      </c>
      <c r="L930" s="1" t="s">
        <v>25</v>
      </c>
      <c r="M930" s="1" t="s">
        <v>25</v>
      </c>
      <c r="N930" s="1" t="s">
        <v>26</v>
      </c>
      <c r="O930" s="1" t="s">
        <v>25</v>
      </c>
      <c r="P930" s="1" t="s">
        <v>25</v>
      </c>
      <c r="Q930" s="1" t="s">
        <v>25</v>
      </c>
      <c r="R930" s="1" t="s">
        <v>25</v>
      </c>
      <c r="S930" s="2">
        <v>0</v>
      </c>
    </row>
    <row r="931" spans="1:19" x14ac:dyDescent="0.3">
      <c r="A931" t="s">
        <v>1876</v>
      </c>
      <c r="B931" s="5" t="e" cm="1">
        <f t="array" ref="B931">MAX(#REF!,MIN(#REF!,#REF!+SUMPRODUCT(--(FoodData[[#This Row],[Healthy]:[Refined]]="Yes"),#REF!)+FoodData[[#This Row],[Adjust]]))</f>
        <v>#REF!</v>
      </c>
      <c r="C931" s="1" t="e">
        <f>LOOKUP(FoodData[[#This Row],[Score]],#REF!,#REF!)</f>
        <v>#REF!</v>
      </c>
      <c r="D931" t="s">
        <v>1617</v>
      </c>
      <c r="E931" t="s">
        <v>199</v>
      </c>
      <c r="F931" t="s">
        <v>60</v>
      </c>
      <c r="G931" t="s">
        <v>23</v>
      </c>
      <c r="H931" t="s">
        <v>1877</v>
      </c>
      <c r="I931" s="1" t="s">
        <v>25</v>
      </c>
      <c r="J931" s="1" t="s">
        <v>25</v>
      </c>
      <c r="K931" s="1" t="s">
        <v>26</v>
      </c>
      <c r="L931" s="1" t="s">
        <v>25</v>
      </c>
      <c r="M931" s="1" t="s">
        <v>25</v>
      </c>
      <c r="N931" s="1" t="s">
        <v>26</v>
      </c>
      <c r="O931" s="1" t="s">
        <v>25</v>
      </c>
      <c r="P931" s="1" t="s">
        <v>26</v>
      </c>
      <c r="Q931" s="1" t="s">
        <v>26</v>
      </c>
      <c r="R931" s="1" t="s">
        <v>25</v>
      </c>
      <c r="S931" s="2">
        <v>0</v>
      </c>
    </row>
    <row r="932" spans="1:19" x14ac:dyDescent="0.3">
      <c r="A932" t="s">
        <v>1878</v>
      </c>
      <c r="B932" s="5" t="e" cm="1">
        <f t="array" ref="B932">MAX(#REF!,MIN(#REF!,#REF!+SUMPRODUCT(--(FoodData[[#This Row],[Healthy]:[Refined]]="Yes"),#REF!)+FoodData[[#This Row],[Adjust]]))</f>
        <v>#REF!</v>
      </c>
      <c r="C932" s="1" t="e">
        <f>LOOKUP(FoodData[[#This Row],[Score]],#REF!,#REF!)</f>
        <v>#REF!</v>
      </c>
      <c r="D932" t="s">
        <v>1617</v>
      </c>
      <c r="E932" t="s">
        <v>28</v>
      </c>
      <c r="F932" t="s">
        <v>60</v>
      </c>
      <c r="G932" t="s">
        <v>23</v>
      </c>
      <c r="H932" t="s">
        <v>1879</v>
      </c>
      <c r="I932" s="1" t="s">
        <v>25</v>
      </c>
      <c r="J932" s="1" t="s">
        <v>25</v>
      </c>
      <c r="K932" s="1" t="s">
        <v>26</v>
      </c>
      <c r="L932" s="1" t="s">
        <v>25</v>
      </c>
      <c r="M932" s="1" t="s">
        <v>25</v>
      </c>
      <c r="N932" s="1" t="s">
        <v>26</v>
      </c>
      <c r="O932" s="1" t="s">
        <v>25</v>
      </c>
      <c r="P932" s="1" t="s">
        <v>26</v>
      </c>
      <c r="Q932" s="1" t="s">
        <v>25</v>
      </c>
      <c r="R932" s="1" t="s">
        <v>25</v>
      </c>
      <c r="S932" s="2">
        <v>0</v>
      </c>
    </row>
    <row r="933" spans="1:19" x14ac:dyDescent="0.3">
      <c r="A933" t="s">
        <v>1880</v>
      </c>
      <c r="B933" s="5" t="e" cm="1">
        <f t="array" ref="B933">MAX(#REF!,MIN(#REF!,#REF!+SUMPRODUCT(--(FoodData[[#This Row],[Healthy]:[Refined]]="Yes"),#REF!)+FoodData[[#This Row],[Adjust]]))</f>
        <v>#REF!</v>
      </c>
      <c r="C933" s="1" t="e">
        <f>LOOKUP(FoodData[[#This Row],[Score]],#REF!,#REF!)</f>
        <v>#REF!</v>
      </c>
      <c r="D933" t="s">
        <v>1617</v>
      </c>
      <c r="E933" t="s">
        <v>28</v>
      </c>
      <c r="F933" t="s">
        <v>60</v>
      </c>
      <c r="G933" t="s">
        <v>23</v>
      </c>
      <c r="H933" t="s">
        <v>1881</v>
      </c>
      <c r="I933" s="1" t="s">
        <v>25</v>
      </c>
      <c r="J933" s="1" t="s">
        <v>25</v>
      </c>
      <c r="K933" s="1" t="s">
        <v>26</v>
      </c>
      <c r="L933" s="1" t="s">
        <v>25</v>
      </c>
      <c r="M933" s="1" t="s">
        <v>26</v>
      </c>
      <c r="N933" s="1" t="s">
        <v>25</v>
      </c>
      <c r="O933" s="1" t="s">
        <v>25</v>
      </c>
      <c r="P933" s="1" t="s">
        <v>25</v>
      </c>
      <c r="Q933" s="1" t="s">
        <v>25</v>
      </c>
      <c r="R933" s="1" t="s">
        <v>25</v>
      </c>
      <c r="S933" s="2">
        <v>0</v>
      </c>
    </row>
    <row r="934" spans="1:19" x14ac:dyDescent="0.3">
      <c r="A934" t="s">
        <v>1882</v>
      </c>
      <c r="B934" s="5" t="e" cm="1">
        <f t="array" ref="B934">MAX(#REF!,MIN(#REF!,#REF!+SUMPRODUCT(--(FoodData[[#This Row],[Healthy]:[Refined]]="Yes"),#REF!)+FoodData[[#This Row],[Adjust]]))</f>
        <v>#REF!</v>
      </c>
      <c r="C934" s="1" t="e">
        <f>LOOKUP(FoodData[[#This Row],[Score]],#REF!,#REF!)</f>
        <v>#REF!</v>
      </c>
      <c r="D934" t="s">
        <v>1617</v>
      </c>
      <c r="E934" t="s">
        <v>28</v>
      </c>
      <c r="F934" t="s">
        <v>60</v>
      </c>
      <c r="G934" t="s">
        <v>23</v>
      </c>
      <c r="H934" t="s">
        <v>1883</v>
      </c>
      <c r="I934" s="1" t="s">
        <v>26</v>
      </c>
      <c r="J934" s="1" t="s">
        <v>25</v>
      </c>
      <c r="K934" s="1" t="s">
        <v>26</v>
      </c>
      <c r="L934" s="1" t="s">
        <v>25</v>
      </c>
      <c r="M934" s="1" t="s">
        <v>25</v>
      </c>
      <c r="N934" s="1" t="s">
        <v>26</v>
      </c>
      <c r="O934" s="1" t="s">
        <v>25</v>
      </c>
      <c r="P934" s="1" t="s">
        <v>25</v>
      </c>
      <c r="Q934" s="1" t="s">
        <v>25</v>
      </c>
      <c r="R934" s="1" t="s">
        <v>25</v>
      </c>
      <c r="S934" s="2">
        <v>0</v>
      </c>
    </row>
    <row r="935" spans="1:19" x14ac:dyDescent="0.3">
      <c r="A935" t="s">
        <v>1884</v>
      </c>
      <c r="B935" s="5" t="e" cm="1">
        <f t="array" ref="B935">MAX(#REF!,MIN(#REF!,#REF!+SUMPRODUCT(--(FoodData[[#This Row],[Healthy]:[Refined]]="Yes"),#REF!)+FoodData[[#This Row],[Adjust]]))</f>
        <v>#REF!</v>
      </c>
      <c r="C935" s="1" t="e">
        <f>LOOKUP(FoodData[[#This Row],[Score]],#REF!,#REF!)</f>
        <v>#REF!</v>
      </c>
      <c r="D935" t="s">
        <v>1617</v>
      </c>
      <c r="E935" t="s">
        <v>199</v>
      </c>
      <c r="F935" t="s">
        <v>60</v>
      </c>
      <c r="G935" t="s">
        <v>29</v>
      </c>
      <c r="H935" t="s">
        <v>1885</v>
      </c>
      <c r="I935" s="1" t="s">
        <v>25</v>
      </c>
      <c r="J935" s="1" t="s">
        <v>25</v>
      </c>
      <c r="K935" s="1" t="s">
        <v>26</v>
      </c>
      <c r="L935" s="1" t="s">
        <v>26</v>
      </c>
      <c r="M935" s="1" t="s">
        <v>25</v>
      </c>
      <c r="N935" s="1" t="s">
        <v>26</v>
      </c>
      <c r="O935" s="1" t="s">
        <v>25</v>
      </c>
      <c r="P935" s="1" t="s">
        <v>26</v>
      </c>
      <c r="Q935" s="1" t="s">
        <v>26</v>
      </c>
      <c r="R935" s="1" t="s">
        <v>26</v>
      </c>
      <c r="S935" s="2">
        <v>0</v>
      </c>
    </row>
    <row r="936" spans="1:19" x14ac:dyDescent="0.3">
      <c r="A936" t="s">
        <v>1886</v>
      </c>
      <c r="B936" s="5" t="e" cm="1">
        <f t="array" ref="B936">MAX(#REF!,MIN(#REF!,#REF!+SUMPRODUCT(--(FoodData[[#This Row],[Healthy]:[Refined]]="Yes"),#REF!)+FoodData[[#This Row],[Adjust]]))</f>
        <v>#REF!</v>
      </c>
      <c r="C936" s="1" t="e">
        <f>LOOKUP(FoodData[[#This Row],[Score]],#REF!,#REF!)</f>
        <v>#REF!</v>
      </c>
      <c r="D936" t="s">
        <v>1617</v>
      </c>
      <c r="E936" t="s">
        <v>28</v>
      </c>
      <c r="F936" t="s">
        <v>60</v>
      </c>
      <c r="G936" t="s">
        <v>23</v>
      </c>
      <c r="H936" t="s">
        <v>1887</v>
      </c>
      <c r="I936" s="1" t="s">
        <v>25</v>
      </c>
      <c r="J936" s="1" t="s">
        <v>25</v>
      </c>
      <c r="K936" s="1" t="s">
        <v>26</v>
      </c>
      <c r="L936" s="1" t="s">
        <v>25</v>
      </c>
      <c r="M936" s="1" t="s">
        <v>25</v>
      </c>
      <c r="N936" s="1" t="s">
        <v>26</v>
      </c>
      <c r="O936" s="1" t="s">
        <v>25</v>
      </c>
      <c r="P936" s="1" t="s">
        <v>26</v>
      </c>
      <c r="Q936" s="1" t="s">
        <v>25</v>
      </c>
      <c r="R936" s="1" t="s">
        <v>25</v>
      </c>
      <c r="S936" s="2">
        <v>0</v>
      </c>
    </row>
    <row r="937" spans="1:19" x14ac:dyDescent="0.3">
      <c r="A937" t="s">
        <v>1888</v>
      </c>
      <c r="B937" s="5" t="e" cm="1">
        <f t="array" ref="B937">MAX(#REF!,MIN(#REF!,#REF!+SUMPRODUCT(--(FoodData[[#This Row],[Healthy]:[Refined]]="Yes"),#REF!)+FoodData[[#This Row],[Adjust]]))</f>
        <v>#REF!</v>
      </c>
      <c r="C937" s="1" t="e">
        <f>LOOKUP(FoodData[[#This Row],[Score]],#REF!,#REF!)</f>
        <v>#REF!</v>
      </c>
      <c r="D937" t="s">
        <v>1617</v>
      </c>
      <c r="E937" t="s">
        <v>28</v>
      </c>
      <c r="F937" t="s">
        <v>60</v>
      </c>
      <c r="G937" t="s">
        <v>29</v>
      </c>
      <c r="H937" t="s">
        <v>1889</v>
      </c>
      <c r="I937" s="1" t="s">
        <v>26</v>
      </c>
      <c r="J937" s="1" t="s">
        <v>26</v>
      </c>
      <c r="K937" s="1" t="s">
        <v>26</v>
      </c>
      <c r="L937" s="1" t="s">
        <v>25</v>
      </c>
      <c r="M937" s="1" t="s">
        <v>25</v>
      </c>
      <c r="N937" s="1" t="s">
        <v>25</v>
      </c>
      <c r="O937" s="1" t="s">
        <v>25</v>
      </c>
      <c r="P937" s="1" t="s">
        <v>25</v>
      </c>
      <c r="Q937" s="1" t="s">
        <v>25</v>
      </c>
      <c r="R937" s="1" t="s">
        <v>25</v>
      </c>
      <c r="S937" s="2">
        <v>0</v>
      </c>
    </row>
    <row r="938" spans="1:19" x14ac:dyDescent="0.3">
      <c r="A938" t="s">
        <v>1890</v>
      </c>
      <c r="B938" s="5" t="e" cm="1">
        <f t="array" ref="B938">MAX(#REF!,MIN(#REF!,#REF!+SUMPRODUCT(--(FoodData[[#This Row],[Healthy]:[Refined]]="Yes"),#REF!)+FoodData[[#This Row],[Adjust]]))</f>
        <v>#REF!</v>
      </c>
      <c r="C938" s="1" t="e">
        <f>LOOKUP(FoodData[[#This Row],[Score]],#REF!,#REF!)</f>
        <v>#REF!</v>
      </c>
      <c r="D938" t="s">
        <v>1617</v>
      </c>
      <c r="E938" t="s">
        <v>199</v>
      </c>
      <c r="F938" t="s">
        <v>60</v>
      </c>
      <c r="G938" t="s">
        <v>23</v>
      </c>
      <c r="H938" t="s">
        <v>1891</v>
      </c>
      <c r="I938" s="1" t="s">
        <v>26</v>
      </c>
      <c r="J938" s="1" t="s">
        <v>25</v>
      </c>
      <c r="K938" s="1" t="s">
        <v>26</v>
      </c>
      <c r="L938" s="1" t="s">
        <v>25</v>
      </c>
      <c r="M938" s="1" t="s">
        <v>25</v>
      </c>
      <c r="N938" s="1" t="s">
        <v>25</v>
      </c>
      <c r="O938" s="1" t="s">
        <v>25</v>
      </c>
      <c r="P938" s="1" t="s">
        <v>25</v>
      </c>
      <c r="Q938" s="1" t="s">
        <v>25</v>
      </c>
      <c r="R938" s="1" t="s">
        <v>25</v>
      </c>
      <c r="S938" s="2">
        <v>0</v>
      </c>
    </row>
    <row r="939" spans="1:19" x14ac:dyDescent="0.3">
      <c r="A939" t="s">
        <v>1892</v>
      </c>
      <c r="B939" s="5" t="e" cm="1">
        <f t="array" ref="B939">MAX(#REF!,MIN(#REF!,#REF!+SUMPRODUCT(--(FoodData[[#This Row],[Healthy]:[Refined]]="Yes"),#REF!)+FoodData[[#This Row],[Adjust]]))</f>
        <v>#REF!</v>
      </c>
      <c r="C939" s="1" t="e">
        <f>LOOKUP(FoodData[[#This Row],[Score]],#REF!,#REF!)</f>
        <v>#REF!</v>
      </c>
      <c r="D939" t="s">
        <v>1617</v>
      </c>
      <c r="E939" t="s">
        <v>28</v>
      </c>
      <c r="F939" t="s">
        <v>60</v>
      </c>
      <c r="G939" t="s">
        <v>23</v>
      </c>
      <c r="H939" t="s">
        <v>1893</v>
      </c>
      <c r="I939" s="1" t="s">
        <v>25</v>
      </c>
      <c r="J939" s="1" t="s">
        <v>25</v>
      </c>
      <c r="K939" s="1" t="s">
        <v>26</v>
      </c>
      <c r="L939" s="1" t="s">
        <v>25</v>
      </c>
      <c r="M939" s="1" t="s">
        <v>25</v>
      </c>
      <c r="N939" s="1" t="s">
        <v>26</v>
      </c>
      <c r="O939" s="1" t="s">
        <v>25</v>
      </c>
      <c r="P939" s="1" t="s">
        <v>25</v>
      </c>
      <c r="Q939" s="1" t="s">
        <v>25</v>
      </c>
      <c r="R939" s="1" t="s">
        <v>25</v>
      </c>
      <c r="S939" s="2">
        <v>0</v>
      </c>
    </row>
    <row r="940" spans="1:19" x14ac:dyDescent="0.3">
      <c r="A940" t="s">
        <v>1894</v>
      </c>
      <c r="B940" s="5" t="e" cm="1">
        <f t="array" ref="B940">MAX(#REF!,MIN(#REF!,#REF!+SUMPRODUCT(--(FoodData[[#This Row],[Healthy]:[Refined]]="Yes"),#REF!)+FoodData[[#This Row],[Adjust]]))</f>
        <v>#REF!</v>
      </c>
      <c r="C940" s="1" t="e">
        <f>LOOKUP(FoodData[[#This Row],[Score]],#REF!,#REF!)</f>
        <v>#REF!</v>
      </c>
      <c r="D940" t="s">
        <v>1617</v>
      </c>
      <c r="E940" t="s">
        <v>28</v>
      </c>
      <c r="F940" t="s">
        <v>60</v>
      </c>
      <c r="G940" t="s">
        <v>23</v>
      </c>
      <c r="H940" t="s">
        <v>1895</v>
      </c>
      <c r="I940" s="1" t="s">
        <v>25</v>
      </c>
      <c r="J940" s="1" t="s">
        <v>25</v>
      </c>
      <c r="K940" s="1" t="s">
        <v>26</v>
      </c>
      <c r="L940" s="1" t="s">
        <v>25</v>
      </c>
      <c r="M940" s="1" t="s">
        <v>25</v>
      </c>
      <c r="N940" s="1" t="s">
        <v>26</v>
      </c>
      <c r="O940" s="1" t="s">
        <v>25</v>
      </c>
      <c r="P940" s="1" t="s">
        <v>25</v>
      </c>
      <c r="Q940" s="1" t="s">
        <v>25</v>
      </c>
      <c r="R940" s="1" t="s">
        <v>25</v>
      </c>
      <c r="S940" s="2">
        <v>0</v>
      </c>
    </row>
    <row r="941" spans="1:19" x14ac:dyDescent="0.3">
      <c r="A941" t="s">
        <v>1896</v>
      </c>
      <c r="B941" s="5" t="e" cm="1">
        <f t="array" ref="B941">MAX(#REF!,MIN(#REF!,#REF!+SUMPRODUCT(--(FoodData[[#This Row],[Healthy]:[Refined]]="Yes"),#REF!)+FoodData[[#This Row],[Adjust]]))</f>
        <v>#REF!</v>
      </c>
      <c r="C941" s="1" t="e">
        <f>LOOKUP(FoodData[[#This Row],[Score]],#REF!,#REF!)</f>
        <v>#REF!</v>
      </c>
      <c r="D941" t="s">
        <v>1617</v>
      </c>
      <c r="E941" t="s">
        <v>28</v>
      </c>
      <c r="F941" t="s">
        <v>60</v>
      </c>
      <c r="G941" t="s">
        <v>23</v>
      </c>
      <c r="H941" t="s">
        <v>1897</v>
      </c>
      <c r="I941" s="1" t="s">
        <v>25</v>
      </c>
      <c r="J941" s="1" t="s">
        <v>25</v>
      </c>
      <c r="K941" s="1" t="s">
        <v>26</v>
      </c>
      <c r="L941" s="1" t="s">
        <v>25</v>
      </c>
      <c r="M941" s="1" t="s">
        <v>25</v>
      </c>
      <c r="N941" s="1" t="s">
        <v>26</v>
      </c>
      <c r="O941" s="1" t="s">
        <v>25</v>
      </c>
      <c r="P941" s="1" t="s">
        <v>25</v>
      </c>
      <c r="Q941" s="1" t="s">
        <v>25</v>
      </c>
      <c r="R941" s="1" t="s">
        <v>25</v>
      </c>
      <c r="S941" s="2">
        <v>0</v>
      </c>
    </row>
    <row r="942" spans="1:19" x14ac:dyDescent="0.3">
      <c r="A942" t="s">
        <v>1898</v>
      </c>
      <c r="B942" s="5" t="e" cm="1">
        <f t="array" ref="B942">MAX(#REF!,MIN(#REF!,#REF!+SUMPRODUCT(--(FoodData[[#This Row],[Healthy]:[Refined]]="Yes"),#REF!)+FoodData[[#This Row],[Adjust]]))</f>
        <v>#REF!</v>
      </c>
      <c r="C942" s="1" t="e">
        <f>LOOKUP(FoodData[[#This Row],[Score]],#REF!,#REF!)</f>
        <v>#REF!</v>
      </c>
      <c r="D942" t="s">
        <v>1617</v>
      </c>
      <c r="E942" t="s">
        <v>28</v>
      </c>
      <c r="F942" t="s">
        <v>60</v>
      </c>
      <c r="G942" t="s">
        <v>23</v>
      </c>
      <c r="H942" t="s">
        <v>1899</v>
      </c>
      <c r="I942" s="1" t="s">
        <v>25</v>
      </c>
      <c r="J942" s="1" t="s">
        <v>25</v>
      </c>
      <c r="K942" s="1" t="s">
        <v>26</v>
      </c>
      <c r="L942" s="1" t="s">
        <v>25</v>
      </c>
      <c r="M942" s="1" t="s">
        <v>25</v>
      </c>
      <c r="N942" s="1" t="s">
        <v>26</v>
      </c>
      <c r="O942" s="1" t="s">
        <v>25</v>
      </c>
      <c r="P942" s="1" t="s">
        <v>25</v>
      </c>
      <c r="Q942" s="1" t="s">
        <v>25</v>
      </c>
      <c r="R942" s="1" t="s">
        <v>25</v>
      </c>
      <c r="S942" s="2">
        <v>0</v>
      </c>
    </row>
    <row r="943" spans="1:19" x14ac:dyDescent="0.3">
      <c r="A943" t="s">
        <v>1900</v>
      </c>
      <c r="B943" s="5" t="e" cm="1">
        <f t="array" ref="B943">MAX(#REF!,MIN(#REF!,#REF!+SUMPRODUCT(--(FoodData[[#This Row],[Healthy]:[Refined]]="Yes"),#REF!)+FoodData[[#This Row],[Adjust]]))</f>
        <v>#REF!</v>
      </c>
      <c r="C943" s="1" t="e">
        <f>LOOKUP(FoodData[[#This Row],[Score]],#REF!,#REF!)</f>
        <v>#REF!</v>
      </c>
      <c r="D943" t="s">
        <v>1617</v>
      </c>
      <c r="E943" t="s">
        <v>199</v>
      </c>
      <c r="F943" t="s">
        <v>60</v>
      </c>
      <c r="G943" t="s">
        <v>23</v>
      </c>
      <c r="H943" t="s">
        <v>1901</v>
      </c>
      <c r="I943" s="1" t="s">
        <v>25</v>
      </c>
      <c r="J943" s="1" t="s">
        <v>25</v>
      </c>
      <c r="K943" s="1" t="s">
        <v>26</v>
      </c>
      <c r="L943" s="1" t="s">
        <v>25</v>
      </c>
      <c r="M943" s="1" t="s">
        <v>25</v>
      </c>
      <c r="N943" s="1" t="s">
        <v>26</v>
      </c>
      <c r="O943" s="1" t="s">
        <v>25</v>
      </c>
      <c r="P943" s="1" t="s">
        <v>26</v>
      </c>
      <c r="Q943" s="1" t="s">
        <v>26</v>
      </c>
      <c r="R943" s="1" t="s">
        <v>25</v>
      </c>
      <c r="S943" s="2">
        <v>0</v>
      </c>
    </row>
    <row r="944" spans="1:19" x14ac:dyDescent="0.3">
      <c r="A944" t="s">
        <v>1902</v>
      </c>
      <c r="B944" s="5" t="e" cm="1">
        <f t="array" ref="B944">MAX(#REF!,MIN(#REF!,#REF!+SUMPRODUCT(--(FoodData[[#This Row],[Healthy]:[Refined]]="Yes"),#REF!)+FoodData[[#This Row],[Adjust]]))</f>
        <v>#REF!</v>
      </c>
      <c r="C944" s="1" t="e">
        <f>LOOKUP(FoodData[[#This Row],[Score]],#REF!,#REF!)</f>
        <v>#REF!</v>
      </c>
      <c r="D944" t="s">
        <v>1617</v>
      </c>
      <c r="E944" t="s">
        <v>28</v>
      </c>
      <c r="F944" t="s">
        <v>60</v>
      </c>
      <c r="G944" t="s">
        <v>23</v>
      </c>
      <c r="H944" t="s">
        <v>1903</v>
      </c>
      <c r="I944" s="1" t="s">
        <v>25</v>
      </c>
      <c r="J944" s="1" t="s">
        <v>25</v>
      </c>
      <c r="K944" s="1" t="s">
        <v>26</v>
      </c>
      <c r="L944" s="1" t="s">
        <v>25</v>
      </c>
      <c r="M944" s="1" t="s">
        <v>25</v>
      </c>
      <c r="N944" s="1" t="s">
        <v>26</v>
      </c>
      <c r="O944" s="1" t="s">
        <v>25</v>
      </c>
      <c r="P944" s="1" t="s">
        <v>25</v>
      </c>
      <c r="Q944" s="1" t="s">
        <v>25</v>
      </c>
      <c r="R944" s="1" t="s">
        <v>25</v>
      </c>
      <c r="S944" s="2">
        <v>0</v>
      </c>
    </row>
    <row r="945" spans="1:19" x14ac:dyDescent="0.3">
      <c r="A945" t="s">
        <v>1904</v>
      </c>
      <c r="B945" s="5" t="e" cm="1">
        <f t="array" ref="B945">MAX(#REF!,MIN(#REF!,#REF!+SUMPRODUCT(--(FoodData[[#This Row],[Healthy]:[Refined]]="Yes"),#REF!)+FoodData[[#This Row],[Adjust]]))</f>
        <v>#REF!</v>
      </c>
      <c r="C945" s="1" t="e">
        <f>LOOKUP(FoodData[[#This Row],[Score]],#REF!,#REF!)</f>
        <v>#REF!</v>
      </c>
      <c r="D945" t="s">
        <v>1617</v>
      </c>
      <c r="E945" t="s">
        <v>28</v>
      </c>
      <c r="F945" t="s">
        <v>60</v>
      </c>
      <c r="G945" t="s">
        <v>29</v>
      </c>
      <c r="H945" t="s">
        <v>1905</v>
      </c>
      <c r="I945" s="1" t="s">
        <v>26</v>
      </c>
      <c r="J945" s="1" t="s">
        <v>26</v>
      </c>
      <c r="K945" s="1" t="s">
        <v>26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25</v>
      </c>
      <c r="Q945" s="1" t="s">
        <v>25</v>
      </c>
      <c r="R945" s="1" t="s">
        <v>25</v>
      </c>
      <c r="S945" s="2">
        <v>0</v>
      </c>
    </row>
    <row r="946" spans="1:19" x14ac:dyDescent="0.3">
      <c r="A946" t="s">
        <v>1906</v>
      </c>
      <c r="B946" s="5" t="e" cm="1">
        <f t="array" ref="B946">MAX(#REF!,MIN(#REF!,#REF!+SUMPRODUCT(--(FoodData[[#This Row],[Healthy]:[Refined]]="Yes"),#REF!)+FoodData[[#This Row],[Adjust]]))</f>
        <v>#REF!</v>
      </c>
      <c r="C946" s="1" t="e">
        <f>LOOKUP(FoodData[[#This Row],[Score]],#REF!,#REF!)</f>
        <v>#REF!</v>
      </c>
      <c r="D946" t="s">
        <v>1617</v>
      </c>
      <c r="E946" t="s">
        <v>28</v>
      </c>
      <c r="F946" t="s">
        <v>60</v>
      </c>
      <c r="G946" t="s">
        <v>23</v>
      </c>
      <c r="H946" t="s">
        <v>1907</v>
      </c>
      <c r="I946" s="1" t="s">
        <v>25</v>
      </c>
      <c r="J946" s="1" t="s">
        <v>25</v>
      </c>
      <c r="K946" s="1" t="s">
        <v>26</v>
      </c>
      <c r="L946" s="1" t="s">
        <v>25</v>
      </c>
      <c r="M946" s="1" t="s">
        <v>25</v>
      </c>
      <c r="N946" s="1" t="s">
        <v>26</v>
      </c>
      <c r="O946" s="1" t="s">
        <v>25</v>
      </c>
      <c r="P946" s="1" t="s">
        <v>26</v>
      </c>
      <c r="Q946" s="1" t="s">
        <v>25</v>
      </c>
      <c r="R946" s="1" t="s">
        <v>25</v>
      </c>
      <c r="S946" s="2">
        <v>0</v>
      </c>
    </row>
    <row r="947" spans="1:19" x14ac:dyDescent="0.3">
      <c r="A947" t="s">
        <v>1908</v>
      </c>
      <c r="B947" s="5" t="e" cm="1">
        <f t="array" ref="B947">MAX(#REF!,MIN(#REF!,#REF!+SUMPRODUCT(--(FoodData[[#This Row],[Healthy]:[Refined]]="Yes"),#REF!)+FoodData[[#This Row],[Adjust]]))</f>
        <v>#REF!</v>
      </c>
      <c r="C947" s="1" t="e">
        <f>LOOKUP(FoodData[[#This Row],[Score]],#REF!,#REF!)</f>
        <v>#REF!</v>
      </c>
      <c r="D947" t="s">
        <v>1617</v>
      </c>
      <c r="E947" t="s">
        <v>28</v>
      </c>
      <c r="F947" t="s">
        <v>60</v>
      </c>
      <c r="G947" t="s">
        <v>23</v>
      </c>
      <c r="H947" t="s">
        <v>1909</v>
      </c>
      <c r="I947" s="1" t="s">
        <v>26</v>
      </c>
      <c r="J947" s="1" t="s">
        <v>25</v>
      </c>
      <c r="K947" s="1" t="s">
        <v>26</v>
      </c>
      <c r="L947" s="1" t="s">
        <v>26</v>
      </c>
      <c r="M947" s="1" t="s">
        <v>25</v>
      </c>
      <c r="N947" s="1" t="s">
        <v>26</v>
      </c>
      <c r="O947" s="1" t="s">
        <v>25</v>
      </c>
      <c r="P947" s="1" t="s">
        <v>25</v>
      </c>
      <c r="Q947" s="1" t="s">
        <v>25</v>
      </c>
      <c r="R947" s="1" t="s">
        <v>25</v>
      </c>
      <c r="S947" s="2">
        <v>0</v>
      </c>
    </row>
    <row r="948" spans="1:19" x14ac:dyDescent="0.3">
      <c r="A948" t="s">
        <v>1910</v>
      </c>
      <c r="B948" s="5" t="e" cm="1">
        <f t="array" ref="B948">MAX(#REF!,MIN(#REF!,#REF!+SUMPRODUCT(--(FoodData[[#This Row],[Healthy]:[Refined]]="Yes"),#REF!)+FoodData[[#This Row],[Adjust]]))</f>
        <v>#REF!</v>
      </c>
      <c r="C948" s="1" t="e">
        <f>LOOKUP(FoodData[[#This Row],[Score]],#REF!,#REF!)</f>
        <v>#REF!</v>
      </c>
      <c r="D948" t="s">
        <v>1617</v>
      </c>
      <c r="E948" t="s">
        <v>199</v>
      </c>
      <c r="F948" t="s">
        <v>60</v>
      </c>
      <c r="G948" t="s">
        <v>23</v>
      </c>
      <c r="H948" t="s">
        <v>1911</v>
      </c>
      <c r="I948" s="1" t="s">
        <v>26</v>
      </c>
      <c r="J948" s="1" t="s">
        <v>26</v>
      </c>
      <c r="K948" s="1" t="s">
        <v>26</v>
      </c>
      <c r="L948" s="1" t="s">
        <v>25</v>
      </c>
      <c r="M948" s="1" t="s">
        <v>25</v>
      </c>
      <c r="N948" s="1" t="s">
        <v>25</v>
      </c>
      <c r="O948" s="1" t="s">
        <v>25</v>
      </c>
      <c r="P948" s="1" t="s">
        <v>25</v>
      </c>
      <c r="Q948" s="1" t="s">
        <v>25</v>
      </c>
      <c r="R948" s="1" t="s">
        <v>25</v>
      </c>
      <c r="S948" s="2">
        <v>0</v>
      </c>
    </row>
    <row r="949" spans="1:19" x14ac:dyDescent="0.3">
      <c r="A949" t="s">
        <v>1912</v>
      </c>
      <c r="B949" s="5" t="e" cm="1">
        <f t="array" ref="B949">MAX(#REF!,MIN(#REF!,#REF!+SUMPRODUCT(--(FoodData[[#This Row],[Healthy]:[Refined]]="Yes"),#REF!)+FoodData[[#This Row],[Adjust]]))</f>
        <v>#REF!</v>
      </c>
      <c r="C949" s="1" t="e">
        <f>LOOKUP(FoodData[[#This Row],[Score]],#REF!,#REF!)</f>
        <v>#REF!</v>
      </c>
      <c r="D949" t="s">
        <v>1617</v>
      </c>
      <c r="E949" t="s">
        <v>28</v>
      </c>
      <c r="F949" t="s">
        <v>60</v>
      </c>
      <c r="G949" t="s">
        <v>23</v>
      </c>
      <c r="H949" t="s">
        <v>1725</v>
      </c>
      <c r="I949" s="1" t="s">
        <v>26</v>
      </c>
      <c r="J949" s="1" t="s">
        <v>25</v>
      </c>
      <c r="K949" s="1" t="s">
        <v>26</v>
      </c>
      <c r="L949" s="1" t="s">
        <v>25</v>
      </c>
      <c r="M949" s="1" t="s">
        <v>25</v>
      </c>
      <c r="N949" s="1" t="s">
        <v>25</v>
      </c>
      <c r="O949" s="1" t="s">
        <v>25</v>
      </c>
      <c r="P949" s="1" t="s">
        <v>25</v>
      </c>
      <c r="Q949" s="1" t="s">
        <v>25</v>
      </c>
      <c r="R949" s="1" t="s">
        <v>25</v>
      </c>
      <c r="S949" s="2">
        <v>0</v>
      </c>
    </row>
    <row r="950" spans="1:19" x14ac:dyDescent="0.3">
      <c r="A950" t="s">
        <v>1913</v>
      </c>
      <c r="B950" s="5" t="e" cm="1">
        <f t="array" ref="B950">MAX(#REF!,MIN(#REF!,#REF!+SUMPRODUCT(--(FoodData[[#This Row],[Healthy]:[Refined]]="Yes"),#REF!)+FoodData[[#This Row],[Adjust]]))</f>
        <v>#REF!</v>
      </c>
      <c r="C950" s="1" t="e">
        <f>LOOKUP(FoodData[[#This Row],[Score]],#REF!,#REF!)</f>
        <v>#REF!</v>
      </c>
      <c r="D950" t="s">
        <v>1617</v>
      </c>
      <c r="E950" t="s">
        <v>28</v>
      </c>
      <c r="F950" t="s">
        <v>60</v>
      </c>
      <c r="G950" t="s">
        <v>29</v>
      </c>
      <c r="H950" t="s">
        <v>1914</v>
      </c>
      <c r="I950" s="1" t="s">
        <v>26</v>
      </c>
      <c r="J950" s="1" t="s">
        <v>26</v>
      </c>
      <c r="K950" s="1" t="s">
        <v>26</v>
      </c>
      <c r="L950" s="1" t="s">
        <v>26</v>
      </c>
      <c r="M950" s="1" t="s">
        <v>25</v>
      </c>
      <c r="N950" s="1" t="s">
        <v>25</v>
      </c>
      <c r="O950" s="1" t="s">
        <v>25</v>
      </c>
      <c r="P950" s="1" t="s">
        <v>25</v>
      </c>
      <c r="Q950" s="1" t="s">
        <v>25</v>
      </c>
      <c r="R950" s="1" t="s">
        <v>25</v>
      </c>
      <c r="S950" s="2">
        <v>0</v>
      </c>
    </row>
    <row r="951" spans="1:19" x14ac:dyDescent="0.3">
      <c r="A951" t="s">
        <v>1915</v>
      </c>
      <c r="B951" s="5" t="e" cm="1">
        <f t="array" ref="B951">MAX(#REF!,MIN(#REF!,#REF!+SUMPRODUCT(--(FoodData[[#This Row],[Healthy]:[Refined]]="Yes"),#REF!)+FoodData[[#This Row],[Adjust]]))</f>
        <v>#REF!</v>
      </c>
      <c r="C951" s="1" t="e">
        <f>LOOKUP(FoodData[[#This Row],[Score]],#REF!,#REF!)</f>
        <v>#REF!</v>
      </c>
      <c r="D951" t="s">
        <v>1916</v>
      </c>
      <c r="E951" t="s">
        <v>556</v>
      </c>
      <c r="F951" t="s">
        <v>22</v>
      </c>
      <c r="G951" t="s">
        <v>489</v>
      </c>
      <c r="H951" t="s">
        <v>1917</v>
      </c>
      <c r="I951" s="1" t="s">
        <v>25</v>
      </c>
      <c r="J951" s="1" t="s">
        <v>25</v>
      </c>
      <c r="K951" s="1" t="s">
        <v>25</v>
      </c>
      <c r="L951" s="1" t="s">
        <v>25</v>
      </c>
      <c r="M951" s="1" t="s">
        <v>26</v>
      </c>
      <c r="N951" s="1" t="s">
        <v>25</v>
      </c>
      <c r="O951" s="1" t="s">
        <v>25</v>
      </c>
      <c r="P951" s="1" t="s">
        <v>25</v>
      </c>
      <c r="Q951" s="1" t="s">
        <v>26</v>
      </c>
      <c r="R951" s="1" t="s">
        <v>25</v>
      </c>
      <c r="S951" s="2">
        <v>0</v>
      </c>
    </row>
    <row r="952" spans="1:19" x14ac:dyDescent="0.3">
      <c r="A952" t="s">
        <v>1918</v>
      </c>
      <c r="B952" s="5" t="e" cm="1">
        <f t="array" ref="B952">MAX(#REF!,MIN(#REF!,#REF!+SUMPRODUCT(--(FoodData[[#This Row],[Healthy]:[Refined]]="Yes"),#REF!)+FoodData[[#This Row],[Adjust]]))</f>
        <v>#REF!</v>
      </c>
      <c r="C952" s="1" t="e">
        <f>LOOKUP(FoodData[[#This Row],[Score]],#REF!,#REF!)</f>
        <v>#REF!</v>
      </c>
      <c r="D952" t="s">
        <v>1916</v>
      </c>
      <c r="E952" t="s">
        <v>63</v>
      </c>
      <c r="F952" t="s">
        <v>22</v>
      </c>
      <c r="G952" t="s">
        <v>23</v>
      </c>
      <c r="H952" t="s">
        <v>181</v>
      </c>
      <c r="I952" s="1" t="s">
        <v>25</v>
      </c>
      <c r="J952" s="1" t="s">
        <v>25</v>
      </c>
      <c r="K952" s="1" t="s">
        <v>25</v>
      </c>
      <c r="L952" s="1" t="s">
        <v>25</v>
      </c>
      <c r="M952" s="1" t="s">
        <v>25</v>
      </c>
      <c r="N952" s="1" t="s">
        <v>26</v>
      </c>
      <c r="O952" s="1" t="s">
        <v>25</v>
      </c>
      <c r="P952" s="1" t="s">
        <v>26</v>
      </c>
      <c r="Q952" s="1" t="s">
        <v>25</v>
      </c>
      <c r="R952" s="1" t="s">
        <v>25</v>
      </c>
      <c r="S952" s="2">
        <v>0</v>
      </c>
    </row>
    <row r="953" spans="1:19" x14ac:dyDescent="0.3">
      <c r="A953" t="s">
        <v>1919</v>
      </c>
      <c r="B953" s="5" t="e" cm="1">
        <f t="array" ref="B953">MAX(#REF!,MIN(#REF!,#REF!+SUMPRODUCT(--(FoodData[[#This Row],[Healthy]:[Refined]]="Yes"),#REF!)+FoodData[[#This Row],[Adjust]]))</f>
        <v>#REF!</v>
      </c>
      <c r="C953" s="1" t="e">
        <f>LOOKUP(FoodData[[#This Row],[Score]],#REF!,#REF!)</f>
        <v>#REF!</v>
      </c>
      <c r="D953" t="s">
        <v>1916</v>
      </c>
      <c r="E953" t="s">
        <v>63</v>
      </c>
      <c r="F953" t="s">
        <v>22</v>
      </c>
      <c r="G953" t="s">
        <v>23</v>
      </c>
      <c r="H953" t="s">
        <v>1920</v>
      </c>
      <c r="I953" s="1" t="s">
        <v>25</v>
      </c>
      <c r="J953" s="1" t="s">
        <v>25</v>
      </c>
      <c r="K953" s="1" t="s">
        <v>25</v>
      </c>
      <c r="L953" s="1" t="s">
        <v>25</v>
      </c>
      <c r="M953" s="1" t="s">
        <v>25</v>
      </c>
      <c r="N953" s="1" t="s">
        <v>26</v>
      </c>
      <c r="O953" s="1" t="s">
        <v>26</v>
      </c>
      <c r="P953" s="1" t="s">
        <v>25</v>
      </c>
      <c r="Q953" s="1" t="s">
        <v>25</v>
      </c>
      <c r="R953" s="1" t="s">
        <v>26</v>
      </c>
      <c r="S953" s="2">
        <v>0</v>
      </c>
    </row>
    <row r="954" spans="1:19" x14ac:dyDescent="0.3">
      <c r="A954" t="s">
        <v>1921</v>
      </c>
      <c r="B954" s="5" t="e" cm="1">
        <f t="array" ref="B954">MAX(#REF!,MIN(#REF!,#REF!+SUMPRODUCT(--(FoodData[[#This Row],[Healthy]:[Refined]]="Yes"),#REF!)+FoodData[[#This Row],[Adjust]]))</f>
        <v>#REF!</v>
      </c>
      <c r="C954" s="1" t="e">
        <f>LOOKUP(FoodData[[#This Row],[Score]],#REF!,#REF!)</f>
        <v>#REF!</v>
      </c>
      <c r="D954" t="s">
        <v>1916</v>
      </c>
      <c r="E954" t="s">
        <v>63</v>
      </c>
      <c r="F954" t="s">
        <v>22</v>
      </c>
      <c r="G954" t="s">
        <v>29</v>
      </c>
      <c r="H954" t="s">
        <v>1922</v>
      </c>
      <c r="I954" s="1" t="s">
        <v>25</v>
      </c>
      <c r="J954" s="1" t="s">
        <v>25</v>
      </c>
      <c r="K954" s="1" t="s">
        <v>25</v>
      </c>
      <c r="L954" s="1" t="s">
        <v>25</v>
      </c>
      <c r="M954" s="1" t="s">
        <v>25</v>
      </c>
      <c r="N954" s="1" t="s">
        <v>26</v>
      </c>
      <c r="O954" s="1" t="s">
        <v>25</v>
      </c>
      <c r="P954" s="1" t="s">
        <v>26</v>
      </c>
      <c r="Q954" s="1" t="s">
        <v>25</v>
      </c>
      <c r="R954" s="1" t="s">
        <v>25</v>
      </c>
      <c r="S954" s="2">
        <v>0</v>
      </c>
    </row>
    <row r="955" spans="1:19" x14ac:dyDescent="0.3">
      <c r="A955" t="s">
        <v>1923</v>
      </c>
      <c r="B955" s="5" t="e" cm="1">
        <f t="array" ref="B955">MAX(#REF!,MIN(#REF!,#REF!+SUMPRODUCT(--(FoodData[[#This Row],[Healthy]:[Refined]]="Yes"),#REF!)+FoodData[[#This Row],[Adjust]]))</f>
        <v>#REF!</v>
      </c>
      <c r="C955" s="1" t="e">
        <f>LOOKUP(FoodData[[#This Row],[Score]],#REF!,#REF!)</f>
        <v>#REF!</v>
      </c>
      <c r="D955" t="s">
        <v>1916</v>
      </c>
      <c r="E955" t="s">
        <v>63</v>
      </c>
      <c r="F955" t="s">
        <v>22</v>
      </c>
      <c r="G955" t="s">
        <v>23</v>
      </c>
      <c r="H955" t="s">
        <v>1924</v>
      </c>
      <c r="I955" s="1" t="s">
        <v>25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25</v>
      </c>
      <c r="P955" s="1" t="s">
        <v>26</v>
      </c>
      <c r="Q955" s="1" t="s">
        <v>25</v>
      </c>
      <c r="R955" s="1" t="s">
        <v>25</v>
      </c>
      <c r="S955" s="2">
        <v>0</v>
      </c>
    </row>
    <row r="956" spans="1:19" x14ac:dyDescent="0.3">
      <c r="A956" t="s">
        <v>1925</v>
      </c>
      <c r="B956" s="5" t="e" cm="1">
        <f t="array" ref="B956">MAX(#REF!,MIN(#REF!,#REF!+SUMPRODUCT(--(FoodData[[#This Row],[Healthy]:[Refined]]="Yes"),#REF!)+FoodData[[#This Row],[Adjust]]))</f>
        <v>#REF!</v>
      </c>
      <c r="C956" s="1" t="e">
        <f>LOOKUP(FoodData[[#This Row],[Score]],#REF!,#REF!)</f>
        <v>#REF!</v>
      </c>
      <c r="D956" t="s">
        <v>1916</v>
      </c>
      <c r="E956" t="s">
        <v>63</v>
      </c>
      <c r="F956" t="s">
        <v>22</v>
      </c>
      <c r="G956" t="s">
        <v>489</v>
      </c>
      <c r="H956" t="s">
        <v>1926</v>
      </c>
      <c r="I956" s="1" t="s">
        <v>25</v>
      </c>
      <c r="J956" s="1" t="s">
        <v>25</v>
      </c>
      <c r="K956" s="1" t="s">
        <v>25</v>
      </c>
      <c r="L956" s="1" t="s">
        <v>25</v>
      </c>
      <c r="M956" s="1" t="s">
        <v>26</v>
      </c>
      <c r="N956" s="1" t="s">
        <v>26</v>
      </c>
      <c r="O956" s="1" t="s">
        <v>25</v>
      </c>
      <c r="P956" s="1" t="s">
        <v>25</v>
      </c>
      <c r="Q956" s="1" t="s">
        <v>26</v>
      </c>
      <c r="R956" s="1" t="s">
        <v>26</v>
      </c>
      <c r="S956" s="2">
        <v>0</v>
      </c>
    </row>
    <row r="957" spans="1:19" x14ac:dyDescent="0.3">
      <c r="A957" t="s">
        <v>1927</v>
      </c>
      <c r="B957" s="5" t="e" cm="1">
        <f t="array" ref="B957">MAX(#REF!,MIN(#REF!,#REF!+SUMPRODUCT(--(FoodData[[#This Row],[Healthy]:[Refined]]="Yes"),#REF!)+FoodData[[#This Row],[Adjust]]))</f>
        <v>#REF!</v>
      </c>
      <c r="C957" s="1" t="e">
        <f>LOOKUP(FoodData[[#This Row],[Score]],#REF!,#REF!)</f>
        <v>#REF!</v>
      </c>
      <c r="D957" t="s">
        <v>1916</v>
      </c>
      <c r="E957" t="s">
        <v>556</v>
      </c>
      <c r="F957" t="s">
        <v>22</v>
      </c>
      <c r="G957" t="s">
        <v>489</v>
      </c>
      <c r="H957" t="s">
        <v>1928</v>
      </c>
      <c r="I957" s="1" t="s">
        <v>25</v>
      </c>
      <c r="J957" s="1" t="s">
        <v>25</v>
      </c>
      <c r="K957" s="1" t="s">
        <v>25</v>
      </c>
      <c r="L957" s="1" t="s">
        <v>25</v>
      </c>
      <c r="M957" s="1" t="s">
        <v>26</v>
      </c>
      <c r="N957" s="1" t="s">
        <v>25</v>
      </c>
      <c r="O957" s="1" t="s">
        <v>26</v>
      </c>
      <c r="P957" s="1" t="s">
        <v>25</v>
      </c>
      <c r="Q957" s="1" t="s">
        <v>26</v>
      </c>
      <c r="R957" s="1" t="s">
        <v>26</v>
      </c>
      <c r="S957" s="2">
        <v>0</v>
      </c>
    </row>
    <row r="958" spans="1:19" x14ac:dyDescent="0.3">
      <c r="A958" t="s">
        <v>1929</v>
      </c>
      <c r="B958" s="5" t="e" cm="1">
        <f t="array" ref="B958">MAX(#REF!,MIN(#REF!,#REF!+SUMPRODUCT(--(FoodData[[#This Row],[Healthy]:[Refined]]="Yes"),#REF!)+FoodData[[#This Row],[Adjust]]))</f>
        <v>#REF!</v>
      </c>
      <c r="C958" s="1" t="e">
        <f>LOOKUP(FoodData[[#This Row],[Score]],#REF!,#REF!)</f>
        <v>#REF!</v>
      </c>
      <c r="D958" t="s">
        <v>1916</v>
      </c>
      <c r="E958" t="s">
        <v>556</v>
      </c>
      <c r="F958" t="s">
        <v>22</v>
      </c>
      <c r="G958" t="s">
        <v>489</v>
      </c>
      <c r="H958" t="s">
        <v>1930</v>
      </c>
      <c r="I958" s="1" t="s">
        <v>25</v>
      </c>
      <c r="J958" s="1" t="s">
        <v>25</v>
      </c>
      <c r="K958" s="1" t="s">
        <v>25</v>
      </c>
      <c r="L958" s="1" t="s">
        <v>25</v>
      </c>
      <c r="M958" s="1" t="s">
        <v>26</v>
      </c>
      <c r="N958" s="1" t="s">
        <v>25</v>
      </c>
      <c r="O958" s="1" t="s">
        <v>26</v>
      </c>
      <c r="P958" s="1" t="s">
        <v>25</v>
      </c>
      <c r="Q958" s="1" t="s">
        <v>25</v>
      </c>
      <c r="R958" s="1" t="s">
        <v>26</v>
      </c>
      <c r="S958" s="2">
        <v>0</v>
      </c>
    </row>
    <row r="959" spans="1:19" x14ac:dyDescent="0.3">
      <c r="A959" t="s">
        <v>1931</v>
      </c>
      <c r="B959" s="5" t="e" cm="1">
        <f t="array" ref="B959">MAX(#REF!,MIN(#REF!,#REF!+SUMPRODUCT(--(FoodData[[#This Row],[Healthy]:[Refined]]="Yes"),#REF!)+FoodData[[#This Row],[Adjust]]))</f>
        <v>#REF!</v>
      </c>
      <c r="C959" s="1" t="e">
        <f>LOOKUP(FoodData[[#This Row],[Score]],#REF!,#REF!)</f>
        <v>#REF!</v>
      </c>
      <c r="D959" t="s">
        <v>1916</v>
      </c>
      <c r="E959" t="s">
        <v>21</v>
      </c>
      <c r="F959" t="s">
        <v>22</v>
      </c>
      <c r="G959" t="s">
        <v>489</v>
      </c>
      <c r="H959" t="s">
        <v>1932</v>
      </c>
      <c r="I959" s="1" t="s">
        <v>25</v>
      </c>
      <c r="J959" s="1" t="s">
        <v>25</v>
      </c>
      <c r="K959" s="1" t="s">
        <v>25</v>
      </c>
      <c r="L959" s="1" t="s">
        <v>25</v>
      </c>
      <c r="M959" s="1" t="s">
        <v>26</v>
      </c>
      <c r="N959" s="1" t="s">
        <v>25</v>
      </c>
      <c r="O959" s="1" t="s">
        <v>25</v>
      </c>
      <c r="P959" s="1" t="s">
        <v>25</v>
      </c>
      <c r="Q959" s="1" t="s">
        <v>25</v>
      </c>
      <c r="R959" s="1" t="s">
        <v>26</v>
      </c>
      <c r="S959" s="2">
        <v>0</v>
      </c>
    </row>
    <row r="960" spans="1:19" x14ac:dyDescent="0.3">
      <c r="A960" t="s">
        <v>1933</v>
      </c>
      <c r="B960" s="5" t="e" cm="1">
        <f t="array" ref="B960">MAX(#REF!,MIN(#REF!,#REF!+SUMPRODUCT(--(FoodData[[#This Row],[Healthy]:[Refined]]="Yes"),#REF!)+FoodData[[#This Row],[Adjust]]))</f>
        <v>#REF!</v>
      </c>
      <c r="C960" s="1" t="e">
        <f>LOOKUP(FoodData[[#This Row],[Score]],#REF!,#REF!)</f>
        <v>#REF!</v>
      </c>
      <c r="D960" t="s">
        <v>1916</v>
      </c>
      <c r="E960" t="s">
        <v>21</v>
      </c>
      <c r="F960" t="s">
        <v>22</v>
      </c>
      <c r="G960" t="s">
        <v>29</v>
      </c>
      <c r="H960" t="s">
        <v>1934</v>
      </c>
      <c r="I960" s="1" t="s">
        <v>25</v>
      </c>
      <c r="J960" s="1" t="s">
        <v>25</v>
      </c>
      <c r="K960" s="1" t="s">
        <v>25</v>
      </c>
      <c r="L960" s="1" t="s">
        <v>26</v>
      </c>
      <c r="M960" s="1" t="s">
        <v>25</v>
      </c>
      <c r="N960" s="1" t="s">
        <v>25</v>
      </c>
      <c r="O960" s="1" t="s">
        <v>25</v>
      </c>
      <c r="P960" s="1" t="s">
        <v>25</v>
      </c>
      <c r="Q960" s="1" t="s">
        <v>25</v>
      </c>
      <c r="R960" s="1" t="s">
        <v>25</v>
      </c>
      <c r="S960" s="2">
        <v>0</v>
      </c>
    </row>
    <row r="961" spans="1:19" x14ac:dyDescent="0.3">
      <c r="A961" t="s">
        <v>1935</v>
      </c>
      <c r="B961" s="5" t="e" cm="1">
        <f t="array" ref="B961">MAX(#REF!,MIN(#REF!,#REF!+SUMPRODUCT(--(FoodData[[#This Row],[Healthy]:[Refined]]="Yes"),#REF!)+FoodData[[#This Row],[Adjust]]))</f>
        <v>#REF!</v>
      </c>
      <c r="C961" s="1" t="e">
        <f>LOOKUP(FoodData[[#This Row],[Score]],#REF!,#REF!)</f>
        <v>#REF!</v>
      </c>
      <c r="D961" t="s">
        <v>1916</v>
      </c>
      <c r="E961" t="s">
        <v>556</v>
      </c>
      <c r="F961" t="s">
        <v>22</v>
      </c>
      <c r="G961" t="s">
        <v>489</v>
      </c>
      <c r="H961" t="s">
        <v>1936</v>
      </c>
      <c r="I961" s="1" t="s">
        <v>25</v>
      </c>
      <c r="J961" s="1" t="s">
        <v>25</v>
      </c>
      <c r="K961" s="1" t="s">
        <v>25</v>
      </c>
      <c r="L961" s="1" t="s">
        <v>25</v>
      </c>
      <c r="M961" s="1" t="s">
        <v>26</v>
      </c>
      <c r="N961" s="1" t="s">
        <v>25</v>
      </c>
      <c r="O961" s="1" t="s">
        <v>26</v>
      </c>
      <c r="P961" s="1" t="s">
        <v>25</v>
      </c>
      <c r="Q961" s="1" t="s">
        <v>26</v>
      </c>
      <c r="R961" s="1" t="s">
        <v>26</v>
      </c>
      <c r="S961" s="2">
        <v>0</v>
      </c>
    </row>
    <row r="962" spans="1:19" x14ac:dyDescent="0.3">
      <c r="A962" t="s">
        <v>1937</v>
      </c>
      <c r="B962" s="5" t="e" cm="1">
        <f t="array" ref="B962">MAX(#REF!,MIN(#REF!,#REF!+SUMPRODUCT(--(FoodData[[#This Row],[Healthy]:[Refined]]="Yes"),#REF!)+FoodData[[#This Row],[Adjust]]))</f>
        <v>#REF!</v>
      </c>
      <c r="C962" s="1" t="e">
        <f>LOOKUP(FoodData[[#This Row],[Score]],#REF!,#REF!)</f>
        <v>#REF!</v>
      </c>
      <c r="D962" t="s">
        <v>1916</v>
      </c>
      <c r="E962" t="s">
        <v>63</v>
      </c>
      <c r="F962" t="s">
        <v>22</v>
      </c>
      <c r="G962" t="s">
        <v>29</v>
      </c>
      <c r="H962" t="s">
        <v>1938</v>
      </c>
      <c r="I962" s="1" t="s">
        <v>25</v>
      </c>
      <c r="J962" s="1" t="s">
        <v>25</v>
      </c>
      <c r="K962" s="1" t="s">
        <v>25</v>
      </c>
      <c r="L962" s="1" t="s">
        <v>25</v>
      </c>
      <c r="M962" s="1" t="s">
        <v>25</v>
      </c>
      <c r="N962" s="1" t="s">
        <v>25</v>
      </c>
      <c r="O962" s="1" t="s">
        <v>26</v>
      </c>
      <c r="P962" s="1" t="s">
        <v>25</v>
      </c>
      <c r="Q962" s="1" t="s">
        <v>25</v>
      </c>
      <c r="R962" s="1" t="s">
        <v>25</v>
      </c>
      <c r="S962" s="2">
        <v>0</v>
      </c>
    </row>
    <row r="963" spans="1:19" x14ac:dyDescent="0.3">
      <c r="A963" t="s">
        <v>1939</v>
      </c>
      <c r="B963" s="5" t="e" cm="1">
        <f t="array" ref="B963">MAX(#REF!,MIN(#REF!,#REF!+SUMPRODUCT(--(FoodData[[#This Row],[Healthy]:[Refined]]="Yes"),#REF!)+FoodData[[#This Row],[Adjust]]))</f>
        <v>#REF!</v>
      </c>
      <c r="C963" s="1" t="e">
        <f>LOOKUP(FoodData[[#This Row],[Score]],#REF!,#REF!)</f>
        <v>#REF!</v>
      </c>
      <c r="D963" t="s">
        <v>1916</v>
      </c>
      <c r="E963" t="s">
        <v>63</v>
      </c>
      <c r="F963" t="s">
        <v>22</v>
      </c>
      <c r="G963" t="s">
        <v>489</v>
      </c>
      <c r="H963" t="s">
        <v>1940</v>
      </c>
      <c r="I963" s="1" t="s">
        <v>25</v>
      </c>
      <c r="J963" s="1" t="s">
        <v>25</v>
      </c>
      <c r="K963" s="1" t="s">
        <v>25</v>
      </c>
      <c r="L963" s="1" t="s">
        <v>25</v>
      </c>
      <c r="M963" s="1" t="s">
        <v>26</v>
      </c>
      <c r="N963" s="1" t="s">
        <v>25</v>
      </c>
      <c r="O963" s="1" t="s">
        <v>26</v>
      </c>
      <c r="P963" s="1" t="s">
        <v>25</v>
      </c>
      <c r="Q963" s="1" t="s">
        <v>25</v>
      </c>
      <c r="R963" s="1" t="s">
        <v>26</v>
      </c>
      <c r="S963" s="2">
        <v>0</v>
      </c>
    </row>
    <row r="964" spans="1:19" x14ac:dyDescent="0.3">
      <c r="A964" t="s">
        <v>1941</v>
      </c>
      <c r="B964" s="5" t="e" cm="1">
        <f t="array" ref="B964">MAX(#REF!,MIN(#REF!,#REF!+SUMPRODUCT(--(FoodData[[#This Row],[Healthy]:[Refined]]="Yes"),#REF!)+FoodData[[#This Row],[Adjust]]))</f>
        <v>#REF!</v>
      </c>
      <c r="C964" s="1" t="e">
        <f>LOOKUP(FoodData[[#This Row],[Score]],#REF!,#REF!)</f>
        <v>#REF!</v>
      </c>
      <c r="D964" t="s">
        <v>1916</v>
      </c>
      <c r="E964" t="s">
        <v>556</v>
      </c>
      <c r="F964" t="s">
        <v>22</v>
      </c>
      <c r="G964" t="s">
        <v>489</v>
      </c>
      <c r="H964" t="s">
        <v>1942</v>
      </c>
      <c r="I964" s="1" t="s">
        <v>25</v>
      </c>
      <c r="J964" s="1" t="s">
        <v>25</v>
      </c>
      <c r="K964" s="1" t="s">
        <v>25</v>
      </c>
      <c r="L964" s="1" t="s">
        <v>25</v>
      </c>
      <c r="M964" s="1" t="s">
        <v>26</v>
      </c>
      <c r="N964" s="1" t="s">
        <v>25</v>
      </c>
      <c r="O964" s="1" t="s">
        <v>25</v>
      </c>
      <c r="P964" s="1" t="s">
        <v>25</v>
      </c>
      <c r="Q964" s="1" t="s">
        <v>26</v>
      </c>
      <c r="R964" s="1" t="s">
        <v>25</v>
      </c>
      <c r="S964" s="2">
        <v>0</v>
      </c>
    </row>
    <row r="965" spans="1:19" x14ac:dyDescent="0.3">
      <c r="A965" t="s">
        <v>1943</v>
      </c>
      <c r="B965" s="5" t="e" cm="1">
        <f t="array" ref="B965">MAX(#REF!,MIN(#REF!,#REF!+SUMPRODUCT(--(FoodData[[#This Row],[Healthy]:[Refined]]="Yes"),#REF!)+FoodData[[#This Row],[Adjust]]))</f>
        <v>#REF!</v>
      </c>
      <c r="C965" s="1" t="e">
        <f>LOOKUP(FoodData[[#This Row],[Score]],#REF!,#REF!)</f>
        <v>#REF!</v>
      </c>
      <c r="D965" t="s">
        <v>1916</v>
      </c>
      <c r="E965" t="s">
        <v>63</v>
      </c>
      <c r="F965" t="s">
        <v>22</v>
      </c>
      <c r="G965" t="s">
        <v>23</v>
      </c>
      <c r="H965" t="s">
        <v>1944</v>
      </c>
      <c r="I965" s="1" t="s">
        <v>25</v>
      </c>
      <c r="J965" s="1" t="s">
        <v>25</v>
      </c>
      <c r="K965" s="1" t="s">
        <v>25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26</v>
      </c>
      <c r="Q965" s="1" t="s">
        <v>25</v>
      </c>
      <c r="R965" s="1" t="s">
        <v>25</v>
      </c>
      <c r="S965" s="2">
        <v>0</v>
      </c>
    </row>
    <row r="966" spans="1:19" x14ac:dyDescent="0.3">
      <c r="A966" t="s">
        <v>1945</v>
      </c>
      <c r="B966" s="5" t="e" cm="1">
        <f t="array" ref="B966">MAX(#REF!,MIN(#REF!,#REF!+SUMPRODUCT(--(FoodData[[#This Row],[Healthy]:[Refined]]="Yes"),#REF!)+FoodData[[#This Row],[Adjust]]))</f>
        <v>#REF!</v>
      </c>
      <c r="C966" s="1" t="e">
        <f>LOOKUP(FoodData[[#This Row],[Score]],#REF!,#REF!)</f>
        <v>#REF!</v>
      </c>
      <c r="D966" t="s">
        <v>1916</v>
      </c>
      <c r="E966" t="s">
        <v>63</v>
      </c>
      <c r="F966" t="s">
        <v>22</v>
      </c>
      <c r="G966" t="s">
        <v>23</v>
      </c>
      <c r="H966" t="s">
        <v>1946</v>
      </c>
      <c r="I966" s="1" t="s">
        <v>25</v>
      </c>
      <c r="J966" s="1" t="s">
        <v>25</v>
      </c>
      <c r="K966" s="1" t="s">
        <v>25</v>
      </c>
      <c r="L966" s="1" t="s">
        <v>25</v>
      </c>
      <c r="M966" s="1" t="s">
        <v>25</v>
      </c>
      <c r="N966" s="1" t="s">
        <v>25</v>
      </c>
      <c r="O966" s="1" t="s">
        <v>26</v>
      </c>
      <c r="P966" s="1" t="s">
        <v>25</v>
      </c>
      <c r="Q966" s="1" t="s">
        <v>26</v>
      </c>
      <c r="R966" s="1" t="s">
        <v>26</v>
      </c>
      <c r="S966" s="2">
        <v>0</v>
      </c>
    </row>
    <row r="967" spans="1:19" x14ac:dyDescent="0.3">
      <c r="A967" t="s">
        <v>1947</v>
      </c>
      <c r="B967" s="5" t="e" cm="1">
        <f t="array" ref="B967">MAX(#REF!,MIN(#REF!,#REF!+SUMPRODUCT(--(FoodData[[#This Row],[Healthy]:[Refined]]="Yes"),#REF!)+FoodData[[#This Row],[Adjust]]))</f>
        <v>#REF!</v>
      </c>
      <c r="C967" s="1" t="e">
        <f>LOOKUP(FoodData[[#This Row],[Score]],#REF!,#REF!)</f>
        <v>#REF!</v>
      </c>
      <c r="D967" t="s">
        <v>1916</v>
      </c>
      <c r="E967" t="s">
        <v>63</v>
      </c>
      <c r="F967" t="s">
        <v>22</v>
      </c>
      <c r="G967" t="s">
        <v>29</v>
      </c>
      <c r="H967" t="s">
        <v>1948</v>
      </c>
      <c r="I967" s="1" t="s">
        <v>25</v>
      </c>
      <c r="J967" s="1" t="s">
        <v>25</v>
      </c>
      <c r="K967" s="1" t="s">
        <v>25</v>
      </c>
      <c r="L967" s="1" t="s">
        <v>25</v>
      </c>
      <c r="M967" s="1" t="s">
        <v>25</v>
      </c>
      <c r="N967" s="1" t="s">
        <v>25</v>
      </c>
      <c r="O967" s="1" t="s">
        <v>26</v>
      </c>
      <c r="P967" s="1" t="s">
        <v>25</v>
      </c>
      <c r="Q967" s="1" t="s">
        <v>26</v>
      </c>
      <c r="R967" s="1" t="s">
        <v>25</v>
      </c>
      <c r="S967" s="2">
        <v>0</v>
      </c>
    </row>
    <row r="968" spans="1:19" x14ac:dyDescent="0.3">
      <c r="A968" t="s">
        <v>1949</v>
      </c>
      <c r="B968" s="5" t="e" cm="1">
        <f t="array" ref="B968">MAX(#REF!,MIN(#REF!,#REF!+SUMPRODUCT(--(FoodData[[#This Row],[Healthy]:[Refined]]="Yes"),#REF!)+FoodData[[#This Row],[Adjust]]))</f>
        <v>#REF!</v>
      </c>
      <c r="C968" s="1" t="e">
        <f>LOOKUP(FoodData[[#This Row],[Score]],#REF!,#REF!)</f>
        <v>#REF!</v>
      </c>
      <c r="D968" t="s">
        <v>1916</v>
      </c>
      <c r="E968" t="s">
        <v>556</v>
      </c>
      <c r="F968" t="s">
        <v>22</v>
      </c>
      <c r="G968" t="s">
        <v>489</v>
      </c>
      <c r="H968" t="s">
        <v>1950</v>
      </c>
      <c r="I968" s="1" t="s">
        <v>25</v>
      </c>
      <c r="J968" s="1" t="s">
        <v>25</v>
      </c>
      <c r="K968" s="1" t="s">
        <v>25</v>
      </c>
      <c r="L968" s="1" t="s">
        <v>25</v>
      </c>
      <c r="M968" s="1" t="s">
        <v>26</v>
      </c>
      <c r="N968" s="1" t="s">
        <v>25</v>
      </c>
      <c r="O968" s="1" t="s">
        <v>26</v>
      </c>
      <c r="P968" s="1" t="s">
        <v>25</v>
      </c>
      <c r="Q968" s="1" t="s">
        <v>26</v>
      </c>
      <c r="R968" s="1" t="s">
        <v>25</v>
      </c>
      <c r="S968" s="2">
        <v>0</v>
      </c>
    </row>
    <row r="969" spans="1:19" x14ac:dyDescent="0.3">
      <c r="A969" t="s">
        <v>1951</v>
      </c>
      <c r="B969" s="5" t="e" cm="1">
        <f t="array" ref="B969">MAX(#REF!,MIN(#REF!,#REF!+SUMPRODUCT(--(FoodData[[#This Row],[Healthy]:[Refined]]="Yes"),#REF!)+FoodData[[#This Row],[Adjust]]))</f>
        <v>#REF!</v>
      </c>
      <c r="C969" s="1" t="e">
        <f>LOOKUP(FoodData[[#This Row],[Score]],#REF!,#REF!)</f>
        <v>#REF!</v>
      </c>
      <c r="D969" t="s">
        <v>1916</v>
      </c>
      <c r="E969" t="s">
        <v>63</v>
      </c>
      <c r="F969" t="s">
        <v>22</v>
      </c>
      <c r="G969" t="s">
        <v>489</v>
      </c>
      <c r="H969" t="s">
        <v>1952</v>
      </c>
      <c r="I969" s="1" t="s">
        <v>25</v>
      </c>
      <c r="J969" s="1" t="s">
        <v>25</v>
      </c>
      <c r="K969" s="1" t="s">
        <v>25</v>
      </c>
      <c r="L969" s="1" t="s">
        <v>25</v>
      </c>
      <c r="M969" s="1" t="s">
        <v>26</v>
      </c>
      <c r="N969" s="1" t="s">
        <v>25</v>
      </c>
      <c r="O969" s="1" t="s">
        <v>25</v>
      </c>
      <c r="P969" s="1" t="s">
        <v>25</v>
      </c>
      <c r="Q969" s="1" t="s">
        <v>26</v>
      </c>
      <c r="R969" s="1" t="s">
        <v>25</v>
      </c>
      <c r="S969" s="2">
        <v>0</v>
      </c>
    </row>
    <row r="970" spans="1:19" x14ac:dyDescent="0.3">
      <c r="A970" t="s">
        <v>1953</v>
      </c>
      <c r="B970" s="5" t="e" cm="1">
        <f t="array" ref="B970">MAX(#REF!,MIN(#REF!,#REF!+SUMPRODUCT(--(FoodData[[#This Row],[Healthy]:[Refined]]="Yes"),#REF!)+FoodData[[#This Row],[Adjust]]))</f>
        <v>#REF!</v>
      </c>
      <c r="C970" s="1" t="e">
        <f>LOOKUP(FoodData[[#This Row],[Score]],#REF!,#REF!)</f>
        <v>#REF!</v>
      </c>
      <c r="D970" t="s">
        <v>1916</v>
      </c>
      <c r="E970" t="s">
        <v>63</v>
      </c>
      <c r="F970" t="s">
        <v>60</v>
      </c>
      <c r="G970" t="s">
        <v>23</v>
      </c>
      <c r="H970" t="s">
        <v>1954</v>
      </c>
      <c r="I970" s="1" t="s">
        <v>25</v>
      </c>
      <c r="J970" s="1" t="s">
        <v>25</v>
      </c>
      <c r="K970" s="1" t="s">
        <v>26</v>
      </c>
      <c r="L970" s="1" t="s">
        <v>25</v>
      </c>
      <c r="M970" s="1" t="s">
        <v>25</v>
      </c>
      <c r="N970" s="1" t="s">
        <v>26</v>
      </c>
      <c r="O970" s="1" t="s">
        <v>25</v>
      </c>
      <c r="P970" s="1" t="s">
        <v>26</v>
      </c>
      <c r="Q970" s="1" t="s">
        <v>26</v>
      </c>
      <c r="R970" s="1" t="s">
        <v>26</v>
      </c>
      <c r="S970" s="2">
        <v>0</v>
      </c>
    </row>
    <row r="971" spans="1:19" x14ac:dyDescent="0.3">
      <c r="A971" t="s">
        <v>1955</v>
      </c>
      <c r="B971" s="5" t="e" cm="1">
        <f t="array" ref="B971">MAX(#REF!,MIN(#REF!,#REF!+SUMPRODUCT(--(FoodData[[#This Row],[Healthy]:[Refined]]="Yes"),#REF!)+FoodData[[#This Row],[Adjust]]))</f>
        <v>#REF!</v>
      </c>
      <c r="C971" s="1" t="e">
        <f>LOOKUP(FoodData[[#This Row],[Score]],#REF!,#REF!)</f>
        <v>#REF!</v>
      </c>
      <c r="D971" t="s">
        <v>1916</v>
      </c>
      <c r="E971" t="s">
        <v>63</v>
      </c>
      <c r="F971" t="s">
        <v>60</v>
      </c>
      <c r="G971" t="s">
        <v>23</v>
      </c>
      <c r="H971" t="s">
        <v>1956</v>
      </c>
      <c r="I971" s="1" t="s">
        <v>25</v>
      </c>
      <c r="J971" s="1" t="s">
        <v>25</v>
      </c>
      <c r="K971" s="1" t="s">
        <v>26</v>
      </c>
      <c r="L971" s="1" t="s">
        <v>25</v>
      </c>
      <c r="M971" s="1" t="s">
        <v>25</v>
      </c>
      <c r="N971" s="1" t="s">
        <v>26</v>
      </c>
      <c r="O971" s="1" t="s">
        <v>26</v>
      </c>
      <c r="P971" s="1" t="s">
        <v>25</v>
      </c>
      <c r="Q971" s="1" t="s">
        <v>25</v>
      </c>
      <c r="R971" s="1" t="s">
        <v>26</v>
      </c>
      <c r="S971" s="2">
        <v>0</v>
      </c>
    </row>
    <row r="972" spans="1:19" x14ac:dyDescent="0.3">
      <c r="A972" t="s">
        <v>1957</v>
      </c>
      <c r="B972" s="5" t="e" cm="1">
        <f t="array" ref="B972">MAX(#REF!,MIN(#REF!,#REF!+SUMPRODUCT(--(FoodData[[#This Row],[Healthy]:[Refined]]="Yes"),#REF!)+FoodData[[#This Row],[Adjust]]))</f>
        <v>#REF!</v>
      </c>
      <c r="C972" s="1" t="e">
        <f>LOOKUP(FoodData[[#This Row],[Score]],#REF!,#REF!)</f>
        <v>#REF!</v>
      </c>
      <c r="D972" t="s">
        <v>1916</v>
      </c>
      <c r="E972" t="s">
        <v>556</v>
      </c>
      <c r="F972" t="s">
        <v>22</v>
      </c>
      <c r="G972" t="s">
        <v>489</v>
      </c>
      <c r="H972" t="s">
        <v>1958</v>
      </c>
      <c r="I972" s="1" t="s">
        <v>25</v>
      </c>
      <c r="J972" s="1" t="s">
        <v>25</v>
      </c>
      <c r="K972" s="1" t="s">
        <v>25</v>
      </c>
      <c r="L972" s="1" t="s">
        <v>25</v>
      </c>
      <c r="M972" s="1" t="s">
        <v>26</v>
      </c>
      <c r="N972" s="1" t="s">
        <v>25</v>
      </c>
      <c r="O972" s="1" t="s">
        <v>25</v>
      </c>
      <c r="P972" s="1" t="s">
        <v>26</v>
      </c>
      <c r="Q972" s="1" t="s">
        <v>26</v>
      </c>
      <c r="R972" s="1" t="s">
        <v>26</v>
      </c>
      <c r="S972" s="2">
        <v>0</v>
      </c>
    </row>
    <row r="973" spans="1:19" x14ac:dyDescent="0.3">
      <c r="A973" t="s">
        <v>1959</v>
      </c>
      <c r="B973" s="5" t="e" cm="1">
        <f t="array" ref="B973">MAX(#REF!,MIN(#REF!,#REF!+SUMPRODUCT(--(FoodData[[#This Row],[Healthy]:[Refined]]="Yes"),#REF!)+FoodData[[#This Row],[Adjust]]))</f>
        <v>#REF!</v>
      </c>
      <c r="C973" s="1" t="e">
        <f>LOOKUP(FoodData[[#This Row],[Score]],#REF!,#REF!)</f>
        <v>#REF!</v>
      </c>
      <c r="D973" t="s">
        <v>1916</v>
      </c>
      <c r="E973" t="s">
        <v>556</v>
      </c>
      <c r="F973" t="s">
        <v>22</v>
      </c>
      <c r="G973" t="s">
        <v>489</v>
      </c>
      <c r="H973" t="s">
        <v>1960</v>
      </c>
      <c r="I973" s="1" t="s">
        <v>25</v>
      </c>
      <c r="J973" s="1" t="s">
        <v>25</v>
      </c>
      <c r="K973" s="1" t="s">
        <v>25</v>
      </c>
      <c r="L973" s="1" t="s">
        <v>25</v>
      </c>
      <c r="M973" s="1" t="s">
        <v>26</v>
      </c>
      <c r="N973" s="1" t="s">
        <v>25</v>
      </c>
      <c r="O973" s="1" t="s">
        <v>26</v>
      </c>
      <c r="P973" s="1" t="s">
        <v>25</v>
      </c>
      <c r="Q973" s="1" t="s">
        <v>26</v>
      </c>
      <c r="R973" s="1" t="s">
        <v>26</v>
      </c>
      <c r="S973" s="2">
        <v>0</v>
      </c>
    </row>
    <row r="974" spans="1:19" x14ac:dyDescent="0.3">
      <c r="A974" t="s">
        <v>1961</v>
      </c>
      <c r="B974" s="5" t="e" cm="1">
        <f t="array" ref="B974">MAX(#REF!,MIN(#REF!,#REF!+SUMPRODUCT(--(FoodData[[#This Row],[Healthy]:[Refined]]="Yes"),#REF!)+FoodData[[#This Row],[Adjust]]))</f>
        <v>#REF!</v>
      </c>
      <c r="C974" s="1" t="e">
        <f>LOOKUP(FoodData[[#This Row],[Score]],#REF!,#REF!)</f>
        <v>#REF!</v>
      </c>
      <c r="D974" t="s">
        <v>1916</v>
      </c>
      <c r="E974" t="s">
        <v>63</v>
      </c>
      <c r="F974" t="s">
        <v>22</v>
      </c>
      <c r="G974" t="s">
        <v>489</v>
      </c>
      <c r="H974" t="s">
        <v>1962</v>
      </c>
      <c r="I974" s="1" t="s">
        <v>25</v>
      </c>
      <c r="J974" s="1" t="s">
        <v>25</v>
      </c>
      <c r="K974" s="1" t="s">
        <v>26</v>
      </c>
      <c r="L974" s="1" t="s">
        <v>25</v>
      </c>
      <c r="M974" s="1" t="s">
        <v>26</v>
      </c>
      <c r="N974" s="1" t="s">
        <v>25</v>
      </c>
      <c r="O974" s="1" t="s">
        <v>25</v>
      </c>
      <c r="P974" s="1" t="s">
        <v>25</v>
      </c>
      <c r="Q974" s="1" t="s">
        <v>25</v>
      </c>
      <c r="R974" s="1" t="s">
        <v>25</v>
      </c>
      <c r="S974" s="2">
        <v>0</v>
      </c>
    </row>
    <row r="975" spans="1:19" x14ac:dyDescent="0.3">
      <c r="A975" t="s">
        <v>1963</v>
      </c>
      <c r="B975" s="5" t="e" cm="1">
        <f t="array" ref="B975">MAX(#REF!,MIN(#REF!,#REF!+SUMPRODUCT(--(FoodData[[#This Row],[Healthy]:[Refined]]="Yes"),#REF!)+FoodData[[#This Row],[Adjust]]))</f>
        <v>#REF!</v>
      </c>
      <c r="C975" s="1" t="e">
        <f>LOOKUP(FoodData[[#This Row],[Score]],#REF!,#REF!)</f>
        <v>#REF!</v>
      </c>
      <c r="D975" t="s">
        <v>1916</v>
      </c>
      <c r="E975" t="s">
        <v>556</v>
      </c>
      <c r="F975" t="s">
        <v>22</v>
      </c>
      <c r="G975" t="s">
        <v>489</v>
      </c>
      <c r="H975" t="s">
        <v>1964</v>
      </c>
      <c r="I975" s="1" t="s">
        <v>25</v>
      </c>
      <c r="J975" s="1" t="s">
        <v>25</v>
      </c>
      <c r="K975" s="1" t="s">
        <v>25</v>
      </c>
      <c r="L975" s="1" t="s">
        <v>25</v>
      </c>
      <c r="M975" s="1" t="s">
        <v>26</v>
      </c>
      <c r="N975" s="1" t="s">
        <v>26</v>
      </c>
      <c r="O975" s="1" t="s">
        <v>25</v>
      </c>
      <c r="P975" s="1" t="s">
        <v>25</v>
      </c>
      <c r="Q975" s="1" t="s">
        <v>26</v>
      </c>
      <c r="R975" s="1" t="s">
        <v>25</v>
      </c>
      <c r="S975" s="2">
        <v>0</v>
      </c>
    </row>
    <row r="976" spans="1:19" x14ac:dyDescent="0.3">
      <c r="A976" t="s">
        <v>1965</v>
      </c>
      <c r="B976" s="5" t="e" cm="1">
        <f t="array" ref="B976">MAX(#REF!,MIN(#REF!,#REF!+SUMPRODUCT(--(FoodData[[#This Row],[Healthy]:[Refined]]="Yes"),#REF!)+FoodData[[#This Row],[Adjust]]))</f>
        <v>#REF!</v>
      </c>
      <c r="C976" s="1" t="e">
        <f>LOOKUP(FoodData[[#This Row],[Score]],#REF!,#REF!)</f>
        <v>#REF!</v>
      </c>
      <c r="D976" t="s">
        <v>1916</v>
      </c>
      <c r="E976" t="s">
        <v>21</v>
      </c>
      <c r="F976" t="s">
        <v>22</v>
      </c>
      <c r="G976" t="s">
        <v>489</v>
      </c>
      <c r="H976" t="s">
        <v>1966</v>
      </c>
      <c r="I976" s="1" t="s">
        <v>25</v>
      </c>
      <c r="J976" s="1" t="s">
        <v>25</v>
      </c>
      <c r="K976" s="1" t="s">
        <v>25</v>
      </c>
      <c r="L976" s="1" t="s">
        <v>25</v>
      </c>
      <c r="M976" s="1" t="s">
        <v>26</v>
      </c>
      <c r="N976" s="1" t="s">
        <v>25</v>
      </c>
      <c r="O976" s="1" t="s">
        <v>25</v>
      </c>
      <c r="P976" s="1" t="s">
        <v>25</v>
      </c>
      <c r="Q976" s="1" t="s">
        <v>26</v>
      </c>
      <c r="R976" s="1" t="s">
        <v>26</v>
      </c>
      <c r="S976" s="2">
        <v>0</v>
      </c>
    </row>
    <row r="977" spans="1:19" x14ac:dyDescent="0.3">
      <c r="A977" t="s">
        <v>1967</v>
      </c>
      <c r="B977" s="5" t="e" cm="1">
        <f t="array" ref="B977">MAX(#REF!,MIN(#REF!,#REF!+SUMPRODUCT(--(FoodData[[#This Row],[Healthy]:[Refined]]="Yes"),#REF!)+FoodData[[#This Row],[Adjust]]))</f>
        <v>#REF!</v>
      </c>
      <c r="C977" s="1" t="e">
        <f>LOOKUP(FoodData[[#This Row],[Score]],#REF!,#REF!)</f>
        <v>#REF!</v>
      </c>
      <c r="D977" t="s">
        <v>1916</v>
      </c>
      <c r="E977" t="s">
        <v>63</v>
      </c>
      <c r="F977" t="s">
        <v>22</v>
      </c>
      <c r="G977" t="s">
        <v>489</v>
      </c>
      <c r="H977" t="s">
        <v>1968</v>
      </c>
      <c r="I977" s="1" t="s">
        <v>25</v>
      </c>
      <c r="J977" s="1" t="s">
        <v>25</v>
      </c>
      <c r="K977" s="1" t="s">
        <v>25</v>
      </c>
      <c r="L977" s="1" t="s">
        <v>25</v>
      </c>
      <c r="M977" s="1" t="s">
        <v>26</v>
      </c>
      <c r="N977" s="1" t="s">
        <v>25</v>
      </c>
      <c r="O977" s="1" t="s">
        <v>26</v>
      </c>
      <c r="P977" s="1" t="s">
        <v>25</v>
      </c>
      <c r="Q977" s="1" t="s">
        <v>25</v>
      </c>
      <c r="R977" s="1" t="s">
        <v>26</v>
      </c>
      <c r="S977" s="2">
        <v>0</v>
      </c>
    </row>
    <row r="978" spans="1:19" x14ac:dyDescent="0.3">
      <c r="A978" t="s">
        <v>1969</v>
      </c>
      <c r="B978" s="5" t="e" cm="1">
        <f t="array" ref="B978">MAX(#REF!,MIN(#REF!,#REF!+SUMPRODUCT(--(FoodData[[#This Row],[Healthy]:[Refined]]="Yes"),#REF!)+FoodData[[#This Row],[Adjust]]))</f>
        <v>#REF!</v>
      </c>
      <c r="C978" s="1" t="e">
        <f>LOOKUP(FoodData[[#This Row],[Score]],#REF!,#REF!)</f>
        <v>#REF!</v>
      </c>
      <c r="D978" t="s">
        <v>1916</v>
      </c>
      <c r="E978" t="s">
        <v>21</v>
      </c>
      <c r="F978" t="s">
        <v>22</v>
      </c>
      <c r="G978" t="s">
        <v>489</v>
      </c>
      <c r="H978" t="s">
        <v>1970</v>
      </c>
      <c r="I978" s="1" t="s">
        <v>25</v>
      </c>
      <c r="J978" s="1" t="s">
        <v>25</v>
      </c>
      <c r="K978" s="1" t="s">
        <v>25</v>
      </c>
      <c r="L978" s="1" t="s">
        <v>25</v>
      </c>
      <c r="M978" s="1" t="s">
        <v>26</v>
      </c>
      <c r="N978" s="1" t="s">
        <v>25</v>
      </c>
      <c r="O978" s="1" t="s">
        <v>25</v>
      </c>
      <c r="P978" s="1" t="s">
        <v>25</v>
      </c>
      <c r="Q978" s="1" t="s">
        <v>25</v>
      </c>
      <c r="R978" s="1" t="s">
        <v>26</v>
      </c>
      <c r="S978" s="2">
        <v>0</v>
      </c>
    </row>
    <row r="979" spans="1:19" x14ac:dyDescent="0.3">
      <c r="A979" t="s">
        <v>1971</v>
      </c>
      <c r="B979" s="5" t="e" cm="1">
        <f t="array" ref="B979">MAX(#REF!,MIN(#REF!,#REF!+SUMPRODUCT(--(FoodData[[#This Row],[Healthy]:[Refined]]="Yes"),#REF!)+FoodData[[#This Row],[Adjust]]))</f>
        <v>#REF!</v>
      </c>
      <c r="C979" s="1" t="e">
        <f>LOOKUP(FoodData[[#This Row],[Score]],#REF!,#REF!)</f>
        <v>#REF!</v>
      </c>
      <c r="D979" t="s">
        <v>1916</v>
      </c>
      <c r="E979" t="s">
        <v>21</v>
      </c>
      <c r="F979" t="s">
        <v>22</v>
      </c>
      <c r="G979" t="s">
        <v>489</v>
      </c>
      <c r="H979" t="s">
        <v>1972</v>
      </c>
      <c r="I979" s="1" t="s">
        <v>25</v>
      </c>
      <c r="J979" s="1" t="s">
        <v>25</v>
      </c>
      <c r="K979" s="1" t="s">
        <v>26</v>
      </c>
      <c r="L979" s="1" t="s">
        <v>26</v>
      </c>
      <c r="M979" s="1" t="s">
        <v>26</v>
      </c>
      <c r="N979" s="1" t="s">
        <v>25</v>
      </c>
      <c r="O979" s="1" t="s">
        <v>25</v>
      </c>
      <c r="P979" s="1" t="s">
        <v>25</v>
      </c>
      <c r="Q979" s="1" t="s">
        <v>25</v>
      </c>
      <c r="R979" s="1" t="s">
        <v>25</v>
      </c>
      <c r="S979" s="2">
        <v>0</v>
      </c>
    </row>
    <row r="980" spans="1:19" x14ac:dyDescent="0.3">
      <c r="A980" t="s">
        <v>1973</v>
      </c>
      <c r="B980" s="5" t="e" cm="1">
        <f t="array" ref="B980">MAX(#REF!,MIN(#REF!,#REF!+SUMPRODUCT(--(FoodData[[#This Row],[Healthy]:[Refined]]="Yes"),#REF!)+FoodData[[#This Row],[Adjust]]))</f>
        <v>#REF!</v>
      </c>
      <c r="C980" s="1" t="e">
        <f>LOOKUP(FoodData[[#This Row],[Score]],#REF!,#REF!)</f>
        <v>#REF!</v>
      </c>
      <c r="D980" t="s">
        <v>1916</v>
      </c>
      <c r="E980" t="s">
        <v>63</v>
      </c>
      <c r="F980" t="s">
        <v>22</v>
      </c>
      <c r="G980" t="s">
        <v>489</v>
      </c>
      <c r="H980" t="s">
        <v>1974</v>
      </c>
      <c r="I980" s="1" t="s">
        <v>25</v>
      </c>
      <c r="J980" s="1" t="s">
        <v>25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25</v>
      </c>
      <c r="Q980" s="1" t="s">
        <v>26</v>
      </c>
      <c r="R980" s="1" t="s">
        <v>26</v>
      </c>
      <c r="S980" s="2">
        <v>0</v>
      </c>
    </row>
    <row r="981" spans="1:19" x14ac:dyDescent="0.3">
      <c r="A981" t="s">
        <v>1975</v>
      </c>
      <c r="B981" s="5" t="e" cm="1">
        <f t="array" ref="B981">MAX(#REF!,MIN(#REF!,#REF!+SUMPRODUCT(--(FoodData[[#This Row],[Healthy]:[Refined]]="Yes"),#REF!)+FoodData[[#This Row],[Adjust]]))</f>
        <v>#REF!</v>
      </c>
      <c r="C981" s="1" t="e">
        <f>LOOKUP(FoodData[[#This Row],[Score]],#REF!,#REF!)</f>
        <v>#REF!</v>
      </c>
      <c r="D981" t="s">
        <v>1916</v>
      </c>
      <c r="E981" t="s">
        <v>63</v>
      </c>
      <c r="F981" t="s">
        <v>22</v>
      </c>
      <c r="G981" t="s">
        <v>489</v>
      </c>
      <c r="H981" t="s">
        <v>1976</v>
      </c>
      <c r="I981" s="1" t="s">
        <v>25</v>
      </c>
      <c r="J981" s="1" t="s">
        <v>25</v>
      </c>
      <c r="K981" s="1" t="s">
        <v>25</v>
      </c>
      <c r="L981" s="1" t="s">
        <v>25</v>
      </c>
      <c r="M981" s="1" t="s">
        <v>26</v>
      </c>
      <c r="N981" s="1" t="s">
        <v>25</v>
      </c>
      <c r="O981" s="1" t="s">
        <v>25</v>
      </c>
      <c r="P981" s="1" t="s">
        <v>25</v>
      </c>
      <c r="Q981" s="1" t="s">
        <v>26</v>
      </c>
      <c r="R981" s="1" t="s">
        <v>26</v>
      </c>
      <c r="S981" s="2">
        <v>0</v>
      </c>
    </row>
    <row r="982" spans="1:19" x14ac:dyDescent="0.3">
      <c r="A982" t="s">
        <v>1977</v>
      </c>
      <c r="B982" s="5" t="e" cm="1">
        <f t="array" ref="B982">MAX(#REF!,MIN(#REF!,#REF!+SUMPRODUCT(--(FoodData[[#This Row],[Healthy]:[Refined]]="Yes"),#REF!)+FoodData[[#This Row],[Adjust]]))</f>
        <v>#REF!</v>
      </c>
      <c r="C982" s="1" t="e">
        <f>LOOKUP(FoodData[[#This Row],[Score]],#REF!,#REF!)</f>
        <v>#REF!</v>
      </c>
      <c r="D982" t="s">
        <v>1916</v>
      </c>
      <c r="E982" t="s">
        <v>556</v>
      </c>
      <c r="F982" t="s">
        <v>22</v>
      </c>
      <c r="G982" t="s">
        <v>489</v>
      </c>
      <c r="H982" t="s">
        <v>1978</v>
      </c>
      <c r="I982" s="1" t="s">
        <v>25</v>
      </c>
      <c r="J982" s="1" t="s">
        <v>25</v>
      </c>
      <c r="K982" s="1" t="s">
        <v>25</v>
      </c>
      <c r="L982" s="1" t="s">
        <v>25</v>
      </c>
      <c r="M982" s="1" t="s">
        <v>26</v>
      </c>
      <c r="N982" s="1" t="s">
        <v>25</v>
      </c>
      <c r="O982" s="1" t="s">
        <v>26</v>
      </c>
      <c r="P982" s="1" t="s">
        <v>25</v>
      </c>
      <c r="Q982" s="1" t="s">
        <v>26</v>
      </c>
      <c r="R982" s="1" t="s">
        <v>26</v>
      </c>
      <c r="S982" s="2">
        <v>0</v>
      </c>
    </row>
    <row r="983" spans="1:19" x14ac:dyDescent="0.3">
      <c r="A983" t="s">
        <v>1979</v>
      </c>
      <c r="B983" s="5" t="e" cm="1">
        <f t="array" ref="B983">MAX(#REF!,MIN(#REF!,#REF!+SUMPRODUCT(--(FoodData[[#This Row],[Healthy]:[Refined]]="Yes"),#REF!)+FoodData[[#This Row],[Adjust]]))</f>
        <v>#REF!</v>
      </c>
      <c r="C983" s="1" t="e">
        <f>LOOKUP(FoodData[[#This Row],[Score]],#REF!,#REF!)</f>
        <v>#REF!</v>
      </c>
      <c r="D983" t="s">
        <v>1916</v>
      </c>
      <c r="E983" t="s">
        <v>21</v>
      </c>
      <c r="F983" t="s">
        <v>22</v>
      </c>
      <c r="G983" t="s">
        <v>29</v>
      </c>
      <c r="H983" t="s">
        <v>1980</v>
      </c>
      <c r="I983" s="1" t="s">
        <v>25</v>
      </c>
      <c r="J983" s="1" t="s">
        <v>25</v>
      </c>
      <c r="K983" s="1" t="s">
        <v>25</v>
      </c>
      <c r="L983" s="1" t="s">
        <v>25</v>
      </c>
      <c r="M983" s="1" t="s">
        <v>25</v>
      </c>
      <c r="N983" s="1" t="s">
        <v>26</v>
      </c>
      <c r="O983" s="1" t="s">
        <v>26</v>
      </c>
      <c r="P983" s="1" t="s">
        <v>25</v>
      </c>
      <c r="Q983" s="1" t="s">
        <v>25</v>
      </c>
      <c r="R983" s="1" t="s">
        <v>26</v>
      </c>
      <c r="S983" s="2">
        <v>0</v>
      </c>
    </row>
    <row r="984" spans="1:19" x14ac:dyDescent="0.3">
      <c r="A984" t="s">
        <v>1981</v>
      </c>
      <c r="B984" s="5" t="e" cm="1">
        <f t="array" ref="B984">MAX(#REF!,MIN(#REF!,#REF!+SUMPRODUCT(--(FoodData[[#This Row],[Healthy]:[Refined]]="Yes"),#REF!)+FoodData[[#This Row],[Adjust]]))</f>
        <v>#REF!</v>
      </c>
      <c r="C984" s="1" t="e">
        <f>LOOKUP(FoodData[[#This Row],[Score]],#REF!,#REF!)</f>
        <v>#REF!</v>
      </c>
      <c r="D984" t="s">
        <v>1916</v>
      </c>
      <c r="E984" t="s">
        <v>28</v>
      </c>
      <c r="F984" t="s">
        <v>22</v>
      </c>
      <c r="G984" t="s">
        <v>23</v>
      </c>
      <c r="H984" t="s">
        <v>1982</v>
      </c>
      <c r="I984" s="1" t="s">
        <v>25</v>
      </c>
      <c r="J984" s="1" t="s">
        <v>25</v>
      </c>
      <c r="K984" s="1" t="s">
        <v>25</v>
      </c>
      <c r="L984" s="1" t="s">
        <v>25</v>
      </c>
      <c r="M984" s="1" t="s">
        <v>25</v>
      </c>
      <c r="N984" s="1" t="s">
        <v>26</v>
      </c>
      <c r="O984" s="1" t="s">
        <v>25</v>
      </c>
      <c r="P984" s="1" t="s">
        <v>26</v>
      </c>
      <c r="Q984" s="1" t="s">
        <v>26</v>
      </c>
      <c r="R984" s="1" t="s">
        <v>26</v>
      </c>
      <c r="S984" s="2">
        <v>0</v>
      </c>
    </row>
    <row r="985" spans="1:19" x14ac:dyDescent="0.3">
      <c r="A985" t="s">
        <v>1983</v>
      </c>
      <c r="B985" s="5" t="e" cm="1">
        <f t="array" ref="B985">MAX(#REF!,MIN(#REF!,#REF!+SUMPRODUCT(--(FoodData[[#This Row],[Healthy]:[Refined]]="Yes"),#REF!)+FoodData[[#This Row],[Adjust]]))</f>
        <v>#REF!</v>
      </c>
      <c r="C985" s="1" t="e">
        <f>LOOKUP(FoodData[[#This Row],[Score]],#REF!,#REF!)</f>
        <v>#REF!</v>
      </c>
      <c r="D985" t="s">
        <v>1916</v>
      </c>
      <c r="E985" t="s">
        <v>556</v>
      </c>
      <c r="F985" t="s">
        <v>22</v>
      </c>
      <c r="G985" t="s">
        <v>489</v>
      </c>
      <c r="H985" t="s">
        <v>1984</v>
      </c>
      <c r="I985" s="1" t="s">
        <v>25</v>
      </c>
      <c r="J985" s="1" t="s">
        <v>25</v>
      </c>
      <c r="K985" s="1" t="s">
        <v>25</v>
      </c>
      <c r="L985" s="1" t="s">
        <v>25</v>
      </c>
      <c r="M985" s="1" t="s">
        <v>26</v>
      </c>
      <c r="N985" s="1" t="s">
        <v>25</v>
      </c>
      <c r="O985" s="1" t="s">
        <v>26</v>
      </c>
      <c r="P985" s="1" t="s">
        <v>25</v>
      </c>
      <c r="Q985" s="1" t="s">
        <v>26</v>
      </c>
      <c r="R985" s="1" t="s">
        <v>26</v>
      </c>
      <c r="S985" s="2">
        <v>0</v>
      </c>
    </row>
    <row r="986" spans="1:19" x14ac:dyDescent="0.3">
      <c r="A986" t="s">
        <v>1985</v>
      </c>
      <c r="B986" s="5" t="e" cm="1">
        <f t="array" ref="B986">MAX(#REF!,MIN(#REF!,#REF!+SUMPRODUCT(--(FoodData[[#This Row],[Healthy]:[Refined]]="Yes"),#REF!)+FoodData[[#This Row],[Adjust]]))</f>
        <v>#REF!</v>
      </c>
      <c r="C986" s="1" t="e">
        <f>LOOKUP(FoodData[[#This Row],[Score]],#REF!,#REF!)</f>
        <v>#REF!</v>
      </c>
      <c r="D986" t="s">
        <v>1916</v>
      </c>
      <c r="E986" t="s">
        <v>556</v>
      </c>
      <c r="F986" t="s">
        <v>22</v>
      </c>
      <c r="G986" t="s">
        <v>489</v>
      </c>
      <c r="H986" t="s">
        <v>1986</v>
      </c>
      <c r="I986" s="1" t="s">
        <v>25</v>
      </c>
      <c r="J986" s="1" t="s">
        <v>25</v>
      </c>
      <c r="K986" s="1" t="s">
        <v>25</v>
      </c>
      <c r="L986" s="1" t="s">
        <v>25</v>
      </c>
      <c r="M986" s="1" t="s">
        <v>26</v>
      </c>
      <c r="N986" s="1" t="s">
        <v>25</v>
      </c>
      <c r="O986" s="1" t="s">
        <v>25</v>
      </c>
      <c r="P986" s="1" t="s">
        <v>25</v>
      </c>
      <c r="Q986" s="1" t="s">
        <v>26</v>
      </c>
      <c r="R986" s="1" t="s">
        <v>25</v>
      </c>
      <c r="S986" s="2">
        <v>0</v>
      </c>
    </row>
    <row r="987" spans="1:19" x14ac:dyDescent="0.3">
      <c r="A987" t="s">
        <v>1987</v>
      </c>
      <c r="B987" s="5" t="e" cm="1">
        <f t="array" ref="B987">MAX(#REF!,MIN(#REF!,#REF!+SUMPRODUCT(--(FoodData[[#This Row],[Healthy]:[Refined]]="Yes"),#REF!)+FoodData[[#This Row],[Adjust]]))</f>
        <v>#REF!</v>
      </c>
      <c r="C987" s="1" t="e">
        <f>LOOKUP(FoodData[[#This Row],[Score]],#REF!,#REF!)</f>
        <v>#REF!</v>
      </c>
      <c r="D987" t="s">
        <v>1916</v>
      </c>
      <c r="E987" t="s">
        <v>556</v>
      </c>
      <c r="F987" t="s">
        <v>22</v>
      </c>
      <c r="G987" t="s">
        <v>349</v>
      </c>
      <c r="H987" t="s">
        <v>1988</v>
      </c>
      <c r="I987" s="1" t="s">
        <v>26</v>
      </c>
      <c r="J987" s="1" t="s">
        <v>25</v>
      </c>
      <c r="K987" s="1" t="s">
        <v>25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 t="s">
        <v>25</v>
      </c>
      <c r="Q987" s="1" t="s">
        <v>25</v>
      </c>
      <c r="R987" s="1" t="s">
        <v>25</v>
      </c>
      <c r="S987" s="2">
        <v>0</v>
      </c>
    </row>
    <row r="988" spans="1:19" x14ac:dyDescent="0.3">
      <c r="A988" t="s">
        <v>1989</v>
      </c>
      <c r="B988" s="5" t="e" cm="1">
        <f t="array" ref="B988">MAX(#REF!,MIN(#REF!,#REF!+SUMPRODUCT(--(FoodData[[#This Row],[Healthy]:[Refined]]="Yes"),#REF!)+FoodData[[#This Row],[Adjust]]))</f>
        <v>#REF!</v>
      </c>
      <c r="C988" s="1" t="e">
        <f>LOOKUP(FoodData[[#This Row],[Score]],#REF!,#REF!)</f>
        <v>#REF!</v>
      </c>
      <c r="D988" t="s">
        <v>1916</v>
      </c>
      <c r="E988" t="s">
        <v>63</v>
      </c>
      <c r="F988" t="s">
        <v>22</v>
      </c>
      <c r="G988" t="s">
        <v>489</v>
      </c>
      <c r="H988" t="s">
        <v>1990</v>
      </c>
      <c r="I988" s="1" t="s">
        <v>25</v>
      </c>
      <c r="J988" s="1" t="s">
        <v>25</v>
      </c>
      <c r="K988" s="1" t="s">
        <v>25</v>
      </c>
      <c r="L988" s="1" t="s">
        <v>26</v>
      </c>
      <c r="M988" s="1" t="s">
        <v>26</v>
      </c>
      <c r="N988" s="1" t="s">
        <v>25</v>
      </c>
      <c r="O988" s="1" t="s">
        <v>25</v>
      </c>
      <c r="P988" s="1" t="s">
        <v>25</v>
      </c>
      <c r="Q988" s="1" t="s">
        <v>25</v>
      </c>
      <c r="R988" s="1" t="s">
        <v>25</v>
      </c>
      <c r="S988" s="2">
        <v>0</v>
      </c>
    </row>
    <row r="989" spans="1:19" x14ac:dyDescent="0.3">
      <c r="A989" t="s">
        <v>1991</v>
      </c>
      <c r="B989" s="5" t="e" cm="1">
        <f t="array" ref="B989">MAX(#REF!,MIN(#REF!,#REF!+SUMPRODUCT(--(FoodData[[#This Row],[Healthy]:[Refined]]="Yes"),#REF!)+FoodData[[#This Row],[Adjust]]))</f>
        <v>#REF!</v>
      </c>
      <c r="C989" s="1" t="e">
        <f>LOOKUP(FoodData[[#This Row],[Score]],#REF!,#REF!)</f>
        <v>#REF!</v>
      </c>
      <c r="D989" t="s">
        <v>1916</v>
      </c>
      <c r="E989" t="s">
        <v>556</v>
      </c>
      <c r="F989" t="s">
        <v>22</v>
      </c>
      <c r="G989" t="s">
        <v>489</v>
      </c>
      <c r="H989" t="s">
        <v>1992</v>
      </c>
      <c r="I989" s="1" t="s">
        <v>25</v>
      </c>
      <c r="J989" s="1" t="s">
        <v>25</v>
      </c>
      <c r="K989" s="1" t="s">
        <v>25</v>
      </c>
      <c r="L989" s="1" t="s">
        <v>25</v>
      </c>
      <c r="M989" s="1" t="s">
        <v>26</v>
      </c>
      <c r="N989" s="1" t="s">
        <v>25</v>
      </c>
      <c r="O989" s="1" t="s">
        <v>25</v>
      </c>
      <c r="P989" s="1" t="s">
        <v>26</v>
      </c>
      <c r="Q989" s="1" t="s">
        <v>26</v>
      </c>
      <c r="R989" s="1" t="s">
        <v>26</v>
      </c>
      <c r="S989" s="2">
        <v>0</v>
      </c>
    </row>
    <row r="990" spans="1:19" x14ac:dyDescent="0.3">
      <c r="A990" t="s">
        <v>1993</v>
      </c>
      <c r="B990" s="5" t="e" cm="1">
        <f t="array" ref="B990">MAX(#REF!,MIN(#REF!,#REF!+SUMPRODUCT(--(FoodData[[#This Row],[Healthy]:[Refined]]="Yes"),#REF!)+FoodData[[#This Row],[Adjust]]))</f>
        <v>#REF!</v>
      </c>
      <c r="C990" s="1" t="e">
        <f>LOOKUP(FoodData[[#This Row],[Score]],#REF!,#REF!)</f>
        <v>#REF!</v>
      </c>
      <c r="D990" t="s">
        <v>1916</v>
      </c>
      <c r="E990" t="s">
        <v>63</v>
      </c>
      <c r="F990" t="s">
        <v>60</v>
      </c>
      <c r="G990" t="s">
        <v>23</v>
      </c>
      <c r="H990" t="s">
        <v>1994</v>
      </c>
      <c r="I990" s="1" t="s">
        <v>25</v>
      </c>
      <c r="J990" s="1" t="s">
        <v>25</v>
      </c>
      <c r="K990" s="1" t="s">
        <v>26</v>
      </c>
      <c r="L990" s="1" t="s">
        <v>25</v>
      </c>
      <c r="M990" s="1" t="s">
        <v>25</v>
      </c>
      <c r="N990" s="1" t="s">
        <v>26</v>
      </c>
      <c r="O990" s="1" t="s">
        <v>26</v>
      </c>
      <c r="P990" s="1" t="s">
        <v>26</v>
      </c>
      <c r="Q990" s="1" t="s">
        <v>26</v>
      </c>
      <c r="R990" s="1" t="s">
        <v>26</v>
      </c>
      <c r="S990" s="2">
        <v>0</v>
      </c>
    </row>
    <row r="991" spans="1:19" x14ac:dyDescent="0.3">
      <c r="A991" t="s">
        <v>1995</v>
      </c>
      <c r="B991" s="5" t="e" cm="1">
        <f t="array" ref="B991">MAX(#REF!,MIN(#REF!,#REF!+SUMPRODUCT(--(FoodData[[#This Row],[Healthy]:[Refined]]="Yes"),#REF!)+FoodData[[#This Row],[Adjust]]))</f>
        <v>#REF!</v>
      </c>
      <c r="C991" s="1" t="e">
        <f>LOOKUP(FoodData[[#This Row],[Score]],#REF!,#REF!)</f>
        <v>#REF!</v>
      </c>
      <c r="D991" t="s">
        <v>1916</v>
      </c>
      <c r="E991" t="s">
        <v>28</v>
      </c>
      <c r="F991" t="s">
        <v>60</v>
      </c>
      <c r="G991" t="s">
        <v>29</v>
      </c>
      <c r="H991" t="s">
        <v>1996</v>
      </c>
      <c r="I991" s="1" t="s">
        <v>25</v>
      </c>
      <c r="J991" s="1" t="s">
        <v>25</v>
      </c>
      <c r="K991" s="1" t="s">
        <v>26</v>
      </c>
      <c r="L991" s="1" t="s">
        <v>25</v>
      </c>
      <c r="M991" s="1" t="s">
        <v>25</v>
      </c>
      <c r="N991" s="1" t="s">
        <v>26</v>
      </c>
      <c r="O991" s="1" t="s">
        <v>25</v>
      </c>
      <c r="P991" s="1" t="s">
        <v>26</v>
      </c>
      <c r="Q991" s="1" t="s">
        <v>26</v>
      </c>
      <c r="R991" s="1" t="s">
        <v>26</v>
      </c>
      <c r="S991" s="2">
        <v>0</v>
      </c>
    </row>
    <row r="992" spans="1:19" x14ac:dyDescent="0.3">
      <c r="A992" t="s">
        <v>1997</v>
      </c>
      <c r="B992" s="5" t="e" cm="1">
        <f t="array" ref="B992">MAX(#REF!,MIN(#REF!,#REF!+SUMPRODUCT(--(FoodData[[#This Row],[Healthy]:[Refined]]="Yes"),#REF!)+FoodData[[#This Row],[Adjust]]))</f>
        <v>#REF!</v>
      </c>
      <c r="C992" s="1" t="e">
        <f>LOOKUP(FoodData[[#This Row],[Score]],#REF!,#REF!)</f>
        <v>#REF!</v>
      </c>
      <c r="D992" t="s">
        <v>1916</v>
      </c>
      <c r="E992" t="s">
        <v>21</v>
      </c>
      <c r="F992" t="s">
        <v>60</v>
      </c>
      <c r="G992" t="s">
        <v>489</v>
      </c>
      <c r="H992" t="s">
        <v>1998</v>
      </c>
      <c r="I992" s="1" t="s">
        <v>25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25</v>
      </c>
      <c r="O992" s="1" t="s">
        <v>26</v>
      </c>
      <c r="P992" s="1" t="s">
        <v>25</v>
      </c>
      <c r="Q992" s="1" t="s">
        <v>26</v>
      </c>
      <c r="R992" s="1" t="s">
        <v>26</v>
      </c>
      <c r="S992" s="2">
        <v>0</v>
      </c>
    </row>
    <row r="993" spans="1:19" x14ac:dyDescent="0.3">
      <c r="A993" t="s">
        <v>1999</v>
      </c>
      <c r="B993" s="5" t="e" cm="1">
        <f t="array" ref="B993">MAX(#REF!,MIN(#REF!,#REF!+SUMPRODUCT(--(FoodData[[#This Row],[Healthy]:[Refined]]="Yes"),#REF!)+FoodData[[#This Row],[Adjust]]))</f>
        <v>#REF!</v>
      </c>
      <c r="C993" s="1" t="e">
        <f>LOOKUP(FoodData[[#This Row],[Score]],#REF!,#REF!)</f>
        <v>#REF!</v>
      </c>
      <c r="D993" t="s">
        <v>1916</v>
      </c>
      <c r="E993" t="s">
        <v>556</v>
      </c>
      <c r="F993" t="s">
        <v>22</v>
      </c>
      <c r="G993" t="s">
        <v>489</v>
      </c>
      <c r="H993" t="s">
        <v>2000</v>
      </c>
      <c r="I993" s="1" t="s">
        <v>25</v>
      </c>
      <c r="J993" s="1" t="s">
        <v>25</v>
      </c>
      <c r="K993" s="1" t="s">
        <v>25</v>
      </c>
      <c r="L993" s="1" t="s">
        <v>25</v>
      </c>
      <c r="M993" s="1" t="s">
        <v>26</v>
      </c>
      <c r="N993" s="1" t="s">
        <v>25</v>
      </c>
      <c r="O993" s="1" t="s">
        <v>26</v>
      </c>
      <c r="P993" s="1" t="s">
        <v>25</v>
      </c>
      <c r="Q993" s="1" t="s">
        <v>25</v>
      </c>
      <c r="R993" s="1" t="s">
        <v>26</v>
      </c>
      <c r="S993" s="2">
        <v>0</v>
      </c>
    </row>
    <row r="994" spans="1:19" x14ac:dyDescent="0.3">
      <c r="A994" t="s">
        <v>2001</v>
      </c>
      <c r="B994" s="5" t="e" cm="1">
        <f t="array" ref="B994">MAX(#REF!,MIN(#REF!,#REF!+SUMPRODUCT(--(FoodData[[#This Row],[Healthy]:[Refined]]="Yes"),#REF!)+FoodData[[#This Row],[Adjust]]))</f>
        <v>#REF!</v>
      </c>
      <c r="C994" s="1" t="e">
        <f>LOOKUP(FoodData[[#This Row],[Score]],#REF!,#REF!)</f>
        <v>#REF!</v>
      </c>
      <c r="D994" t="s">
        <v>1916</v>
      </c>
      <c r="E994" t="s">
        <v>63</v>
      </c>
      <c r="F994" t="s">
        <v>22</v>
      </c>
      <c r="G994" t="s">
        <v>29</v>
      </c>
      <c r="H994" t="s">
        <v>2002</v>
      </c>
      <c r="I994" s="1" t="s">
        <v>25</v>
      </c>
      <c r="J994" s="1" t="s">
        <v>25</v>
      </c>
      <c r="K994" s="1" t="s">
        <v>26</v>
      </c>
      <c r="L994" s="1" t="s">
        <v>25</v>
      </c>
      <c r="M994" s="1" t="s">
        <v>25</v>
      </c>
      <c r="N994" s="1" t="s">
        <v>25</v>
      </c>
      <c r="O994" s="1" t="s">
        <v>26</v>
      </c>
      <c r="P994" s="1" t="s">
        <v>25</v>
      </c>
      <c r="Q994" s="1" t="s">
        <v>26</v>
      </c>
      <c r="R994" s="1" t="s">
        <v>26</v>
      </c>
      <c r="S994" s="2">
        <v>0</v>
      </c>
    </row>
    <row r="995" spans="1:19" x14ac:dyDescent="0.3">
      <c r="A995" t="s">
        <v>2003</v>
      </c>
      <c r="B995" s="5" t="e" cm="1">
        <f t="array" ref="B995">MAX(#REF!,MIN(#REF!,#REF!+SUMPRODUCT(--(FoodData[[#This Row],[Healthy]:[Refined]]="Yes"),#REF!)+FoodData[[#This Row],[Adjust]]))</f>
        <v>#REF!</v>
      </c>
      <c r="C995" s="1" t="e">
        <f>LOOKUP(FoodData[[#This Row],[Score]],#REF!,#REF!)</f>
        <v>#REF!</v>
      </c>
      <c r="D995" t="s">
        <v>1916</v>
      </c>
      <c r="E995" t="s">
        <v>21</v>
      </c>
      <c r="F995" t="s">
        <v>22</v>
      </c>
      <c r="G995" t="s">
        <v>23</v>
      </c>
      <c r="H995" t="s">
        <v>2004</v>
      </c>
      <c r="I995" s="1" t="s">
        <v>25</v>
      </c>
      <c r="J995" s="1" t="s">
        <v>25</v>
      </c>
      <c r="K995" s="1" t="s">
        <v>25</v>
      </c>
      <c r="L995" s="1" t="s">
        <v>26</v>
      </c>
      <c r="M995" s="1" t="s">
        <v>25</v>
      </c>
      <c r="N995" s="1" t="s">
        <v>25</v>
      </c>
      <c r="O995" s="1" t="s">
        <v>25</v>
      </c>
      <c r="P995" s="1" t="s">
        <v>25</v>
      </c>
      <c r="Q995" s="1" t="s">
        <v>25</v>
      </c>
      <c r="R995" s="1" t="s">
        <v>25</v>
      </c>
      <c r="S995" s="2">
        <v>0</v>
      </c>
    </row>
    <row r="996" spans="1:19" x14ac:dyDescent="0.3">
      <c r="A996" t="s">
        <v>2005</v>
      </c>
      <c r="B996" s="5" t="e" cm="1">
        <f t="array" ref="B996">MAX(#REF!,MIN(#REF!,#REF!+SUMPRODUCT(--(FoodData[[#This Row],[Healthy]:[Refined]]="Yes"),#REF!)+FoodData[[#This Row],[Adjust]]))</f>
        <v>#REF!</v>
      </c>
      <c r="C996" s="1" t="e">
        <f>LOOKUP(FoodData[[#This Row],[Score]],#REF!,#REF!)</f>
        <v>#REF!</v>
      </c>
      <c r="D996" t="s">
        <v>1916</v>
      </c>
      <c r="E996" t="s">
        <v>63</v>
      </c>
      <c r="F996" t="s">
        <v>22</v>
      </c>
      <c r="G996" t="s">
        <v>23</v>
      </c>
      <c r="H996" t="s">
        <v>1924</v>
      </c>
      <c r="I996" s="1" t="s">
        <v>25</v>
      </c>
      <c r="J996" s="1" t="s">
        <v>25</v>
      </c>
      <c r="K996" s="1" t="s">
        <v>25</v>
      </c>
      <c r="L996" s="1" t="s">
        <v>25</v>
      </c>
      <c r="M996" s="1" t="s">
        <v>25</v>
      </c>
      <c r="N996" s="1" t="s">
        <v>26</v>
      </c>
      <c r="O996" s="1" t="s">
        <v>25</v>
      </c>
      <c r="P996" s="1" t="s">
        <v>26</v>
      </c>
      <c r="Q996" s="1" t="s">
        <v>25</v>
      </c>
      <c r="R996" s="1" t="s">
        <v>25</v>
      </c>
      <c r="S996" s="2">
        <v>0</v>
      </c>
    </row>
    <row r="997" spans="1:19" x14ac:dyDescent="0.3">
      <c r="A997" t="s">
        <v>2006</v>
      </c>
      <c r="B997" s="5" t="e" cm="1">
        <f t="array" ref="B997">MAX(#REF!,MIN(#REF!,#REF!+SUMPRODUCT(--(FoodData[[#This Row],[Healthy]:[Refined]]="Yes"),#REF!)+FoodData[[#This Row],[Adjust]]))</f>
        <v>#REF!</v>
      </c>
      <c r="C997" s="1" t="e">
        <f>LOOKUP(FoodData[[#This Row],[Score]],#REF!,#REF!)</f>
        <v>#REF!</v>
      </c>
      <c r="D997" t="s">
        <v>1916</v>
      </c>
      <c r="E997" t="s">
        <v>63</v>
      </c>
      <c r="F997" t="s">
        <v>22</v>
      </c>
      <c r="G997" t="s">
        <v>23</v>
      </c>
      <c r="H997" t="s">
        <v>2007</v>
      </c>
      <c r="I997" s="1" t="s">
        <v>25</v>
      </c>
      <c r="J997" s="1" t="s">
        <v>25</v>
      </c>
      <c r="K997" s="1" t="s">
        <v>25</v>
      </c>
      <c r="L997" s="1" t="s">
        <v>26</v>
      </c>
      <c r="M997" s="1" t="s">
        <v>25</v>
      </c>
      <c r="N997" s="1" t="s">
        <v>25</v>
      </c>
      <c r="O997" s="1" t="s">
        <v>25</v>
      </c>
      <c r="P997" s="1" t="s">
        <v>25</v>
      </c>
      <c r="Q997" s="1" t="s">
        <v>25</v>
      </c>
      <c r="R997" s="1" t="s">
        <v>25</v>
      </c>
      <c r="S997" s="2">
        <v>0</v>
      </c>
    </row>
    <row r="998" spans="1:19" x14ac:dyDescent="0.3">
      <c r="A998" t="s">
        <v>2008</v>
      </c>
      <c r="B998" s="5" t="e" cm="1">
        <f t="array" ref="B998">MAX(#REF!,MIN(#REF!,#REF!+SUMPRODUCT(--(FoodData[[#This Row],[Healthy]:[Refined]]="Yes"),#REF!)+FoodData[[#This Row],[Adjust]]))</f>
        <v>#REF!</v>
      </c>
      <c r="C998" s="1" t="e">
        <f>LOOKUP(FoodData[[#This Row],[Score]],#REF!,#REF!)</f>
        <v>#REF!</v>
      </c>
      <c r="D998" t="s">
        <v>1916</v>
      </c>
      <c r="E998" t="s">
        <v>63</v>
      </c>
      <c r="F998" t="s">
        <v>22</v>
      </c>
      <c r="G998" t="s">
        <v>29</v>
      </c>
      <c r="H998" t="s">
        <v>2009</v>
      </c>
      <c r="I998" s="1" t="s">
        <v>25</v>
      </c>
      <c r="J998" s="1" t="s">
        <v>25</v>
      </c>
      <c r="K998" s="1" t="s">
        <v>25</v>
      </c>
      <c r="L998" s="1" t="s">
        <v>25</v>
      </c>
      <c r="M998" s="1" t="s">
        <v>25</v>
      </c>
      <c r="N998" s="1" t="s">
        <v>26</v>
      </c>
      <c r="O998" s="1" t="s">
        <v>26</v>
      </c>
      <c r="P998" s="1" t="s">
        <v>25</v>
      </c>
      <c r="Q998" s="1" t="s">
        <v>25</v>
      </c>
      <c r="R998" s="1" t="s">
        <v>26</v>
      </c>
      <c r="S998" s="2">
        <v>0</v>
      </c>
    </row>
    <row r="999" spans="1:19" x14ac:dyDescent="0.3">
      <c r="A999" t="s">
        <v>2010</v>
      </c>
      <c r="B999" s="5" t="e" cm="1">
        <f t="array" ref="B999">MAX(#REF!,MIN(#REF!,#REF!+SUMPRODUCT(--(FoodData[[#This Row],[Healthy]:[Refined]]="Yes"),#REF!)+FoodData[[#This Row],[Adjust]]))</f>
        <v>#REF!</v>
      </c>
      <c r="C999" s="1" t="e">
        <f>LOOKUP(FoodData[[#This Row],[Score]],#REF!,#REF!)</f>
        <v>#REF!</v>
      </c>
      <c r="D999" t="s">
        <v>1916</v>
      </c>
      <c r="E999" t="s">
        <v>556</v>
      </c>
      <c r="F999" t="s">
        <v>22</v>
      </c>
      <c r="G999" t="s">
        <v>489</v>
      </c>
      <c r="H999" t="s">
        <v>2011</v>
      </c>
      <c r="I999" s="1" t="s">
        <v>25</v>
      </c>
      <c r="J999" s="1" t="s">
        <v>25</v>
      </c>
      <c r="K999" s="1" t="s">
        <v>25</v>
      </c>
      <c r="L999" s="1" t="s">
        <v>25</v>
      </c>
      <c r="M999" s="1" t="s">
        <v>26</v>
      </c>
      <c r="N999" s="1" t="s">
        <v>25</v>
      </c>
      <c r="O999" s="1" t="s">
        <v>25</v>
      </c>
      <c r="P999" s="1" t="s">
        <v>25</v>
      </c>
      <c r="Q999" s="1" t="s">
        <v>26</v>
      </c>
      <c r="R999" s="1" t="s">
        <v>26</v>
      </c>
      <c r="S999" s="2">
        <v>0</v>
      </c>
    </row>
    <row r="1000" spans="1:19" x14ac:dyDescent="0.3">
      <c r="A1000" t="s">
        <v>2012</v>
      </c>
      <c r="B1000" s="5" t="e" cm="1">
        <f t="array" ref="B1000">MAX(#REF!,MIN(#REF!,#REF!+SUMPRODUCT(--(FoodData[[#This Row],[Healthy]:[Refined]]="Yes"),#REF!)+FoodData[[#This Row],[Adjust]]))</f>
        <v>#REF!</v>
      </c>
      <c r="C1000" s="1" t="e">
        <f>LOOKUP(FoodData[[#This Row],[Score]],#REF!,#REF!)</f>
        <v>#REF!</v>
      </c>
      <c r="D1000" t="s">
        <v>1916</v>
      </c>
      <c r="E1000" t="s">
        <v>63</v>
      </c>
      <c r="F1000" t="s">
        <v>22</v>
      </c>
      <c r="G1000" t="s">
        <v>23</v>
      </c>
      <c r="H1000" t="s">
        <v>2013</v>
      </c>
      <c r="I1000" s="1" t="s">
        <v>25</v>
      </c>
      <c r="J1000" s="1" t="s">
        <v>25</v>
      </c>
      <c r="K1000" s="1" t="s">
        <v>25</v>
      </c>
      <c r="L1000" s="1" t="s">
        <v>25</v>
      </c>
      <c r="M1000" s="1" t="s">
        <v>25</v>
      </c>
      <c r="N1000" s="1" t="s">
        <v>26</v>
      </c>
      <c r="O1000" s="1" t="s">
        <v>25</v>
      </c>
      <c r="P1000" s="1" t="s">
        <v>26</v>
      </c>
      <c r="Q1000" s="1" t="s">
        <v>26</v>
      </c>
      <c r="R1000" s="1" t="s">
        <v>25</v>
      </c>
      <c r="S1000" s="2">
        <v>0</v>
      </c>
    </row>
    <row r="1001" spans="1:19" x14ac:dyDescent="0.3">
      <c r="A1001" t="s">
        <v>2014</v>
      </c>
      <c r="B1001" s="5" t="e" cm="1">
        <f t="array" ref="B1001">MAX(#REF!,MIN(#REF!,#REF!+SUMPRODUCT(--(FoodData[[#This Row],[Healthy]:[Refined]]="Yes"),#REF!)+FoodData[[#This Row],[Adjust]]))</f>
        <v>#REF!</v>
      </c>
      <c r="C1001" s="1" t="e">
        <f>LOOKUP(FoodData[[#This Row],[Score]],#REF!,#REF!)</f>
        <v>#REF!</v>
      </c>
      <c r="D1001" t="s">
        <v>1916</v>
      </c>
      <c r="E1001" t="s">
        <v>63</v>
      </c>
      <c r="F1001" t="s">
        <v>22</v>
      </c>
      <c r="G1001" t="s">
        <v>23</v>
      </c>
      <c r="H1001" t="s">
        <v>2015</v>
      </c>
      <c r="I1001" s="1" t="s">
        <v>25</v>
      </c>
      <c r="J1001" s="1" t="s">
        <v>25</v>
      </c>
      <c r="K1001" s="1" t="s">
        <v>25</v>
      </c>
      <c r="L1001" s="1" t="s">
        <v>25</v>
      </c>
      <c r="M1001" s="1" t="s">
        <v>25</v>
      </c>
      <c r="N1001" s="1" t="s">
        <v>26</v>
      </c>
      <c r="O1001" s="1" t="s">
        <v>25</v>
      </c>
      <c r="P1001" s="1" t="s">
        <v>26</v>
      </c>
      <c r="Q1001" s="1" t="s">
        <v>26</v>
      </c>
      <c r="R1001" s="1" t="s">
        <v>25</v>
      </c>
      <c r="S1001" s="2">
        <v>0</v>
      </c>
    </row>
    <row r="1002" spans="1:19" x14ac:dyDescent="0.3">
      <c r="A1002" t="s">
        <v>2016</v>
      </c>
      <c r="B1002" s="5" t="e" cm="1">
        <f t="array" ref="B1002">MAX(#REF!,MIN(#REF!,#REF!+SUMPRODUCT(--(FoodData[[#This Row],[Healthy]:[Refined]]="Yes"),#REF!)+FoodData[[#This Row],[Adjust]]))</f>
        <v>#REF!</v>
      </c>
      <c r="C1002" s="1" t="e">
        <f>LOOKUP(FoodData[[#This Row],[Score]],#REF!,#REF!)</f>
        <v>#REF!</v>
      </c>
      <c r="D1002" t="s">
        <v>1916</v>
      </c>
      <c r="E1002" t="s">
        <v>556</v>
      </c>
      <c r="F1002" t="s">
        <v>22</v>
      </c>
      <c r="G1002" t="s">
        <v>489</v>
      </c>
      <c r="H1002" t="s">
        <v>2017</v>
      </c>
      <c r="I1002" s="1" t="s">
        <v>25</v>
      </c>
      <c r="J1002" s="1" t="s">
        <v>25</v>
      </c>
      <c r="K1002" s="1" t="s">
        <v>25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25</v>
      </c>
      <c r="Q1002" s="1" t="s">
        <v>26</v>
      </c>
      <c r="R1002" s="1" t="s">
        <v>25</v>
      </c>
      <c r="S1002" s="2">
        <v>0</v>
      </c>
    </row>
    <row r="1003" spans="1:19" x14ac:dyDescent="0.3">
      <c r="A1003" t="s">
        <v>2018</v>
      </c>
      <c r="B1003" s="5" t="e" cm="1">
        <f t="array" ref="B1003">MAX(#REF!,MIN(#REF!,#REF!+SUMPRODUCT(--(FoodData[[#This Row],[Healthy]:[Refined]]="Yes"),#REF!)+FoodData[[#This Row],[Adjust]]))</f>
        <v>#REF!</v>
      </c>
      <c r="C1003" s="1" t="e">
        <f>LOOKUP(FoodData[[#This Row],[Score]],#REF!,#REF!)</f>
        <v>#REF!</v>
      </c>
      <c r="D1003" t="s">
        <v>1916</v>
      </c>
      <c r="E1003" t="s">
        <v>28</v>
      </c>
      <c r="F1003" t="s">
        <v>22</v>
      </c>
      <c r="G1003" t="s">
        <v>23</v>
      </c>
      <c r="H1003" t="s">
        <v>2019</v>
      </c>
      <c r="I1003" s="1" t="s">
        <v>25</v>
      </c>
      <c r="J1003" s="1" t="s">
        <v>25</v>
      </c>
      <c r="K1003" s="1" t="s">
        <v>25</v>
      </c>
      <c r="L1003" s="1" t="s">
        <v>25</v>
      </c>
      <c r="M1003" s="1" t="s">
        <v>25</v>
      </c>
      <c r="N1003" s="1" t="s">
        <v>26</v>
      </c>
      <c r="O1003" s="1" t="s">
        <v>25</v>
      </c>
      <c r="P1003" s="1" t="s">
        <v>26</v>
      </c>
      <c r="Q1003" s="1" t="s">
        <v>26</v>
      </c>
      <c r="R1003" s="1" t="s">
        <v>26</v>
      </c>
      <c r="S1003" s="2">
        <v>0</v>
      </c>
    </row>
    <row r="1004" spans="1:19" x14ac:dyDescent="0.3">
      <c r="A1004" t="s">
        <v>2020</v>
      </c>
      <c r="B1004" s="5" t="e" cm="1">
        <f t="array" ref="B1004">MAX(#REF!,MIN(#REF!,#REF!+SUMPRODUCT(--(FoodData[[#This Row],[Healthy]:[Refined]]="Yes"),#REF!)+FoodData[[#This Row],[Adjust]]))</f>
        <v>#REF!</v>
      </c>
      <c r="C1004" s="1" t="e">
        <f>LOOKUP(FoodData[[#This Row],[Score]],#REF!,#REF!)</f>
        <v>#REF!</v>
      </c>
      <c r="D1004" t="s">
        <v>1916</v>
      </c>
      <c r="E1004" t="s">
        <v>63</v>
      </c>
      <c r="F1004" t="s">
        <v>22</v>
      </c>
      <c r="G1004" t="s">
        <v>489</v>
      </c>
      <c r="H1004" t="s">
        <v>2021</v>
      </c>
      <c r="I1004" s="1" t="s">
        <v>25</v>
      </c>
      <c r="J1004" s="1" t="s">
        <v>25</v>
      </c>
      <c r="K1004" s="1" t="s">
        <v>25</v>
      </c>
      <c r="L1004" s="1" t="s">
        <v>25</v>
      </c>
      <c r="M1004" s="1" t="s">
        <v>26</v>
      </c>
      <c r="N1004" s="1" t="s">
        <v>25</v>
      </c>
      <c r="O1004" s="1" t="s">
        <v>25</v>
      </c>
      <c r="P1004" s="1" t="s">
        <v>25</v>
      </c>
      <c r="Q1004" s="1" t="s">
        <v>25</v>
      </c>
      <c r="R1004" s="1" t="s">
        <v>26</v>
      </c>
      <c r="S1004" s="2">
        <v>0</v>
      </c>
    </row>
    <row r="1005" spans="1:19" x14ac:dyDescent="0.3">
      <c r="A1005" t="s">
        <v>2022</v>
      </c>
      <c r="B1005" s="5" t="e" cm="1">
        <f t="array" ref="B1005">MAX(#REF!,MIN(#REF!,#REF!+SUMPRODUCT(--(FoodData[[#This Row],[Healthy]:[Refined]]="Yes"),#REF!)+FoodData[[#This Row],[Adjust]]))</f>
        <v>#REF!</v>
      </c>
      <c r="C1005" s="1" t="e">
        <f>LOOKUP(FoodData[[#This Row],[Score]],#REF!,#REF!)</f>
        <v>#REF!</v>
      </c>
      <c r="D1005" t="s">
        <v>1916</v>
      </c>
      <c r="E1005" t="s">
        <v>63</v>
      </c>
      <c r="F1005" t="s">
        <v>22</v>
      </c>
      <c r="G1005" t="s">
        <v>23</v>
      </c>
      <c r="H1005" t="s">
        <v>2023</v>
      </c>
      <c r="I1005" s="1" t="s">
        <v>25</v>
      </c>
      <c r="J1005" s="1" t="s">
        <v>25</v>
      </c>
      <c r="K1005" s="1" t="s">
        <v>25</v>
      </c>
      <c r="L1005" s="1" t="s">
        <v>25</v>
      </c>
      <c r="M1005" s="1" t="s">
        <v>25</v>
      </c>
      <c r="N1005" s="1" t="s">
        <v>26</v>
      </c>
      <c r="O1005" s="1" t="s">
        <v>25</v>
      </c>
      <c r="P1005" s="1" t="s">
        <v>26</v>
      </c>
      <c r="Q1005" s="1" t="s">
        <v>25</v>
      </c>
      <c r="R1005" s="1" t="s">
        <v>26</v>
      </c>
      <c r="S1005" s="2">
        <v>0</v>
      </c>
    </row>
    <row r="1006" spans="1:19" x14ac:dyDescent="0.3">
      <c r="A1006" t="s">
        <v>2024</v>
      </c>
      <c r="B1006" s="5" t="e" cm="1">
        <f t="array" ref="B1006">MAX(#REF!,MIN(#REF!,#REF!+SUMPRODUCT(--(FoodData[[#This Row],[Healthy]:[Refined]]="Yes"),#REF!)+FoodData[[#This Row],[Adjust]]))</f>
        <v>#REF!</v>
      </c>
      <c r="C1006" s="1" t="e">
        <f>LOOKUP(FoodData[[#This Row],[Score]],#REF!,#REF!)</f>
        <v>#REF!</v>
      </c>
      <c r="D1006" t="s">
        <v>1916</v>
      </c>
      <c r="E1006" t="s">
        <v>63</v>
      </c>
      <c r="F1006" t="s">
        <v>22</v>
      </c>
      <c r="G1006" t="s">
        <v>29</v>
      </c>
      <c r="H1006" t="s">
        <v>2025</v>
      </c>
      <c r="I1006" s="1" t="s">
        <v>25</v>
      </c>
      <c r="J1006" s="1" t="s">
        <v>25</v>
      </c>
      <c r="K1006" s="1" t="s">
        <v>25</v>
      </c>
      <c r="L1006" s="1" t="s">
        <v>25</v>
      </c>
      <c r="M1006" s="1" t="s">
        <v>25</v>
      </c>
      <c r="N1006" s="1" t="s">
        <v>26</v>
      </c>
      <c r="O1006" s="1" t="s">
        <v>25</v>
      </c>
      <c r="P1006" s="1" t="s">
        <v>25</v>
      </c>
      <c r="Q1006" s="1" t="s">
        <v>26</v>
      </c>
      <c r="R1006" s="1" t="s">
        <v>25</v>
      </c>
      <c r="S1006" s="2">
        <v>0</v>
      </c>
    </row>
    <row r="1007" spans="1:19" x14ac:dyDescent="0.3">
      <c r="A1007" t="s">
        <v>2026</v>
      </c>
      <c r="B1007" s="5" t="e" cm="1">
        <f t="array" ref="B1007">MAX(#REF!,MIN(#REF!,#REF!+SUMPRODUCT(--(FoodData[[#This Row],[Healthy]:[Refined]]="Yes"),#REF!)+FoodData[[#This Row],[Adjust]]))</f>
        <v>#REF!</v>
      </c>
      <c r="C1007" s="1" t="e">
        <f>LOOKUP(FoodData[[#This Row],[Score]],#REF!,#REF!)</f>
        <v>#REF!</v>
      </c>
      <c r="D1007" t="s">
        <v>1916</v>
      </c>
      <c r="E1007" t="s">
        <v>556</v>
      </c>
      <c r="F1007" t="s">
        <v>22</v>
      </c>
      <c r="G1007" t="s">
        <v>489</v>
      </c>
      <c r="H1007" t="s">
        <v>2027</v>
      </c>
      <c r="I1007" s="1" t="s">
        <v>25</v>
      </c>
      <c r="J1007" s="1" t="s">
        <v>25</v>
      </c>
      <c r="K1007" s="1" t="s">
        <v>25</v>
      </c>
      <c r="L1007" s="1" t="s">
        <v>25</v>
      </c>
      <c r="M1007" s="1" t="s">
        <v>26</v>
      </c>
      <c r="N1007" s="1" t="s">
        <v>25</v>
      </c>
      <c r="O1007" s="1" t="s">
        <v>25</v>
      </c>
      <c r="P1007" s="1" t="s">
        <v>25</v>
      </c>
      <c r="Q1007" s="1" t="s">
        <v>26</v>
      </c>
      <c r="R1007" s="1" t="s">
        <v>25</v>
      </c>
      <c r="S1007" s="2">
        <v>0</v>
      </c>
    </row>
    <row r="1008" spans="1:19" x14ac:dyDescent="0.3">
      <c r="A1008" t="s">
        <v>2028</v>
      </c>
      <c r="B1008" s="5" t="e" cm="1">
        <f t="array" ref="B1008">MAX(#REF!,MIN(#REF!,#REF!+SUMPRODUCT(--(FoodData[[#This Row],[Healthy]:[Refined]]="Yes"),#REF!)+FoodData[[#This Row],[Adjust]]))</f>
        <v>#REF!</v>
      </c>
      <c r="C1008" s="1" t="e">
        <f>LOOKUP(FoodData[[#This Row],[Score]],#REF!,#REF!)</f>
        <v>#REF!</v>
      </c>
      <c r="D1008" t="s">
        <v>1916</v>
      </c>
      <c r="E1008" t="s">
        <v>21</v>
      </c>
      <c r="F1008" t="s">
        <v>22</v>
      </c>
      <c r="G1008" t="s">
        <v>29</v>
      </c>
      <c r="H1008" t="s">
        <v>2029</v>
      </c>
      <c r="I1008" s="1" t="s">
        <v>26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25</v>
      </c>
      <c r="O1008" s="1" t="s">
        <v>25</v>
      </c>
      <c r="P1008" s="1" t="s">
        <v>25</v>
      </c>
      <c r="Q1008" s="1" t="s">
        <v>25</v>
      </c>
      <c r="R1008" s="1" t="s">
        <v>25</v>
      </c>
      <c r="S1008" s="2">
        <v>0</v>
      </c>
    </row>
    <row r="1009" spans="1:19" x14ac:dyDescent="0.3">
      <c r="A1009" t="s">
        <v>2030</v>
      </c>
      <c r="B1009" s="5" t="e" cm="1">
        <f t="array" ref="B1009">MAX(#REF!,MIN(#REF!,#REF!+SUMPRODUCT(--(FoodData[[#This Row],[Healthy]:[Refined]]="Yes"),#REF!)+FoodData[[#This Row],[Adjust]]))</f>
        <v>#REF!</v>
      </c>
      <c r="C1009" s="1" t="e">
        <f>LOOKUP(FoodData[[#This Row],[Score]],#REF!,#REF!)</f>
        <v>#REF!</v>
      </c>
      <c r="D1009" t="s">
        <v>1916</v>
      </c>
      <c r="E1009" t="s">
        <v>556</v>
      </c>
      <c r="F1009" t="s">
        <v>22</v>
      </c>
      <c r="G1009" t="s">
        <v>489</v>
      </c>
      <c r="H1009" t="s">
        <v>1936</v>
      </c>
      <c r="I1009" s="1" t="s">
        <v>25</v>
      </c>
      <c r="J1009" s="1" t="s">
        <v>25</v>
      </c>
      <c r="K1009" s="1" t="s">
        <v>25</v>
      </c>
      <c r="L1009" s="1" t="s">
        <v>25</v>
      </c>
      <c r="M1009" s="1" t="s">
        <v>26</v>
      </c>
      <c r="N1009" s="1" t="s">
        <v>25</v>
      </c>
      <c r="O1009" s="1" t="s">
        <v>26</v>
      </c>
      <c r="P1009" s="1" t="s">
        <v>25</v>
      </c>
      <c r="Q1009" s="1" t="s">
        <v>25</v>
      </c>
      <c r="R1009" s="1" t="s">
        <v>26</v>
      </c>
      <c r="S1009" s="2">
        <v>0</v>
      </c>
    </row>
    <row r="1010" spans="1:19" x14ac:dyDescent="0.3">
      <c r="A1010" t="s">
        <v>2031</v>
      </c>
      <c r="B1010" s="5" t="e" cm="1">
        <f t="array" ref="B1010">MAX(#REF!,MIN(#REF!,#REF!+SUMPRODUCT(--(FoodData[[#This Row],[Healthy]:[Refined]]="Yes"),#REF!)+FoodData[[#This Row],[Adjust]]))</f>
        <v>#REF!</v>
      </c>
      <c r="C1010" s="1" t="e">
        <f>LOOKUP(FoodData[[#This Row],[Score]],#REF!,#REF!)</f>
        <v>#REF!</v>
      </c>
      <c r="D1010" t="s">
        <v>1916</v>
      </c>
      <c r="E1010" t="s">
        <v>63</v>
      </c>
      <c r="F1010" t="s">
        <v>22</v>
      </c>
      <c r="G1010" t="s">
        <v>23</v>
      </c>
      <c r="H1010" t="s">
        <v>2032</v>
      </c>
      <c r="I1010" s="1" t="s">
        <v>25</v>
      </c>
      <c r="J1010" s="1" t="s">
        <v>25</v>
      </c>
      <c r="K1010" s="1" t="s">
        <v>25</v>
      </c>
      <c r="L1010" s="1" t="s">
        <v>25</v>
      </c>
      <c r="M1010" s="1" t="s">
        <v>25</v>
      </c>
      <c r="N1010" s="1" t="s">
        <v>26</v>
      </c>
      <c r="O1010" s="1" t="s">
        <v>25</v>
      </c>
      <c r="P1010" s="1" t="s">
        <v>26</v>
      </c>
      <c r="Q1010" s="1" t="s">
        <v>25</v>
      </c>
      <c r="R1010" s="1" t="s">
        <v>25</v>
      </c>
      <c r="S1010" s="2">
        <v>0</v>
      </c>
    </row>
    <row r="1011" spans="1:19" x14ac:dyDescent="0.3">
      <c r="A1011" t="s">
        <v>2033</v>
      </c>
      <c r="B1011" s="5" t="e" cm="1">
        <f t="array" ref="B1011">MAX(#REF!,MIN(#REF!,#REF!+SUMPRODUCT(--(FoodData[[#This Row],[Healthy]:[Refined]]="Yes"),#REF!)+FoodData[[#This Row],[Adjust]]))</f>
        <v>#REF!</v>
      </c>
      <c r="C1011" s="1" t="e">
        <f>LOOKUP(FoodData[[#This Row],[Score]],#REF!,#REF!)</f>
        <v>#REF!</v>
      </c>
      <c r="D1011" t="s">
        <v>1916</v>
      </c>
      <c r="E1011" t="s">
        <v>63</v>
      </c>
      <c r="F1011" t="s">
        <v>22</v>
      </c>
      <c r="G1011" t="s">
        <v>23</v>
      </c>
      <c r="H1011" t="s">
        <v>2034</v>
      </c>
      <c r="I1011" s="1" t="s">
        <v>25</v>
      </c>
      <c r="J1011" s="1" t="s">
        <v>25</v>
      </c>
      <c r="K1011" s="1" t="s">
        <v>25</v>
      </c>
      <c r="L1011" s="1" t="s">
        <v>25</v>
      </c>
      <c r="M1011" s="1" t="s">
        <v>25</v>
      </c>
      <c r="N1011" s="1" t="s">
        <v>26</v>
      </c>
      <c r="O1011" s="1" t="s">
        <v>26</v>
      </c>
      <c r="P1011" s="1" t="s">
        <v>25</v>
      </c>
      <c r="Q1011" s="1" t="s">
        <v>25</v>
      </c>
      <c r="R1011" s="1" t="s">
        <v>26</v>
      </c>
      <c r="S1011" s="2">
        <v>0</v>
      </c>
    </row>
    <row r="1012" spans="1:19" x14ac:dyDescent="0.3">
      <c r="A1012" t="s">
        <v>2035</v>
      </c>
      <c r="B1012" s="5" t="e" cm="1">
        <f t="array" ref="B1012">MAX(#REF!,MIN(#REF!,#REF!+SUMPRODUCT(--(FoodData[[#This Row],[Healthy]:[Refined]]="Yes"),#REF!)+FoodData[[#This Row],[Adjust]]))</f>
        <v>#REF!</v>
      </c>
      <c r="C1012" s="1" t="e">
        <f>LOOKUP(FoodData[[#This Row],[Score]],#REF!,#REF!)</f>
        <v>#REF!</v>
      </c>
      <c r="D1012" t="s">
        <v>1916</v>
      </c>
      <c r="E1012" t="s">
        <v>63</v>
      </c>
      <c r="F1012" t="s">
        <v>22</v>
      </c>
      <c r="G1012" t="s">
        <v>23</v>
      </c>
      <c r="H1012" t="s">
        <v>2036</v>
      </c>
      <c r="I1012" s="1" t="s">
        <v>25</v>
      </c>
      <c r="J1012" s="1" t="s">
        <v>25</v>
      </c>
      <c r="K1012" s="1" t="s">
        <v>26</v>
      </c>
      <c r="L1012" s="1" t="s">
        <v>26</v>
      </c>
      <c r="M1012" s="1" t="s">
        <v>25</v>
      </c>
      <c r="N1012" s="1" t="s">
        <v>26</v>
      </c>
      <c r="O1012" s="1" t="s">
        <v>25</v>
      </c>
      <c r="P1012" s="1" t="s">
        <v>26</v>
      </c>
      <c r="Q1012" s="1" t="s">
        <v>26</v>
      </c>
      <c r="R1012" s="1" t="s">
        <v>25</v>
      </c>
      <c r="S1012" s="2">
        <v>0</v>
      </c>
    </row>
    <row r="1013" spans="1:19" x14ac:dyDescent="0.3">
      <c r="A1013" t="s">
        <v>2037</v>
      </c>
      <c r="B1013" s="5" t="e" cm="1">
        <f t="array" ref="B1013">MAX(#REF!,MIN(#REF!,#REF!+SUMPRODUCT(--(FoodData[[#This Row],[Healthy]:[Refined]]="Yes"),#REF!)+FoodData[[#This Row],[Adjust]]))</f>
        <v>#REF!</v>
      </c>
      <c r="C1013" s="1" t="e">
        <f>LOOKUP(FoodData[[#This Row],[Score]],#REF!,#REF!)</f>
        <v>#REF!</v>
      </c>
      <c r="D1013" t="s">
        <v>1916</v>
      </c>
      <c r="E1013" t="s">
        <v>63</v>
      </c>
      <c r="F1013" t="s">
        <v>22</v>
      </c>
      <c r="G1013" t="s">
        <v>23</v>
      </c>
      <c r="H1013" t="s">
        <v>2038</v>
      </c>
      <c r="I1013" s="1" t="s">
        <v>25</v>
      </c>
      <c r="J1013" s="1" t="s">
        <v>25</v>
      </c>
      <c r="K1013" s="1" t="s">
        <v>25</v>
      </c>
      <c r="L1013" s="1" t="s">
        <v>25</v>
      </c>
      <c r="M1013" s="1" t="s">
        <v>25</v>
      </c>
      <c r="N1013" s="1" t="s">
        <v>26</v>
      </c>
      <c r="O1013" s="1" t="s">
        <v>25</v>
      </c>
      <c r="P1013" s="1" t="s">
        <v>26</v>
      </c>
      <c r="Q1013" s="1" t="s">
        <v>25</v>
      </c>
      <c r="R1013" s="1" t="s">
        <v>25</v>
      </c>
      <c r="S1013" s="2">
        <v>0</v>
      </c>
    </row>
    <row r="1014" spans="1:19" x14ac:dyDescent="0.3">
      <c r="A1014" t="s">
        <v>2039</v>
      </c>
      <c r="B1014" s="5" t="e" cm="1">
        <f t="array" ref="B1014">MAX(#REF!,MIN(#REF!,#REF!+SUMPRODUCT(--(FoodData[[#This Row],[Healthy]:[Refined]]="Yes"),#REF!)+FoodData[[#This Row],[Adjust]]))</f>
        <v>#REF!</v>
      </c>
      <c r="C1014" s="1" t="e">
        <f>LOOKUP(FoodData[[#This Row],[Score]],#REF!,#REF!)</f>
        <v>#REF!</v>
      </c>
      <c r="D1014" t="s">
        <v>1916</v>
      </c>
      <c r="E1014" t="s">
        <v>63</v>
      </c>
      <c r="F1014" t="s">
        <v>22</v>
      </c>
      <c r="G1014" t="s">
        <v>489</v>
      </c>
      <c r="H1014" t="s">
        <v>2040</v>
      </c>
      <c r="I1014" s="1" t="s">
        <v>25</v>
      </c>
      <c r="J1014" s="1" t="s">
        <v>25</v>
      </c>
      <c r="K1014" s="1" t="s">
        <v>25</v>
      </c>
      <c r="L1014" s="1" t="s">
        <v>26</v>
      </c>
      <c r="M1014" s="1" t="s">
        <v>26</v>
      </c>
      <c r="N1014" s="1" t="s">
        <v>25</v>
      </c>
      <c r="O1014" s="1" t="s">
        <v>26</v>
      </c>
      <c r="P1014" s="1" t="s">
        <v>25</v>
      </c>
      <c r="Q1014" s="1" t="s">
        <v>25</v>
      </c>
      <c r="R1014" s="1" t="s">
        <v>25</v>
      </c>
      <c r="S1014" s="2">
        <v>0</v>
      </c>
    </row>
    <row r="1015" spans="1:19" x14ac:dyDescent="0.3">
      <c r="A1015" t="s">
        <v>2041</v>
      </c>
      <c r="B1015" s="5" t="e" cm="1">
        <f t="array" ref="B1015">MAX(#REF!,MIN(#REF!,#REF!+SUMPRODUCT(--(FoodData[[#This Row],[Healthy]:[Refined]]="Yes"),#REF!)+FoodData[[#This Row],[Adjust]]))</f>
        <v>#REF!</v>
      </c>
      <c r="C1015" s="1" t="e">
        <f>LOOKUP(FoodData[[#This Row],[Score]],#REF!,#REF!)</f>
        <v>#REF!</v>
      </c>
      <c r="D1015" t="s">
        <v>1916</v>
      </c>
      <c r="E1015" t="s">
        <v>63</v>
      </c>
      <c r="F1015" t="s">
        <v>22</v>
      </c>
      <c r="G1015" t="s">
        <v>489</v>
      </c>
      <c r="H1015" t="s">
        <v>2042</v>
      </c>
      <c r="I1015" s="1" t="s">
        <v>25</v>
      </c>
      <c r="J1015" s="1" t="s">
        <v>25</v>
      </c>
      <c r="K1015" s="1" t="s">
        <v>25</v>
      </c>
      <c r="L1015" s="1" t="s">
        <v>25</v>
      </c>
      <c r="M1015" s="1" t="s">
        <v>26</v>
      </c>
      <c r="N1015" s="1" t="s">
        <v>25</v>
      </c>
      <c r="O1015" s="1" t="s">
        <v>25</v>
      </c>
      <c r="P1015" s="1" t="s">
        <v>25</v>
      </c>
      <c r="Q1015" s="1" t="s">
        <v>26</v>
      </c>
      <c r="R1015" s="1" t="s">
        <v>26</v>
      </c>
      <c r="S1015" s="2">
        <v>0</v>
      </c>
    </row>
    <row r="1016" spans="1:19" x14ac:dyDescent="0.3">
      <c r="A1016" t="s">
        <v>2043</v>
      </c>
      <c r="B1016" s="5" t="e" cm="1">
        <f t="array" ref="B1016">MAX(#REF!,MIN(#REF!,#REF!+SUMPRODUCT(--(FoodData[[#This Row],[Healthy]:[Refined]]="Yes"),#REF!)+FoodData[[#This Row],[Adjust]]))</f>
        <v>#REF!</v>
      </c>
      <c r="C1016" s="1" t="e">
        <f>LOOKUP(FoodData[[#This Row],[Score]],#REF!,#REF!)</f>
        <v>#REF!</v>
      </c>
      <c r="D1016" t="s">
        <v>1916</v>
      </c>
      <c r="E1016" t="s">
        <v>63</v>
      </c>
      <c r="F1016" t="s">
        <v>22</v>
      </c>
      <c r="G1016" t="s">
        <v>23</v>
      </c>
      <c r="H1016" t="s">
        <v>2044</v>
      </c>
      <c r="I1016" s="1" t="s">
        <v>25</v>
      </c>
      <c r="J1016" s="1" t="s">
        <v>25</v>
      </c>
      <c r="K1016" s="1" t="s">
        <v>25</v>
      </c>
      <c r="L1016" s="1" t="s">
        <v>25</v>
      </c>
      <c r="M1016" s="1" t="s">
        <v>25</v>
      </c>
      <c r="N1016" s="1" t="s">
        <v>26</v>
      </c>
      <c r="O1016" s="1" t="s">
        <v>25</v>
      </c>
      <c r="P1016" s="1" t="s">
        <v>26</v>
      </c>
      <c r="Q1016" s="1" t="s">
        <v>25</v>
      </c>
      <c r="R1016" s="1" t="s">
        <v>25</v>
      </c>
      <c r="S1016" s="2">
        <v>0</v>
      </c>
    </row>
    <row r="1017" spans="1:19" x14ac:dyDescent="0.3">
      <c r="A1017" t="s">
        <v>2045</v>
      </c>
      <c r="B1017" s="5" t="e" cm="1">
        <f t="array" ref="B1017">MAX(#REF!,MIN(#REF!,#REF!+SUMPRODUCT(--(FoodData[[#This Row],[Healthy]:[Refined]]="Yes"),#REF!)+FoodData[[#This Row],[Adjust]]))</f>
        <v>#REF!</v>
      </c>
      <c r="C1017" s="1" t="e">
        <f>LOOKUP(FoodData[[#This Row],[Score]],#REF!,#REF!)</f>
        <v>#REF!</v>
      </c>
      <c r="D1017" t="s">
        <v>1916</v>
      </c>
      <c r="E1017" t="s">
        <v>21</v>
      </c>
      <c r="F1017" t="s">
        <v>60</v>
      </c>
      <c r="G1017" t="s">
        <v>489</v>
      </c>
      <c r="H1017" t="s">
        <v>2046</v>
      </c>
      <c r="I1017" s="1" t="s">
        <v>25</v>
      </c>
      <c r="J1017" s="1" t="s">
        <v>25</v>
      </c>
      <c r="K1017" s="1" t="s">
        <v>26</v>
      </c>
      <c r="L1017" s="1" t="s">
        <v>25</v>
      </c>
      <c r="M1017" s="1" t="s">
        <v>26</v>
      </c>
      <c r="N1017" s="1" t="s">
        <v>25</v>
      </c>
      <c r="O1017" s="1" t="s">
        <v>26</v>
      </c>
      <c r="P1017" s="1" t="s">
        <v>25</v>
      </c>
      <c r="Q1017" s="1" t="s">
        <v>26</v>
      </c>
      <c r="R1017" s="1" t="s">
        <v>26</v>
      </c>
      <c r="S1017" s="2">
        <v>0</v>
      </c>
    </row>
    <row r="1018" spans="1:19" x14ac:dyDescent="0.3">
      <c r="A1018" t="s">
        <v>2047</v>
      </c>
      <c r="B1018" s="5" t="e" cm="1">
        <f t="array" ref="B1018">MAX(#REF!,MIN(#REF!,#REF!+SUMPRODUCT(--(FoodData[[#This Row],[Healthy]:[Refined]]="Yes"),#REF!)+FoodData[[#This Row],[Adjust]]))</f>
        <v>#REF!</v>
      </c>
      <c r="C1018" s="1" t="e">
        <f>LOOKUP(FoodData[[#This Row],[Score]],#REF!,#REF!)</f>
        <v>#REF!</v>
      </c>
      <c r="D1018" t="s">
        <v>1916</v>
      </c>
      <c r="E1018" t="s">
        <v>63</v>
      </c>
      <c r="F1018" t="s">
        <v>22</v>
      </c>
      <c r="G1018" t="s">
        <v>23</v>
      </c>
      <c r="H1018" t="s">
        <v>2048</v>
      </c>
      <c r="I1018" s="1" t="s">
        <v>25</v>
      </c>
      <c r="J1018" s="1" t="s">
        <v>25</v>
      </c>
      <c r="K1018" s="1" t="s">
        <v>26</v>
      </c>
      <c r="L1018" s="1" t="s">
        <v>25</v>
      </c>
      <c r="M1018" s="1" t="s">
        <v>25</v>
      </c>
      <c r="N1018" s="1" t="s">
        <v>26</v>
      </c>
      <c r="O1018" s="1" t="s">
        <v>26</v>
      </c>
      <c r="P1018" s="1" t="s">
        <v>25</v>
      </c>
      <c r="Q1018" s="1" t="s">
        <v>25</v>
      </c>
      <c r="R1018" s="1" t="s">
        <v>26</v>
      </c>
      <c r="S1018" s="2">
        <v>0</v>
      </c>
    </row>
    <row r="1019" spans="1:19" x14ac:dyDescent="0.3">
      <c r="A1019" t="s">
        <v>2049</v>
      </c>
      <c r="B1019" s="5" t="e" cm="1">
        <f t="array" ref="B1019">MAX(#REF!,MIN(#REF!,#REF!+SUMPRODUCT(--(FoodData[[#This Row],[Healthy]:[Refined]]="Yes"),#REF!)+FoodData[[#This Row],[Adjust]]))</f>
        <v>#REF!</v>
      </c>
      <c r="C1019" s="1" t="e">
        <f>LOOKUP(FoodData[[#This Row],[Score]],#REF!,#REF!)</f>
        <v>#REF!</v>
      </c>
      <c r="D1019" t="s">
        <v>1916</v>
      </c>
      <c r="E1019" t="s">
        <v>63</v>
      </c>
      <c r="F1019" t="s">
        <v>22</v>
      </c>
      <c r="G1019" t="s">
        <v>489</v>
      </c>
      <c r="H1019" t="s">
        <v>2050</v>
      </c>
      <c r="I1019" s="1" t="s">
        <v>25</v>
      </c>
      <c r="J1019" s="1" t="s">
        <v>25</v>
      </c>
      <c r="K1019" s="1" t="s">
        <v>25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 t="s">
        <v>25</v>
      </c>
      <c r="Q1019" s="1" t="s">
        <v>25</v>
      </c>
      <c r="R1019" s="1" t="s">
        <v>26</v>
      </c>
      <c r="S1019" s="2">
        <v>0</v>
      </c>
    </row>
    <row r="1020" spans="1:19" x14ac:dyDescent="0.3">
      <c r="A1020" t="s">
        <v>2051</v>
      </c>
      <c r="B1020" s="5" t="e" cm="1">
        <f t="array" ref="B1020">MAX(#REF!,MIN(#REF!,#REF!+SUMPRODUCT(--(FoodData[[#This Row],[Healthy]:[Refined]]="Yes"),#REF!)+FoodData[[#This Row],[Adjust]]))</f>
        <v>#REF!</v>
      </c>
      <c r="C1020" s="1" t="e">
        <f>LOOKUP(FoodData[[#This Row],[Score]],#REF!,#REF!)</f>
        <v>#REF!</v>
      </c>
      <c r="D1020" t="s">
        <v>1916</v>
      </c>
      <c r="E1020" t="s">
        <v>63</v>
      </c>
      <c r="F1020" t="s">
        <v>22</v>
      </c>
      <c r="G1020" t="s">
        <v>29</v>
      </c>
      <c r="H1020" t="s">
        <v>2052</v>
      </c>
      <c r="I1020" s="1" t="s">
        <v>25</v>
      </c>
      <c r="J1020" s="1" t="s">
        <v>25</v>
      </c>
      <c r="K1020" s="1" t="s">
        <v>26</v>
      </c>
      <c r="L1020" s="1" t="s">
        <v>25</v>
      </c>
      <c r="M1020" s="1" t="s">
        <v>25</v>
      </c>
      <c r="N1020" s="1" t="s">
        <v>25</v>
      </c>
      <c r="O1020" s="1" t="s">
        <v>26</v>
      </c>
      <c r="P1020" s="1" t="s">
        <v>25</v>
      </c>
      <c r="Q1020" s="1" t="s">
        <v>25</v>
      </c>
      <c r="R1020" s="1" t="s">
        <v>25</v>
      </c>
      <c r="S1020" s="2">
        <v>0</v>
      </c>
    </row>
    <row r="1021" spans="1:19" x14ac:dyDescent="0.3">
      <c r="A1021" t="s">
        <v>2053</v>
      </c>
      <c r="B1021" s="5" t="e" cm="1">
        <f t="array" ref="B1021">MAX(#REF!,MIN(#REF!,#REF!+SUMPRODUCT(--(FoodData[[#This Row],[Healthy]:[Refined]]="Yes"),#REF!)+FoodData[[#This Row],[Adjust]]))</f>
        <v>#REF!</v>
      </c>
      <c r="C1021" s="1" t="e">
        <f>LOOKUP(FoodData[[#This Row],[Score]],#REF!,#REF!)</f>
        <v>#REF!</v>
      </c>
      <c r="D1021" t="s">
        <v>1916</v>
      </c>
      <c r="E1021" t="s">
        <v>63</v>
      </c>
      <c r="F1021" t="s">
        <v>22</v>
      </c>
      <c r="G1021" t="s">
        <v>489</v>
      </c>
      <c r="H1021" t="s">
        <v>2054</v>
      </c>
      <c r="I1021" s="1" t="s">
        <v>25</v>
      </c>
      <c r="J1021" s="1" t="s">
        <v>25</v>
      </c>
      <c r="K1021" s="1" t="s">
        <v>26</v>
      </c>
      <c r="L1021" s="1" t="s">
        <v>26</v>
      </c>
      <c r="M1021" s="1" t="s">
        <v>26</v>
      </c>
      <c r="N1021" s="1" t="s">
        <v>25</v>
      </c>
      <c r="O1021" s="1" t="s">
        <v>25</v>
      </c>
      <c r="P1021" s="1" t="s">
        <v>25</v>
      </c>
      <c r="Q1021" s="1" t="s">
        <v>25</v>
      </c>
      <c r="R1021" s="1" t="s">
        <v>25</v>
      </c>
      <c r="S1021" s="2">
        <v>0</v>
      </c>
    </row>
    <row r="1022" spans="1:19" x14ac:dyDescent="0.3">
      <c r="A1022" t="s">
        <v>2055</v>
      </c>
      <c r="B1022" s="5" t="e" cm="1">
        <f t="array" ref="B1022">MAX(#REF!,MIN(#REF!,#REF!+SUMPRODUCT(--(FoodData[[#This Row],[Healthy]:[Refined]]="Yes"),#REF!)+FoodData[[#This Row],[Adjust]]))</f>
        <v>#REF!</v>
      </c>
      <c r="C1022" s="1" t="e">
        <f>LOOKUP(FoodData[[#This Row],[Score]],#REF!,#REF!)</f>
        <v>#REF!</v>
      </c>
      <c r="D1022" t="s">
        <v>1916</v>
      </c>
      <c r="E1022" t="s">
        <v>63</v>
      </c>
      <c r="F1022" t="s">
        <v>22</v>
      </c>
      <c r="G1022" t="s">
        <v>23</v>
      </c>
      <c r="H1022" t="s">
        <v>2056</v>
      </c>
      <c r="I1022" s="1" t="s">
        <v>25</v>
      </c>
      <c r="J1022" s="1" t="s">
        <v>25</v>
      </c>
      <c r="K1022" s="1" t="s">
        <v>26</v>
      </c>
      <c r="L1022" s="1" t="s">
        <v>25</v>
      </c>
      <c r="M1022" s="1" t="s">
        <v>25</v>
      </c>
      <c r="N1022" s="1" t="s">
        <v>26</v>
      </c>
      <c r="O1022" s="1" t="s">
        <v>25</v>
      </c>
      <c r="P1022" s="1" t="s">
        <v>26</v>
      </c>
      <c r="Q1022" s="1" t="s">
        <v>25</v>
      </c>
      <c r="R1022" s="1" t="s">
        <v>25</v>
      </c>
      <c r="S1022" s="2">
        <v>0</v>
      </c>
    </row>
    <row r="1023" spans="1:19" x14ac:dyDescent="0.3">
      <c r="A1023" t="s">
        <v>2057</v>
      </c>
      <c r="B1023" s="5" t="e" cm="1">
        <f t="array" ref="B1023">MAX(#REF!,MIN(#REF!,#REF!+SUMPRODUCT(--(FoodData[[#This Row],[Healthy]:[Refined]]="Yes"),#REF!)+FoodData[[#This Row],[Adjust]]))</f>
        <v>#REF!</v>
      </c>
      <c r="C1023" s="1" t="e">
        <f>LOOKUP(FoodData[[#This Row],[Score]],#REF!,#REF!)</f>
        <v>#REF!</v>
      </c>
      <c r="D1023" t="s">
        <v>1916</v>
      </c>
      <c r="E1023" t="s">
        <v>556</v>
      </c>
      <c r="F1023" t="s">
        <v>22</v>
      </c>
      <c r="G1023" t="s">
        <v>489</v>
      </c>
      <c r="H1023" t="s">
        <v>2058</v>
      </c>
      <c r="I1023" s="1" t="s">
        <v>25</v>
      </c>
      <c r="J1023" s="1" t="s">
        <v>25</v>
      </c>
      <c r="K1023" s="1" t="s">
        <v>25</v>
      </c>
      <c r="L1023" s="1" t="s">
        <v>25</v>
      </c>
      <c r="M1023" s="1" t="s">
        <v>26</v>
      </c>
      <c r="N1023" s="1" t="s">
        <v>25</v>
      </c>
      <c r="O1023" s="1" t="s">
        <v>26</v>
      </c>
      <c r="P1023" s="1" t="s">
        <v>25</v>
      </c>
      <c r="Q1023" s="1" t="s">
        <v>26</v>
      </c>
      <c r="R1023" s="1" t="s">
        <v>26</v>
      </c>
      <c r="S1023" s="2">
        <v>0</v>
      </c>
    </row>
    <row r="1024" spans="1:19" x14ac:dyDescent="0.3">
      <c r="A1024" t="s">
        <v>2059</v>
      </c>
      <c r="B1024" s="5" t="e" cm="1">
        <f t="array" ref="B1024">MAX(#REF!,MIN(#REF!,#REF!+SUMPRODUCT(--(FoodData[[#This Row],[Healthy]:[Refined]]="Yes"),#REF!)+FoodData[[#This Row],[Adjust]]))</f>
        <v>#REF!</v>
      </c>
      <c r="C1024" s="1" t="e">
        <f>LOOKUP(FoodData[[#This Row],[Score]],#REF!,#REF!)</f>
        <v>#REF!</v>
      </c>
      <c r="D1024" t="s">
        <v>1916</v>
      </c>
      <c r="E1024" t="s">
        <v>63</v>
      </c>
      <c r="F1024" t="s">
        <v>22</v>
      </c>
      <c r="G1024" t="s">
        <v>29</v>
      </c>
      <c r="H1024" t="s">
        <v>2060</v>
      </c>
      <c r="I1024" s="1" t="s">
        <v>26</v>
      </c>
      <c r="J1024" s="1" t="s">
        <v>26</v>
      </c>
      <c r="K1024" s="1" t="s">
        <v>26</v>
      </c>
      <c r="L1024" s="1" t="s">
        <v>25</v>
      </c>
      <c r="M1024" s="1" t="s">
        <v>25</v>
      </c>
      <c r="N1024" s="1" t="s">
        <v>25</v>
      </c>
      <c r="O1024" s="1" t="s">
        <v>25</v>
      </c>
      <c r="P1024" s="1" t="s">
        <v>25</v>
      </c>
      <c r="Q1024" s="1" t="s">
        <v>25</v>
      </c>
      <c r="R1024" s="1" t="s">
        <v>25</v>
      </c>
      <c r="S1024" s="2">
        <v>0</v>
      </c>
    </row>
    <row r="1025" spans="1:19" x14ac:dyDescent="0.3">
      <c r="A1025" t="s">
        <v>2061</v>
      </c>
      <c r="B1025" s="5" t="e" cm="1">
        <f t="array" ref="B1025">MAX(#REF!,MIN(#REF!,#REF!+SUMPRODUCT(--(FoodData[[#This Row],[Healthy]:[Refined]]="Yes"),#REF!)+FoodData[[#This Row],[Adjust]]))</f>
        <v>#REF!</v>
      </c>
      <c r="C1025" s="1" t="e">
        <f>LOOKUP(FoodData[[#This Row],[Score]],#REF!,#REF!)</f>
        <v>#REF!</v>
      </c>
      <c r="D1025" t="s">
        <v>1916</v>
      </c>
      <c r="E1025" t="s">
        <v>556</v>
      </c>
      <c r="F1025" t="s">
        <v>22</v>
      </c>
      <c r="G1025" t="s">
        <v>489</v>
      </c>
      <c r="H1025" t="s">
        <v>2062</v>
      </c>
      <c r="I1025" s="1" t="s">
        <v>25</v>
      </c>
      <c r="J1025" s="1" t="s">
        <v>25</v>
      </c>
      <c r="K1025" s="1" t="s">
        <v>25</v>
      </c>
      <c r="L1025" s="1" t="s">
        <v>25</v>
      </c>
      <c r="M1025" s="1" t="s">
        <v>26</v>
      </c>
      <c r="N1025" s="1" t="s">
        <v>25</v>
      </c>
      <c r="O1025" s="1" t="s">
        <v>26</v>
      </c>
      <c r="P1025" s="1" t="s">
        <v>25</v>
      </c>
      <c r="Q1025" s="1" t="s">
        <v>25</v>
      </c>
      <c r="R1025" s="1" t="s">
        <v>26</v>
      </c>
      <c r="S1025" s="2">
        <v>0</v>
      </c>
    </row>
    <row r="1026" spans="1:19" x14ac:dyDescent="0.3">
      <c r="A1026" t="s">
        <v>2063</v>
      </c>
      <c r="B1026" s="5" t="e" cm="1">
        <f t="array" ref="B1026">MAX(#REF!,MIN(#REF!,#REF!+SUMPRODUCT(--(FoodData[[#This Row],[Healthy]:[Refined]]="Yes"),#REF!)+FoodData[[#This Row],[Adjust]]))</f>
        <v>#REF!</v>
      </c>
      <c r="C1026" s="1" t="e">
        <f>LOOKUP(FoodData[[#This Row],[Score]],#REF!,#REF!)</f>
        <v>#REF!</v>
      </c>
      <c r="D1026" t="s">
        <v>1916</v>
      </c>
      <c r="E1026" t="s">
        <v>63</v>
      </c>
      <c r="F1026" t="s">
        <v>22</v>
      </c>
      <c r="G1026" t="s">
        <v>29</v>
      </c>
      <c r="H1026" t="s">
        <v>2064</v>
      </c>
      <c r="I1026" s="1" t="s">
        <v>25</v>
      </c>
      <c r="J1026" s="1" t="s">
        <v>25</v>
      </c>
      <c r="K1026" s="1" t="s">
        <v>25</v>
      </c>
      <c r="L1026" s="1" t="s">
        <v>26</v>
      </c>
      <c r="M1026" s="1" t="s">
        <v>25</v>
      </c>
      <c r="N1026" s="1" t="s">
        <v>25</v>
      </c>
      <c r="O1026" s="1" t="s">
        <v>26</v>
      </c>
      <c r="P1026" s="1" t="s">
        <v>25</v>
      </c>
      <c r="Q1026" s="1" t="s">
        <v>25</v>
      </c>
      <c r="R1026" s="1" t="s">
        <v>25</v>
      </c>
      <c r="S1026" s="2">
        <v>0</v>
      </c>
    </row>
    <row r="1027" spans="1:19" x14ac:dyDescent="0.3">
      <c r="A1027" t="s">
        <v>2065</v>
      </c>
      <c r="B1027" s="5" t="e" cm="1">
        <f t="array" ref="B1027">MAX(#REF!,MIN(#REF!,#REF!+SUMPRODUCT(--(FoodData[[#This Row],[Healthy]:[Refined]]="Yes"),#REF!)+FoodData[[#This Row],[Adjust]]))</f>
        <v>#REF!</v>
      </c>
      <c r="C1027" s="1" t="e">
        <f>LOOKUP(FoodData[[#This Row],[Score]],#REF!,#REF!)</f>
        <v>#REF!</v>
      </c>
      <c r="D1027" t="s">
        <v>1916</v>
      </c>
      <c r="E1027" t="s">
        <v>63</v>
      </c>
      <c r="F1027" t="s">
        <v>22</v>
      </c>
      <c r="G1027" t="s">
        <v>23</v>
      </c>
      <c r="H1027" t="s">
        <v>2015</v>
      </c>
      <c r="I1027" s="1" t="s">
        <v>25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26</v>
      </c>
      <c r="O1027" s="1" t="s">
        <v>25</v>
      </c>
      <c r="P1027" s="1" t="s">
        <v>26</v>
      </c>
      <c r="Q1027" s="1" t="s">
        <v>26</v>
      </c>
      <c r="R1027" s="1" t="s">
        <v>25</v>
      </c>
      <c r="S1027" s="2">
        <v>0</v>
      </c>
    </row>
    <row r="1028" spans="1:19" x14ac:dyDescent="0.3">
      <c r="A1028" t="s">
        <v>2066</v>
      </c>
      <c r="B1028" s="5" t="e" cm="1">
        <f t="array" ref="B1028">MAX(#REF!,MIN(#REF!,#REF!+SUMPRODUCT(--(FoodData[[#This Row],[Healthy]:[Refined]]="Yes"),#REF!)+FoodData[[#This Row],[Adjust]]))</f>
        <v>#REF!</v>
      </c>
      <c r="C1028" s="1" t="e">
        <f>LOOKUP(FoodData[[#This Row],[Score]],#REF!,#REF!)</f>
        <v>#REF!</v>
      </c>
      <c r="D1028" t="s">
        <v>1916</v>
      </c>
      <c r="E1028" t="s">
        <v>63</v>
      </c>
      <c r="F1028" t="s">
        <v>22</v>
      </c>
      <c r="G1028" t="s">
        <v>29</v>
      </c>
      <c r="H1028" t="s">
        <v>2067</v>
      </c>
      <c r="I1028" s="1" t="s">
        <v>25</v>
      </c>
      <c r="J1028" s="1" t="s">
        <v>25</v>
      </c>
      <c r="K1028" s="1" t="s">
        <v>25</v>
      </c>
      <c r="L1028" s="1" t="s">
        <v>25</v>
      </c>
      <c r="M1028" s="1" t="s">
        <v>25</v>
      </c>
      <c r="N1028" s="1" t="s">
        <v>25</v>
      </c>
      <c r="O1028" s="1" t="s">
        <v>26</v>
      </c>
      <c r="P1028" s="1" t="s">
        <v>25</v>
      </c>
      <c r="Q1028" s="1" t="s">
        <v>26</v>
      </c>
      <c r="R1028" s="1" t="s">
        <v>25</v>
      </c>
      <c r="S1028" s="2">
        <v>0</v>
      </c>
    </row>
    <row r="1029" spans="1:19" x14ac:dyDescent="0.3">
      <c r="A1029" t="s">
        <v>2068</v>
      </c>
      <c r="B1029" s="5" t="e" cm="1">
        <f t="array" ref="B1029">MAX(#REF!,MIN(#REF!,#REF!+SUMPRODUCT(--(FoodData[[#This Row],[Healthy]:[Refined]]="Yes"),#REF!)+FoodData[[#This Row],[Adjust]]))</f>
        <v>#REF!</v>
      </c>
      <c r="C1029" s="1" t="e">
        <f>LOOKUP(FoodData[[#This Row],[Score]],#REF!,#REF!)</f>
        <v>#REF!</v>
      </c>
      <c r="D1029" t="s">
        <v>1916</v>
      </c>
      <c r="E1029" t="s">
        <v>63</v>
      </c>
      <c r="F1029" t="s">
        <v>22</v>
      </c>
      <c r="G1029" t="s">
        <v>489</v>
      </c>
      <c r="H1029" t="s">
        <v>2069</v>
      </c>
      <c r="I1029" s="1" t="s">
        <v>25</v>
      </c>
      <c r="J1029" s="1" t="s">
        <v>25</v>
      </c>
      <c r="K1029" s="1" t="s">
        <v>25</v>
      </c>
      <c r="L1029" s="1" t="s">
        <v>26</v>
      </c>
      <c r="M1029" s="1" t="s">
        <v>26</v>
      </c>
      <c r="N1029" s="1" t="s">
        <v>25</v>
      </c>
      <c r="O1029" s="1" t="s">
        <v>25</v>
      </c>
      <c r="P1029" s="1" t="s">
        <v>25</v>
      </c>
      <c r="Q1029" s="1" t="s">
        <v>25</v>
      </c>
      <c r="R1029" s="1" t="s">
        <v>25</v>
      </c>
      <c r="S1029" s="2">
        <v>0</v>
      </c>
    </row>
    <row r="1030" spans="1:19" x14ac:dyDescent="0.3">
      <c r="A1030" t="s">
        <v>2070</v>
      </c>
      <c r="B1030" s="5" t="e" cm="1">
        <f t="array" ref="B1030">MAX(#REF!,MIN(#REF!,#REF!+SUMPRODUCT(--(FoodData[[#This Row],[Healthy]:[Refined]]="Yes"),#REF!)+FoodData[[#This Row],[Adjust]]))</f>
        <v>#REF!</v>
      </c>
      <c r="C1030" s="1" t="e">
        <f>LOOKUP(FoodData[[#This Row],[Score]],#REF!,#REF!)</f>
        <v>#REF!</v>
      </c>
      <c r="D1030" t="s">
        <v>1916</v>
      </c>
      <c r="E1030" t="s">
        <v>63</v>
      </c>
      <c r="F1030" t="s">
        <v>22</v>
      </c>
      <c r="G1030" t="s">
        <v>489</v>
      </c>
      <c r="H1030" t="s">
        <v>2071</v>
      </c>
      <c r="I1030" s="1" t="s">
        <v>25</v>
      </c>
      <c r="J1030" s="1" t="s">
        <v>25</v>
      </c>
      <c r="K1030" s="1" t="s">
        <v>25</v>
      </c>
      <c r="L1030" s="1" t="s">
        <v>26</v>
      </c>
      <c r="M1030" s="1" t="s">
        <v>26</v>
      </c>
      <c r="N1030" s="1" t="s">
        <v>25</v>
      </c>
      <c r="O1030" s="1" t="s">
        <v>25</v>
      </c>
      <c r="P1030" s="1" t="s">
        <v>25</v>
      </c>
      <c r="Q1030" s="1" t="s">
        <v>25</v>
      </c>
      <c r="R1030" s="1" t="s">
        <v>25</v>
      </c>
      <c r="S1030" s="2">
        <v>0</v>
      </c>
    </row>
    <row r="1031" spans="1:19" x14ac:dyDescent="0.3">
      <c r="A1031" t="s">
        <v>2072</v>
      </c>
      <c r="B1031" s="5" t="e" cm="1">
        <f t="array" ref="B1031">MAX(#REF!,MIN(#REF!,#REF!+SUMPRODUCT(--(FoodData[[#This Row],[Healthy]:[Refined]]="Yes"),#REF!)+FoodData[[#This Row],[Adjust]]))</f>
        <v>#REF!</v>
      </c>
      <c r="C1031" s="1" t="e">
        <f>LOOKUP(FoodData[[#This Row],[Score]],#REF!,#REF!)</f>
        <v>#REF!</v>
      </c>
      <c r="D1031" t="s">
        <v>1916</v>
      </c>
      <c r="E1031" t="s">
        <v>556</v>
      </c>
      <c r="F1031" t="s">
        <v>22</v>
      </c>
      <c r="G1031" t="s">
        <v>489</v>
      </c>
      <c r="H1031" t="s">
        <v>2073</v>
      </c>
      <c r="I1031" s="1" t="s">
        <v>25</v>
      </c>
      <c r="J1031" s="1" t="s">
        <v>25</v>
      </c>
      <c r="K1031" s="1" t="s">
        <v>25</v>
      </c>
      <c r="L1031" s="1" t="s">
        <v>25</v>
      </c>
      <c r="M1031" s="1" t="s">
        <v>26</v>
      </c>
      <c r="N1031" s="1" t="s">
        <v>25</v>
      </c>
      <c r="O1031" s="1" t="s">
        <v>26</v>
      </c>
      <c r="P1031" s="1" t="s">
        <v>25</v>
      </c>
      <c r="Q1031" s="1" t="s">
        <v>26</v>
      </c>
      <c r="R1031" s="1" t="s">
        <v>26</v>
      </c>
      <c r="S1031" s="2">
        <v>0</v>
      </c>
    </row>
    <row r="1032" spans="1:19" x14ac:dyDescent="0.3">
      <c r="A1032" t="s">
        <v>2074</v>
      </c>
      <c r="B1032" s="5" t="e" cm="1">
        <f t="array" ref="B1032">MAX(#REF!,MIN(#REF!,#REF!+SUMPRODUCT(--(FoodData[[#This Row],[Healthy]:[Refined]]="Yes"),#REF!)+FoodData[[#This Row],[Adjust]]))</f>
        <v>#REF!</v>
      </c>
      <c r="C1032" s="1" t="e">
        <f>LOOKUP(FoodData[[#This Row],[Score]],#REF!,#REF!)</f>
        <v>#REF!</v>
      </c>
      <c r="D1032" t="s">
        <v>1916</v>
      </c>
      <c r="E1032" t="s">
        <v>63</v>
      </c>
      <c r="F1032" t="s">
        <v>22</v>
      </c>
      <c r="G1032" t="s">
        <v>29</v>
      </c>
      <c r="H1032" t="s">
        <v>2075</v>
      </c>
      <c r="I1032" s="1" t="s">
        <v>26</v>
      </c>
      <c r="J1032" s="1" t="s">
        <v>25</v>
      </c>
      <c r="K1032" s="1" t="s">
        <v>26</v>
      </c>
      <c r="L1032" s="1" t="s">
        <v>25</v>
      </c>
      <c r="M1032" s="1" t="s">
        <v>25</v>
      </c>
      <c r="N1032" s="1" t="s">
        <v>25</v>
      </c>
      <c r="O1032" s="1" t="s">
        <v>25</v>
      </c>
      <c r="P1032" s="1" t="s">
        <v>25</v>
      </c>
      <c r="Q1032" s="1" t="s">
        <v>25</v>
      </c>
      <c r="R1032" s="1" t="s">
        <v>25</v>
      </c>
      <c r="S1032" s="2">
        <v>0</v>
      </c>
    </row>
    <row r="1033" spans="1:19" x14ac:dyDescent="0.3">
      <c r="A1033" t="s">
        <v>2076</v>
      </c>
      <c r="B1033" s="5" t="e" cm="1">
        <f t="array" ref="B1033">MAX(#REF!,MIN(#REF!,#REF!+SUMPRODUCT(--(FoodData[[#This Row],[Healthy]:[Refined]]="Yes"),#REF!)+FoodData[[#This Row],[Adjust]]))</f>
        <v>#REF!</v>
      </c>
      <c r="C1033" s="1" t="e">
        <f>LOOKUP(FoodData[[#This Row],[Score]],#REF!,#REF!)</f>
        <v>#REF!</v>
      </c>
      <c r="D1033" t="s">
        <v>1916</v>
      </c>
      <c r="E1033" t="s">
        <v>63</v>
      </c>
      <c r="F1033" t="s">
        <v>22</v>
      </c>
      <c r="G1033" t="s">
        <v>489</v>
      </c>
      <c r="H1033" t="s">
        <v>2077</v>
      </c>
      <c r="I1033" s="1" t="s">
        <v>25</v>
      </c>
      <c r="J1033" s="1" t="s">
        <v>25</v>
      </c>
      <c r="K1033" s="1" t="s">
        <v>25</v>
      </c>
      <c r="L1033" s="1" t="s">
        <v>25</v>
      </c>
      <c r="M1033" s="1" t="s">
        <v>26</v>
      </c>
      <c r="N1033" s="1" t="s">
        <v>25</v>
      </c>
      <c r="O1033" s="1" t="s">
        <v>25</v>
      </c>
      <c r="P1033" s="1" t="s">
        <v>25</v>
      </c>
      <c r="Q1033" s="1" t="s">
        <v>25</v>
      </c>
      <c r="R1033" s="1" t="s">
        <v>26</v>
      </c>
      <c r="S1033" s="2">
        <v>0</v>
      </c>
    </row>
    <row r="1034" spans="1:19" x14ac:dyDescent="0.3">
      <c r="A1034" t="s">
        <v>2078</v>
      </c>
      <c r="B1034" s="5" t="e" cm="1">
        <f t="array" ref="B1034">MAX(#REF!,MIN(#REF!,#REF!+SUMPRODUCT(--(FoodData[[#This Row],[Healthy]:[Refined]]="Yes"),#REF!)+FoodData[[#This Row],[Adjust]]))</f>
        <v>#REF!</v>
      </c>
      <c r="C1034" s="1" t="e">
        <f>LOOKUP(FoodData[[#This Row],[Score]],#REF!,#REF!)</f>
        <v>#REF!</v>
      </c>
      <c r="D1034" t="s">
        <v>1916</v>
      </c>
      <c r="E1034" t="s">
        <v>63</v>
      </c>
      <c r="F1034" t="s">
        <v>22</v>
      </c>
      <c r="G1034" t="s">
        <v>29</v>
      </c>
      <c r="H1034" t="s">
        <v>2079</v>
      </c>
      <c r="I1034" s="1" t="s">
        <v>25</v>
      </c>
      <c r="J1034" s="1" t="s">
        <v>25</v>
      </c>
      <c r="K1034" s="1" t="s">
        <v>26</v>
      </c>
      <c r="L1034" s="1" t="s">
        <v>25</v>
      </c>
      <c r="M1034" s="1" t="s">
        <v>25</v>
      </c>
      <c r="N1034" s="1" t="s">
        <v>26</v>
      </c>
      <c r="O1034" s="1" t="s">
        <v>25</v>
      </c>
      <c r="P1034" s="1" t="s">
        <v>25</v>
      </c>
      <c r="Q1034" s="1" t="s">
        <v>25</v>
      </c>
      <c r="R1034" s="1" t="s">
        <v>25</v>
      </c>
      <c r="S1034" s="2">
        <v>0</v>
      </c>
    </row>
    <row r="1035" spans="1:19" x14ac:dyDescent="0.3">
      <c r="A1035" t="s">
        <v>2080</v>
      </c>
      <c r="B1035" s="5" t="e" cm="1">
        <f t="array" ref="B1035">MAX(#REF!,MIN(#REF!,#REF!+SUMPRODUCT(--(FoodData[[#This Row],[Healthy]:[Refined]]="Yes"),#REF!)+FoodData[[#This Row],[Adjust]]))</f>
        <v>#REF!</v>
      </c>
      <c r="C1035" s="1" t="e">
        <f>LOOKUP(FoodData[[#This Row],[Score]],#REF!,#REF!)</f>
        <v>#REF!</v>
      </c>
      <c r="D1035" t="s">
        <v>1916</v>
      </c>
      <c r="E1035" t="s">
        <v>63</v>
      </c>
      <c r="F1035" t="s">
        <v>22</v>
      </c>
      <c r="G1035" t="s">
        <v>489</v>
      </c>
      <c r="H1035" t="s">
        <v>2081</v>
      </c>
      <c r="I1035" s="1" t="s">
        <v>25</v>
      </c>
      <c r="J1035" s="1" t="s">
        <v>25</v>
      </c>
      <c r="K1035" s="1" t="s">
        <v>25</v>
      </c>
      <c r="L1035" s="1" t="s">
        <v>26</v>
      </c>
      <c r="M1035" s="1" t="s">
        <v>26</v>
      </c>
      <c r="N1035" s="1" t="s">
        <v>25</v>
      </c>
      <c r="O1035" s="1" t="s">
        <v>25</v>
      </c>
      <c r="P1035" s="1" t="s">
        <v>25</v>
      </c>
      <c r="Q1035" s="1" t="s">
        <v>25</v>
      </c>
      <c r="R1035" s="1" t="s">
        <v>25</v>
      </c>
      <c r="S1035" s="2">
        <v>0</v>
      </c>
    </row>
    <row r="1036" spans="1:19" x14ac:dyDescent="0.3">
      <c r="A1036" t="s">
        <v>2082</v>
      </c>
      <c r="B1036" s="5" t="e" cm="1">
        <f t="array" ref="B1036">MAX(#REF!,MIN(#REF!,#REF!+SUMPRODUCT(--(FoodData[[#This Row],[Healthy]:[Refined]]="Yes"),#REF!)+FoodData[[#This Row],[Adjust]]))</f>
        <v>#REF!</v>
      </c>
      <c r="C1036" s="1" t="e">
        <f>LOOKUP(FoodData[[#This Row],[Score]],#REF!,#REF!)</f>
        <v>#REF!</v>
      </c>
      <c r="D1036" t="s">
        <v>1916</v>
      </c>
      <c r="E1036" t="s">
        <v>63</v>
      </c>
      <c r="F1036" t="s">
        <v>22</v>
      </c>
      <c r="G1036" t="s">
        <v>29</v>
      </c>
      <c r="H1036" t="s">
        <v>2083</v>
      </c>
      <c r="I1036" s="1" t="s">
        <v>25</v>
      </c>
      <c r="J1036" s="1" t="s">
        <v>25</v>
      </c>
      <c r="K1036" s="1" t="s">
        <v>25</v>
      </c>
      <c r="L1036" s="1" t="s">
        <v>26</v>
      </c>
      <c r="M1036" s="1" t="s">
        <v>25</v>
      </c>
      <c r="N1036" s="1" t="s">
        <v>25</v>
      </c>
      <c r="O1036" s="1" t="s">
        <v>25</v>
      </c>
      <c r="P1036" s="1" t="s">
        <v>25</v>
      </c>
      <c r="Q1036" s="1" t="s">
        <v>25</v>
      </c>
      <c r="R1036" s="1" t="s">
        <v>25</v>
      </c>
      <c r="S1036" s="2">
        <v>0</v>
      </c>
    </row>
    <row r="1037" spans="1:19" x14ac:dyDescent="0.3">
      <c r="A1037" t="s">
        <v>2084</v>
      </c>
      <c r="B1037" s="5" t="e" cm="1">
        <f t="array" ref="B1037">MAX(#REF!,MIN(#REF!,#REF!+SUMPRODUCT(--(FoodData[[#This Row],[Healthy]:[Refined]]="Yes"),#REF!)+FoodData[[#This Row],[Adjust]]))</f>
        <v>#REF!</v>
      </c>
      <c r="C1037" s="1" t="e">
        <f>LOOKUP(FoodData[[#This Row],[Score]],#REF!,#REF!)</f>
        <v>#REF!</v>
      </c>
      <c r="D1037" t="s">
        <v>1916</v>
      </c>
      <c r="E1037" t="s">
        <v>63</v>
      </c>
      <c r="F1037" t="s">
        <v>22</v>
      </c>
      <c r="G1037" t="s">
        <v>29</v>
      </c>
      <c r="H1037" t="s">
        <v>2085</v>
      </c>
      <c r="I1037" s="1" t="s">
        <v>25</v>
      </c>
      <c r="J1037" s="1" t="s">
        <v>25</v>
      </c>
      <c r="K1037" s="1" t="s">
        <v>25</v>
      </c>
      <c r="L1037" s="1" t="s">
        <v>25</v>
      </c>
      <c r="M1037" s="1" t="s">
        <v>25</v>
      </c>
      <c r="N1037" s="1" t="s">
        <v>26</v>
      </c>
      <c r="O1037" s="1" t="s">
        <v>25</v>
      </c>
      <c r="P1037" s="1" t="s">
        <v>26</v>
      </c>
      <c r="Q1037" s="1" t="s">
        <v>25</v>
      </c>
      <c r="R1037" s="1" t="s">
        <v>25</v>
      </c>
      <c r="S1037" s="2">
        <v>0</v>
      </c>
    </row>
    <row r="1038" spans="1:19" x14ac:dyDescent="0.3">
      <c r="A1038" t="s">
        <v>2086</v>
      </c>
      <c r="B1038" s="5" t="e" cm="1">
        <f t="array" ref="B1038">MAX(#REF!,MIN(#REF!,#REF!+SUMPRODUCT(--(FoodData[[#This Row],[Healthy]:[Refined]]="Yes"),#REF!)+FoodData[[#This Row],[Adjust]]))</f>
        <v>#REF!</v>
      </c>
      <c r="C1038" s="1" t="e">
        <f>LOOKUP(FoodData[[#This Row],[Score]],#REF!,#REF!)</f>
        <v>#REF!</v>
      </c>
      <c r="D1038" t="s">
        <v>1916</v>
      </c>
      <c r="E1038" t="s">
        <v>63</v>
      </c>
      <c r="F1038" t="s">
        <v>22</v>
      </c>
      <c r="G1038" t="s">
        <v>489</v>
      </c>
      <c r="H1038" t="s">
        <v>2087</v>
      </c>
      <c r="I1038" s="1" t="s">
        <v>25</v>
      </c>
      <c r="J1038" s="1" t="s">
        <v>25</v>
      </c>
      <c r="K1038" s="1" t="s">
        <v>25</v>
      </c>
      <c r="L1038" s="1" t="s">
        <v>25</v>
      </c>
      <c r="M1038" s="1" t="s">
        <v>26</v>
      </c>
      <c r="N1038" s="1" t="s">
        <v>25</v>
      </c>
      <c r="O1038" s="1" t="s">
        <v>25</v>
      </c>
      <c r="P1038" s="1" t="s">
        <v>25</v>
      </c>
      <c r="Q1038" s="1" t="s">
        <v>26</v>
      </c>
      <c r="R1038" s="1" t="s">
        <v>25</v>
      </c>
      <c r="S1038" s="2">
        <v>0</v>
      </c>
    </row>
    <row r="1039" spans="1:19" x14ac:dyDescent="0.3">
      <c r="A1039" t="s">
        <v>2088</v>
      </c>
      <c r="B1039" s="5" t="e" cm="1">
        <f t="array" ref="B1039">MAX(#REF!,MIN(#REF!,#REF!+SUMPRODUCT(--(FoodData[[#This Row],[Healthy]:[Refined]]="Yes"),#REF!)+FoodData[[#This Row],[Adjust]]))</f>
        <v>#REF!</v>
      </c>
      <c r="C1039" s="1" t="e">
        <f>LOOKUP(FoodData[[#This Row],[Score]],#REF!,#REF!)</f>
        <v>#REF!</v>
      </c>
      <c r="D1039" t="s">
        <v>1916</v>
      </c>
      <c r="E1039" t="s">
        <v>63</v>
      </c>
      <c r="F1039" t="s">
        <v>22</v>
      </c>
      <c r="G1039" t="s">
        <v>23</v>
      </c>
      <c r="H1039" t="s">
        <v>2089</v>
      </c>
      <c r="I1039" s="1" t="s">
        <v>25</v>
      </c>
      <c r="J1039" s="1" t="s">
        <v>25</v>
      </c>
      <c r="K1039" s="1" t="s">
        <v>25</v>
      </c>
      <c r="L1039" s="1" t="s">
        <v>26</v>
      </c>
      <c r="M1039" s="1" t="s">
        <v>25</v>
      </c>
      <c r="N1039" s="1" t="s">
        <v>26</v>
      </c>
      <c r="O1039" s="1" t="s">
        <v>25</v>
      </c>
      <c r="P1039" s="1" t="s">
        <v>26</v>
      </c>
      <c r="Q1039" s="1" t="s">
        <v>26</v>
      </c>
      <c r="R1039" s="1" t="s">
        <v>26</v>
      </c>
      <c r="S1039" s="2">
        <v>0</v>
      </c>
    </row>
    <row r="1040" spans="1:19" x14ac:dyDescent="0.3">
      <c r="A1040" t="s">
        <v>2090</v>
      </c>
      <c r="B1040" s="5" t="e" cm="1">
        <f t="array" ref="B1040">MAX(#REF!,MIN(#REF!,#REF!+SUMPRODUCT(--(FoodData[[#This Row],[Healthy]:[Refined]]="Yes"),#REF!)+FoodData[[#This Row],[Adjust]]))</f>
        <v>#REF!</v>
      </c>
      <c r="C1040" s="1" t="e">
        <f>LOOKUP(FoodData[[#This Row],[Score]],#REF!,#REF!)</f>
        <v>#REF!</v>
      </c>
      <c r="D1040" t="s">
        <v>1916</v>
      </c>
      <c r="E1040" t="s">
        <v>63</v>
      </c>
      <c r="F1040" t="s">
        <v>22</v>
      </c>
      <c r="G1040" t="s">
        <v>23</v>
      </c>
      <c r="H1040" t="s">
        <v>2091</v>
      </c>
      <c r="I1040" s="1" t="s">
        <v>25</v>
      </c>
      <c r="J1040" s="1" t="s">
        <v>25</v>
      </c>
      <c r="K1040" s="1" t="s">
        <v>25</v>
      </c>
      <c r="L1040" s="1" t="s">
        <v>26</v>
      </c>
      <c r="M1040" s="1" t="s">
        <v>25</v>
      </c>
      <c r="N1040" s="1" t="s">
        <v>26</v>
      </c>
      <c r="O1040" s="1" t="s">
        <v>26</v>
      </c>
      <c r="P1040" s="1" t="s">
        <v>25</v>
      </c>
      <c r="Q1040" s="1" t="s">
        <v>26</v>
      </c>
      <c r="R1040" s="1" t="s">
        <v>26</v>
      </c>
      <c r="S1040" s="2">
        <v>0</v>
      </c>
    </row>
    <row r="1041" spans="1:19" x14ac:dyDescent="0.3">
      <c r="A1041" t="s">
        <v>2092</v>
      </c>
      <c r="B1041" s="5" t="e" cm="1">
        <f t="array" ref="B1041">MAX(#REF!,MIN(#REF!,#REF!+SUMPRODUCT(--(FoodData[[#This Row],[Healthy]:[Refined]]="Yes"),#REF!)+FoodData[[#This Row],[Adjust]]))</f>
        <v>#REF!</v>
      </c>
      <c r="C1041" s="1" t="e">
        <f>LOOKUP(FoodData[[#This Row],[Score]],#REF!,#REF!)</f>
        <v>#REF!</v>
      </c>
      <c r="D1041" t="s">
        <v>1916</v>
      </c>
      <c r="E1041" t="s">
        <v>21</v>
      </c>
      <c r="F1041" t="s">
        <v>60</v>
      </c>
      <c r="G1041" t="s">
        <v>489</v>
      </c>
      <c r="H1041" t="s">
        <v>2046</v>
      </c>
      <c r="I1041" s="1" t="s">
        <v>25</v>
      </c>
      <c r="J1041" s="1" t="s">
        <v>25</v>
      </c>
      <c r="K1041" s="1" t="s">
        <v>26</v>
      </c>
      <c r="L1041" s="1" t="s">
        <v>25</v>
      </c>
      <c r="M1041" s="1" t="s">
        <v>26</v>
      </c>
      <c r="N1041" s="1" t="s">
        <v>25</v>
      </c>
      <c r="O1041" s="1" t="s">
        <v>26</v>
      </c>
      <c r="P1041" s="1" t="s">
        <v>25</v>
      </c>
      <c r="Q1041" s="1" t="s">
        <v>26</v>
      </c>
      <c r="R1041" s="1" t="s">
        <v>26</v>
      </c>
      <c r="S1041" s="2">
        <v>0</v>
      </c>
    </row>
    <row r="1042" spans="1:19" x14ac:dyDescent="0.3">
      <c r="A1042" t="s">
        <v>2093</v>
      </c>
      <c r="B1042" s="5" t="e" cm="1">
        <f t="array" ref="B1042">MAX(#REF!,MIN(#REF!,#REF!+SUMPRODUCT(--(FoodData[[#This Row],[Healthy]:[Refined]]="Yes"),#REF!)+FoodData[[#This Row],[Adjust]]))</f>
        <v>#REF!</v>
      </c>
      <c r="C1042" s="1" t="e">
        <f>LOOKUP(FoodData[[#This Row],[Score]],#REF!,#REF!)</f>
        <v>#REF!</v>
      </c>
      <c r="D1042" t="s">
        <v>2094</v>
      </c>
      <c r="E1042" t="s">
        <v>28</v>
      </c>
      <c r="F1042" t="s">
        <v>60</v>
      </c>
      <c r="G1042" t="s">
        <v>23</v>
      </c>
      <c r="H1042" t="s">
        <v>2095</v>
      </c>
      <c r="I1042" s="1" t="s">
        <v>25</v>
      </c>
      <c r="J1042" s="1" t="s">
        <v>25</v>
      </c>
      <c r="K1042" s="1" t="s">
        <v>26</v>
      </c>
      <c r="L1042" s="1" t="s">
        <v>25</v>
      </c>
      <c r="M1042" s="1" t="s">
        <v>25</v>
      </c>
      <c r="N1042" s="1" t="s">
        <v>26</v>
      </c>
      <c r="O1042" s="1" t="s">
        <v>25</v>
      </c>
      <c r="P1042" s="1" t="s">
        <v>25</v>
      </c>
      <c r="Q1042" s="1" t="s">
        <v>25</v>
      </c>
      <c r="R1042" s="1" t="s">
        <v>25</v>
      </c>
      <c r="S1042" s="2">
        <v>0</v>
      </c>
    </row>
    <row r="1043" spans="1:19" x14ac:dyDescent="0.3">
      <c r="A1043" t="s">
        <v>2096</v>
      </c>
      <c r="B1043" s="5" t="e" cm="1">
        <f t="array" ref="B1043">MAX(#REF!,MIN(#REF!,#REF!+SUMPRODUCT(--(FoodData[[#This Row],[Healthy]:[Refined]]="Yes"),#REF!)+FoodData[[#This Row],[Adjust]]))</f>
        <v>#REF!</v>
      </c>
      <c r="C1043" s="1" t="e">
        <f>LOOKUP(FoodData[[#This Row],[Score]],#REF!,#REF!)</f>
        <v>#REF!</v>
      </c>
      <c r="D1043" t="s">
        <v>2094</v>
      </c>
      <c r="E1043" t="s">
        <v>28</v>
      </c>
      <c r="F1043" t="s">
        <v>22</v>
      </c>
      <c r="G1043" t="s">
        <v>23</v>
      </c>
      <c r="H1043" t="s">
        <v>2097</v>
      </c>
      <c r="I1043" s="1" t="s">
        <v>25</v>
      </c>
      <c r="J1043" s="1" t="s">
        <v>25</v>
      </c>
      <c r="K1043" s="1" t="s">
        <v>25</v>
      </c>
      <c r="L1043" s="1" t="s">
        <v>25</v>
      </c>
      <c r="M1043" s="1" t="s">
        <v>25</v>
      </c>
      <c r="N1043" s="1" t="s">
        <v>25</v>
      </c>
      <c r="O1043" s="1" t="s">
        <v>26</v>
      </c>
      <c r="P1043" s="1" t="s">
        <v>25</v>
      </c>
      <c r="Q1043" s="1" t="s">
        <v>25</v>
      </c>
      <c r="R1043" s="1" t="s">
        <v>25</v>
      </c>
      <c r="S1043" s="2">
        <v>0</v>
      </c>
    </row>
    <row r="1044" spans="1:19" x14ac:dyDescent="0.3">
      <c r="A1044" t="s">
        <v>2098</v>
      </c>
      <c r="B1044" s="5" t="e" cm="1">
        <f t="array" ref="B1044">MAX(#REF!,MIN(#REF!,#REF!+SUMPRODUCT(--(FoodData[[#This Row],[Healthy]:[Refined]]="Yes"),#REF!)+FoodData[[#This Row],[Adjust]]))</f>
        <v>#REF!</v>
      </c>
      <c r="C1044" s="1" t="e">
        <f>LOOKUP(FoodData[[#This Row],[Score]],#REF!,#REF!)</f>
        <v>#REF!</v>
      </c>
      <c r="D1044" t="s">
        <v>2094</v>
      </c>
      <c r="E1044" t="s">
        <v>28</v>
      </c>
      <c r="F1044" t="s">
        <v>60</v>
      </c>
      <c r="G1044" t="s">
        <v>23</v>
      </c>
      <c r="H1044" t="s">
        <v>2099</v>
      </c>
      <c r="I1044" s="1" t="s">
        <v>25</v>
      </c>
      <c r="J1044" s="1" t="s">
        <v>25</v>
      </c>
      <c r="K1044" s="1" t="s">
        <v>26</v>
      </c>
      <c r="L1044" s="1" t="s">
        <v>25</v>
      </c>
      <c r="M1044" s="1" t="s">
        <v>25</v>
      </c>
      <c r="N1044" s="1" t="s">
        <v>26</v>
      </c>
      <c r="O1044" s="1" t="s">
        <v>25</v>
      </c>
      <c r="P1044" s="1" t="s">
        <v>25</v>
      </c>
      <c r="Q1044" s="1" t="s">
        <v>25</v>
      </c>
      <c r="R1044" s="1" t="s">
        <v>25</v>
      </c>
      <c r="S1044" s="2">
        <v>0</v>
      </c>
    </row>
    <row r="1045" spans="1:19" x14ac:dyDescent="0.3">
      <c r="A1045" t="s">
        <v>2100</v>
      </c>
      <c r="B1045" s="5" t="e" cm="1">
        <f t="array" ref="B1045">MAX(#REF!,MIN(#REF!,#REF!+SUMPRODUCT(--(FoodData[[#This Row],[Healthy]:[Refined]]="Yes"),#REF!)+FoodData[[#This Row],[Adjust]]))</f>
        <v>#REF!</v>
      </c>
      <c r="C1045" s="1" t="e">
        <f>LOOKUP(FoodData[[#This Row],[Score]],#REF!,#REF!)</f>
        <v>#REF!</v>
      </c>
      <c r="D1045" t="s">
        <v>2094</v>
      </c>
      <c r="E1045" t="s">
        <v>28</v>
      </c>
      <c r="F1045" t="s">
        <v>60</v>
      </c>
      <c r="G1045" t="s">
        <v>23</v>
      </c>
      <c r="H1045" t="s">
        <v>2101</v>
      </c>
      <c r="I1045" s="1" t="s">
        <v>26</v>
      </c>
      <c r="J1045" s="1" t="s">
        <v>25</v>
      </c>
      <c r="K1045" s="1" t="s">
        <v>26</v>
      </c>
      <c r="L1045" s="1" t="s">
        <v>25</v>
      </c>
      <c r="M1045" s="1" t="s">
        <v>25</v>
      </c>
      <c r="N1045" s="1" t="s">
        <v>25</v>
      </c>
      <c r="O1045" s="1" t="s">
        <v>25</v>
      </c>
      <c r="P1045" s="1" t="s">
        <v>25</v>
      </c>
      <c r="Q1045" s="1" t="s">
        <v>25</v>
      </c>
      <c r="R1045" s="1" t="s">
        <v>25</v>
      </c>
      <c r="S1045" s="2">
        <v>-3</v>
      </c>
    </row>
    <row r="1046" spans="1:19" x14ac:dyDescent="0.3">
      <c r="A1046" t="s">
        <v>2102</v>
      </c>
      <c r="B1046" s="5" t="e" cm="1">
        <f t="array" ref="B1046">MAX(#REF!,MIN(#REF!,#REF!+SUMPRODUCT(--(FoodData[[#This Row],[Healthy]:[Refined]]="Yes"),#REF!)+FoodData[[#This Row],[Adjust]]))</f>
        <v>#REF!</v>
      </c>
      <c r="C1046" s="1" t="e">
        <f>LOOKUP(FoodData[[#This Row],[Score]],#REF!,#REF!)</f>
        <v>#REF!</v>
      </c>
      <c r="D1046" t="s">
        <v>2094</v>
      </c>
      <c r="E1046" t="s">
        <v>28</v>
      </c>
      <c r="F1046" t="s">
        <v>22</v>
      </c>
      <c r="G1046" t="s">
        <v>23</v>
      </c>
      <c r="H1046" t="s">
        <v>2103</v>
      </c>
      <c r="I1046" s="1" t="s">
        <v>26</v>
      </c>
      <c r="J1046" s="1" t="s">
        <v>26</v>
      </c>
      <c r="K1046" s="1" t="s">
        <v>26</v>
      </c>
      <c r="L1046" s="1" t="s">
        <v>26</v>
      </c>
      <c r="M1046" s="1" t="s">
        <v>25</v>
      </c>
      <c r="N1046" s="1" t="s">
        <v>25</v>
      </c>
      <c r="O1046" s="1" t="s">
        <v>25</v>
      </c>
      <c r="P1046" s="1" t="s">
        <v>25</v>
      </c>
      <c r="Q1046" s="1" t="s">
        <v>25</v>
      </c>
      <c r="R1046" s="1" t="s">
        <v>25</v>
      </c>
      <c r="S1046" s="2">
        <v>0</v>
      </c>
    </row>
    <row r="1047" spans="1:19" x14ac:dyDescent="0.3">
      <c r="A1047" t="s">
        <v>2104</v>
      </c>
      <c r="B1047" s="5" t="e" cm="1">
        <f t="array" ref="B1047">MAX(#REF!,MIN(#REF!,#REF!+SUMPRODUCT(--(FoodData[[#This Row],[Healthy]:[Refined]]="Yes"),#REF!)+FoodData[[#This Row],[Adjust]]))</f>
        <v>#REF!</v>
      </c>
      <c r="C1047" s="1" t="e">
        <f>LOOKUP(FoodData[[#This Row],[Score]],#REF!,#REF!)</f>
        <v>#REF!</v>
      </c>
      <c r="D1047" t="s">
        <v>2094</v>
      </c>
      <c r="E1047" t="s">
        <v>28</v>
      </c>
      <c r="F1047" t="s">
        <v>22</v>
      </c>
      <c r="G1047" t="s">
        <v>23</v>
      </c>
      <c r="H1047" t="s">
        <v>2105</v>
      </c>
      <c r="I1047" s="1" t="s">
        <v>25</v>
      </c>
      <c r="J1047" s="1" t="s">
        <v>25</v>
      </c>
      <c r="K1047" s="1" t="s">
        <v>26</v>
      </c>
      <c r="L1047" s="1" t="s">
        <v>26</v>
      </c>
      <c r="M1047" s="1" t="s">
        <v>25</v>
      </c>
      <c r="N1047" s="1" t="s">
        <v>25</v>
      </c>
      <c r="O1047" s="1" t="s">
        <v>26</v>
      </c>
      <c r="P1047" s="1" t="s">
        <v>25</v>
      </c>
      <c r="Q1047" s="1" t="s">
        <v>25</v>
      </c>
      <c r="R1047" s="1" t="s">
        <v>25</v>
      </c>
      <c r="S1047" s="2">
        <v>0</v>
      </c>
    </row>
    <row r="1048" spans="1:19" x14ac:dyDescent="0.3">
      <c r="A1048" t="s">
        <v>2106</v>
      </c>
      <c r="B1048" s="5" t="e" cm="1">
        <f t="array" ref="B1048">MAX(#REF!,MIN(#REF!,#REF!+SUMPRODUCT(--(FoodData[[#This Row],[Healthy]:[Refined]]="Yes"),#REF!)+FoodData[[#This Row],[Adjust]]))</f>
        <v>#REF!</v>
      </c>
      <c r="C1048" s="1" t="e">
        <f>LOOKUP(FoodData[[#This Row],[Score]],#REF!,#REF!)</f>
        <v>#REF!</v>
      </c>
      <c r="D1048" t="s">
        <v>2094</v>
      </c>
      <c r="E1048" t="s">
        <v>28</v>
      </c>
      <c r="F1048" t="s">
        <v>60</v>
      </c>
      <c r="G1048" t="s">
        <v>29</v>
      </c>
      <c r="H1048" t="s">
        <v>2107</v>
      </c>
      <c r="I1048" s="1" t="s">
        <v>26</v>
      </c>
      <c r="J1048" s="1" t="s">
        <v>25</v>
      </c>
      <c r="K1048" s="1" t="s">
        <v>26</v>
      </c>
      <c r="L1048" s="1" t="s">
        <v>26</v>
      </c>
      <c r="M1048" s="1" t="s">
        <v>25</v>
      </c>
      <c r="N1048" s="1" t="s">
        <v>26</v>
      </c>
      <c r="O1048" s="1" t="s">
        <v>25</v>
      </c>
      <c r="P1048" s="1" t="s">
        <v>25</v>
      </c>
      <c r="Q1048" s="1" t="s">
        <v>25</v>
      </c>
      <c r="R1048" s="1" t="s">
        <v>25</v>
      </c>
      <c r="S1048" s="2">
        <v>0</v>
      </c>
    </row>
    <row r="1049" spans="1:19" x14ac:dyDescent="0.3">
      <c r="A1049" t="s">
        <v>2108</v>
      </c>
      <c r="B1049" s="5" t="e" cm="1">
        <f t="array" ref="B1049">MAX(#REF!,MIN(#REF!,#REF!+SUMPRODUCT(--(FoodData[[#This Row],[Healthy]:[Refined]]="Yes"),#REF!)+FoodData[[#This Row],[Adjust]]))</f>
        <v>#REF!</v>
      </c>
      <c r="C1049" s="1" t="e">
        <f>LOOKUP(FoodData[[#This Row],[Score]],#REF!,#REF!)</f>
        <v>#REF!</v>
      </c>
      <c r="D1049" t="s">
        <v>2094</v>
      </c>
      <c r="E1049" t="s">
        <v>28</v>
      </c>
      <c r="F1049" t="s">
        <v>60</v>
      </c>
      <c r="G1049" t="s">
        <v>23</v>
      </c>
      <c r="H1049" t="s">
        <v>2109</v>
      </c>
      <c r="I1049" s="1" t="s">
        <v>25</v>
      </c>
      <c r="J1049" s="1" t="s">
        <v>25</v>
      </c>
      <c r="K1049" s="1" t="s">
        <v>26</v>
      </c>
      <c r="L1049" s="1" t="s">
        <v>25</v>
      </c>
      <c r="M1049" s="1" t="s">
        <v>25</v>
      </c>
      <c r="N1049" s="1" t="s">
        <v>26</v>
      </c>
      <c r="O1049" s="1" t="s">
        <v>25</v>
      </c>
      <c r="P1049" s="1" t="s">
        <v>25</v>
      </c>
      <c r="Q1049" s="1" t="s">
        <v>25</v>
      </c>
      <c r="R1049" s="1" t="s">
        <v>25</v>
      </c>
      <c r="S1049" s="2">
        <v>0</v>
      </c>
    </row>
    <row r="1050" spans="1:19" x14ac:dyDescent="0.3">
      <c r="A1050" t="s">
        <v>2110</v>
      </c>
      <c r="B1050" s="5" t="e" cm="1">
        <f t="array" ref="B1050">MAX(#REF!,MIN(#REF!,#REF!+SUMPRODUCT(--(FoodData[[#This Row],[Healthy]:[Refined]]="Yes"),#REF!)+FoodData[[#This Row],[Adjust]]))</f>
        <v>#REF!</v>
      </c>
      <c r="C1050" s="1" t="e">
        <f>LOOKUP(FoodData[[#This Row],[Score]],#REF!,#REF!)</f>
        <v>#REF!</v>
      </c>
      <c r="D1050" t="s">
        <v>2094</v>
      </c>
      <c r="E1050" t="s">
        <v>28</v>
      </c>
      <c r="F1050" t="s">
        <v>22</v>
      </c>
      <c r="G1050" t="s">
        <v>23</v>
      </c>
      <c r="H1050" t="s">
        <v>2111</v>
      </c>
      <c r="I1050" s="1" t="s">
        <v>25</v>
      </c>
      <c r="J1050" s="1" t="s">
        <v>25</v>
      </c>
      <c r="K1050" s="1" t="s">
        <v>25</v>
      </c>
      <c r="L1050" s="1" t="s">
        <v>26</v>
      </c>
      <c r="M1050" s="1" t="s">
        <v>25</v>
      </c>
      <c r="N1050" s="1" t="s">
        <v>26</v>
      </c>
      <c r="O1050" s="1" t="s">
        <v>25</v>
      </c>
      <c r="P1050" s="1" t="s">
        <v>25</v>
      </c>
      <c r="Q1050" s="1" t="s">
        <v>25</v>
      </c>
      <c r="R1050" s="1" t="s">
        <v>25</v>
      </c>
      <c r="S1050" s="2">
        <v>0</v>
      </c>
    </row>
    <row r="1051" spans="1:19" x14ac:dyDescent="0.3">
      <c r="A1051" t="s">
        <v>2112</v>
      </c>
      <c r="B1051" s="5" t="e" cm="1">
        <f t="array" ref="B1051">MAX(#REF!,MIN(#REF!,#REF!+SUMPRODUCT(--(FoodData[[#This Row],[Healthy]:[Refined]]="Yes"),#REF!)+FoodData[[#This Row],[Adjust]]))</f>
        <v>#REF!</v>
      </c>
      <c r="C1051" s="1" t="e">
        <f>LOOKUP(FoodData[[#This Row],[Score]],#REF!,#REF!)</f>
        <v>#REF!</v>
      </c>
      <c r="D1051" t="s">
        <v>2094</v>
      </c>
      <c r="E1051" t="s">
        <v>28</v>
      </c>
      <c r="F1051" t="s">
        <v>22</v>
      </c>
      <c r="G1051" t="s">
        <v>29</v>
      </c>
      <c r="H1051" t="s">
        <v>2113</v>
      </c>
      <c r="I1051" s="1" t="s">
        <v>26</v>
      </c>
      <c r="J1051" s="1" t="s">
        <v>25</v>
      </c>
      <c r="K1051" s="1" t="s">
        <v>26</v>
      </c>
      <c r="L1051" s="1" t="s">
        <v>26</v>
      </c>
      <c r="M1051" s="1" t="s">
        <v>25</v>
      </c>
      <c r="N1051" s="1" t="s">
        <v>26</v>
      </c>
      <c r="O1051" s="1" t="s">
        <v>25</v>
      </c>
      <c r="P1051" s="1" t="s">
        <v>25</v>
      </c>
      <c r="Q1051" s="1" t="s">
        <v>25</v>
      </c>
      <c r="R1051" s="1" t="s">
        <v>25</v>
      </c>
      <c r="S1051" s="2">
        <v>0</v>
      </c>
    </row>
    <row r="1052" spans="1:19" x14ac:dyDescent="0.3">
      <c r="A1052" t="s">
        <v>2114</v>
      </c>
      <c r="B1052" s="5" t="e" cm="1">
        <f t="array" ref="B1052">MAX(#REF!,MIN(#REF!,#REF!+SUMPRODUCT(--(FoodData[[#This Row],[Healthy]:[Refined]]="Yes"),#REF!)+FoodData[[#This Row],[Adjust]]))</f>
        <v>#REF!</v>
      </c>
      <c r="C1052" s="1" t="e">
        <f>LOOKUP(FoodData[[#This Row],[Score]],#REF!,#REF!)</f>
        <v>#REF!</v>
      </c>
      <c r="D1052" t="s">
        <v>2094</v>
      </c>
      <c r="E1052" t="s">
        <v>28</v>
      </c>
      <c r="F1052" t="s">
        <v>22</v>
      </c>
      <c r="G1052" t="s">
        <v>23</v>
      </c>
      <c r="H1052" t="s">
        <v>2115</v>
      </c>
      <c r="I1052" s="1" t="s">
        <v>26</v>
      </c>
      <c r="J1052" s="1" t="s">
        <v>26</v>
      </c>
      <c r="K1052" s="1" t="s">
        <v>25</v>
      </c>
      <c r="L1052" s="1" t="s">
        <v>26</v>
      </c>
      <c r="M1052" s="1" t="s">
        <v>25</v>
      </c>
      <c r="N1052" s="1" t="s">
        <v>25</v>
      </c>
      <c r="O1052" s="1" t="s">
        <v>25</v>
      </c>
      <c r="P1052" s="1" t="s">
        <v>25</v>
      </c>
      <c r="Q1052" s="1" t="s">
        <v>25</v>
      </c>
      <c r="R1052" s="1" t="s">
        <v>25</v>
      </c>
      <c r="S1052" s="2">
        <v>0</v>
      </c>
    </row>
    <row r="1053" spans="1:19" x14ac:dyDescent="0.3">
      <c r="A1053" t="s">
        <v>2116</v>
      </c>
      <c r="B1053" s="5" t="e" cm="1">
        <f t="array" ref="B1053">MAX(#REF!,MIN(#REF!,#REF!+SUMPRODUCT(--(FoodData[[#This Row],[Healthy]:[Refined]]="Yes"),#REF!)+FoodData[[#This Row],[Adjust]]))</f>
        <v>#REF!</v>
      </c>
      <c r="C1053" s="1" t="e">
        <f>LOOKUP(FoodData[[#This Row],[Score]],#REF!,#REF!)</f>
        <v>#REF!</v>
      </c>
      <c r="D1053" t="s">
        <v>2094</v>
      </c>
      <c r="E1053" t="s">
        <v>28</v>
      </c>
      <c r="F1053" t="s">
        <v>60</v>
      </c>
      <c r="G1053" t="s">
        <v>23</v>
      </c>
      <c r="H1053" t="s">
        <v>2117</v>
      </c>
      <c r="I1053" s="1" t="s">
        <v>25</v>
      </c>
      <c r="J1053" s="1" t="s">
        <v>25</v>
      </c>
      <c r="K1053" s="1" t="s">
        <v>26</v>
      </c>
      <c r="L1053" s="1" t="s">
        <v>25</v>
      </c>
      <c r="M1053" s="1" t="s">
        <v>25</v>
      </c>
      <c r="N1053" s="1" t="s">
        <v>25</v>
      </c>
      <c r="O1053" s="1" t="s">
        <v>26</v>
      </c>
      <c r="P1053" s="1" t="s">
        <v>25</v>
      </c>
      <c r="Q1053" s="1" t="s">
        <v>25</v>
      </c>
      <c r="R1053" s="1" t="s">
        <v>25</v>
      </c>
      <c r="S1053" s="2">
        <v>0</v>
      </c>
    </row>
    <row r="1054" spans="1:19" x14ac:dyDescent="0.3">
      <c r="A1054" t="s">
        <v>2118</v>
      </c>
      <c r="B1054" s="5" t="e" cm="1">
        <f t="array" ref="B1054">MAX(#REF!,MIN(#REF!,#REF!+SUMPRODUCT(--(FoodData[[#This Row],[Healthy]:[Refined]]="Yes"),#REF!)+FoodData[[#This Row],[Adjust]]))</f>
        <v>#REF!</v>
      </c>
      <c r="C1054" s="1" t="e">
        <f>LOOKUP(FoodData[[#This Row],[Score]],#REF!,#REF!)</f>
        <v>#REF!</v>
      </c>
      <c r="D1054" t="s">
        <v>2094</v>
      </c>
      <c r="E1054" t="s">
        <v>28</v>
      </c>
      <c r="F1054" t="s">
        <v>60</v>
      </c>
      <c r="G1054" t="s">
        <v>23</v>
      </c>
      <c r="H1054" t="s">
        <v>2119</v>
      </c>
      <c r="I1054" s="1" t="s">
        <v>25</v>
      </c>
      <c r="J1054" s="1" t="s">
        <v>25</v>
      </c>
      <c r="K1054" s="1" t="s">
        <v>26</v>
      </c>
      <c r="L1054" s="1" t="s">
        <v>25</v>
      </c>
      <c r="M1054" s="1" t="s">
        <v>25</v>
      </c>
      <c r="N1054" s="1" t="s">
        <v>26</v>
      </c>
      <c r="O1054" s="1" t="s">
        <v>25</v>
      </c>
      <c r="P1054" s="1" t="s">
        <v>25</v>
      </c>
      <c r="Q1054" s="1" t="s">
        <v>25</v>
      </c>
      <c r="R1054" s="1" t="s">
        <v>25</v>
      </c>
      <c r="S1054" s="2">
        <v>0</v>
      </c>
    </row>
    <row r="1055" spans="1:19" x14ac:dyDescent="0.3">
      <c r="A1055" t="s">
        <v>2120</v>
      </c>
      <c r="B1055" s="5" t="e" cm="1">
        <f t="array" ref="B1055">MAX(#REF!,MIN(#REF!,#REF!+SUMPRODUCT(--(FoodData[[#This Row],[Healthy]:[Refined]]="Yes"),#REF!)+FoodData[[#This Row],[Adjust]]))</f>
        <v>#REF!</v>
      </c>
      <c r="C1055" s="1" t="e">
        <f>LOOKUP(FoodData[[#This Row],[Score]],#REF!,#REF!)</f>
        <v>#REF!</v>
      </c>
      <c r="D1055" t="s">
        <v>2094</v>
      </c>
      <c r="E1055" t="s">
        <v>28</v>
      </c>
      <c r="F1055" t="s">
        <v>60</v>
      </c>
      <c r="G1055" t="s">
        <v>23</v>
      </c>
      <c r="H1055" t="s">
        <v>2121</v>
      </c>
      <c r="I1055" s="1" t="s">
        <v>25</v>
      </c>
      <c r="J1055" s="1" t="s">
        <v>25</v>
      </c>
      <c r="K1055" s="1" t="s">
        <v>26</v>
      </c>
      <c r="L1055" s="1" t="s">
        <v>25</v>
      </c>
      <c r="M1055" s="1" t="s">
        <v>25</v>
      </c>
      <c r="N1055" s="1" t="s">
        <v>26</v>
      </c>
      <c r="O1055" s="1" t="s">
        <v>26</v>
      </c>
      <c r="P1055" s="1" t="s">
        <v>25</v>
      </c>
      <c r="Q1055" s="1" t="s">
        <v>25</v>
      </c>
      <c r="R1055" s="1" t="s">
        <v>25</v>
      </c>
      <c r="S1055" s="2">
        <v>0</v>
      </c>
    </row>
    <row r="1056" spans="1:19" x14ac:dyDescent="0.3">
      <c r="A1056" t="s">
        <v>2122</v>
      </c>
      <c r="B1056" s="5" t="e" cm="1">
        <f t="array" ref="B1056">MAX(#REF!,MIN(#REF!,#REF!+SUMPRODUCT(--(FoodData[[#This Row],[Healthy]:[Refined]]="Yes"),#REF!)+FoodData[[#This Row],[Adjust]]))</f>
        <v>#REF!</v>
      </c>
      <c r="C1056" s="1" t="e">
        <f>LOOKUP(FoodData[[#This Row],[Score]],#REF!,#REF!)</f>
        <v>#REF!</v>
      </c>
      <c r="D1056" t="s">
        <v>2094</v>
      </c>
      <c r="E1056" t="s">
        <v>28</v>
      </c>
      <c r="F1056" t="s">
        <v>60</v>
      </c>
      <c r="G1056" t="s">
        <v>23</v>
      </c>
      <c r="H1056" t="s">
        <v>2123</v>
      </c>
      <c r="I1056" s="1" t="s">
        <v>26</v>
      </c>
      <c r="J1056" s="1" t="s">
        <v>25</v>
      </c>
      <c r="K1056" s="1" t="s">
        <v>26</v>
      </c>
      <c r="L1056" s="1" t="s">
        <v>25</v>
      </c>
      <c r="M1056" s="1" t="s">
        <v>25</v>
      </c>
      <c r="N1056" s="1" t="s">
        <v>26</v>
      </c>
      <c r="O1056" s="1" t="s">
        <v>25</v>
      </c>
      <c r="P1056" s="1" t="s">
        <v>25</v>
      </c>
      <c r="Q1056" s="1" t="s">
        <v>25</v>
      </c>
      <c r="R1056" s="1" t="s">
        <v>25</v>
      </c>
      <c r="S1056" s="2">
        <v>0</v>
      </c>
    </row>
    <row r="1057" spans="1:19" x14ac:dyDescent="0.3">
      <c r="A1057" t="s">
        <v>2124</v>
      </c>
      <c r="B1057" s="5" t="e" cm="1">
        <f t="array" ref="B1057">MAX(#REF!,MIN(#REF!,#REF!+SUMPRODUCT(--(FoodData[[#This Row],[Healthy]:[Refined]]="Yes"),#REF!)+FoodData[[#This Row],[Adjust]]))</f>
        <v>#REF!</v>
      </c>
      <c r="C1057" s="1" t="e">
        <f>LOOKUP(FoodData[[#This Row],[Score]],#REF!,#REF!)</f>
        <v>#REF!</v>
      </c>
      <c r="D1057" t="s">
        <v>2094</v>
      </c>
      <c r="E1057" t="s">
        <v>28</v>
      </c>
      <c r="F1057" t="s">
        <v>22</v>
      </c>
      <c r="G1057" t="s">
        <v>23</v>
      </c>
      <c r="H1057" t="s">
        <v>2125</v>
      </c>
      <c r="I1057" s="1" t="s">
        <v>26</v>
      </c>
      <c r="J1057" s="1" t="s">
        <v>25</v>
      </c>
      <c r="K1057" s="1" t="s">
        <v>26</v>
      </c>
      <c r="L1057" s="1" t="s">
        <v>26</v>
      </c>
      <c r="M1057" s="1" t="s">
        <v>25</v>
      </c>
      <c r="N1057" s="1" t="s">
        <v>25</v>
      </c>
      <c r="O1057" s="1" t="s">
        <v>25</v>
      </c>
      <c r="P1057" s="1" t="s">
        <v>25</v>
      </c>
      <c r="Q1057" s="1" t="s">
        <v>25</v>
      </c>
      <c r="R1057" s="1" t="s">
        <v>25</v>
      </c>
      <c r="S1057" s="2">
        <v>0</v>
      </c>
    </row>
    <row r="1058" spans="1:19" x14ac:dyDescent="0.3">
      <c r="A1058" t="s">
        <v>2126</v>
      </c>
      <c r="B1058" s="5" t="e" cm="1">
        <f t="array" ref="B1058">MAX(#REF!,MIN(#REF!,#REF!+SUMPRODUCT(--(FoodData[[#This Row],[Healthy]:[Refined]]="Yes"),#REF!)+FoodData[[#This Row],[Adjust]]))</f>
        <v>#REF!</v>
      </c>
      <c r="C1058" s="1" t="e">
        <f>LOOKUP(FoodData[[#This Row],[Score]],#REF!,#REF!)</f>
        <v>#REF!</v>
      </c>
      <c r="D1058" t="s">
        <v>2094</v>
      </c>
      <c r="E1058" t="s">
        <v>28</v>
      </c>
      <c r="F1058" t="s">
        <v>22</v>
      </c>
      <c r="G1058" t="s">
        <v>23</v>
      </c>
      <c r="H1058" t="s">
        <v>2127</v>
      </c>
      <c r="I1058" s="1" t="s">
        <v>25</v>
      </c>
      <c r="J1058" s="1" t="s">
        <v>25</v>
      </c>
      <c r="K1058" s="1" t="s">
        <v>25</v>
      </c>
      <c r="L1058" s="1" t="s">
        <v>25</v>
      </c>
      <c r="M1058" s="1" t="s">
        <v>25</v>
      </c>
      <c r="N1058" s="1" t="s">
        <v>26</v>
      </c>
      <c r="O1058" s="1" t="s">
        <v>25</v>
      </c>
      <c r="P1058" s="1" t="s">
        <v>25</v>
      </c>
      <c r="Q1058" s="1" t="s">
        <v>25</v>
      </c>
      <c r="R1058" s="1" t="s">
        <v>25</v>
      </c>
      <c r="S1058" s="2">
        <v>0</v>
      </c>
    </row>
    <row r="1059" spans="1:19" x14ac:dyDescent="0.3">
      <c r="A1059" t="s">
        <v>2128</v>
      </c>
      <c r="B1059" s="5" t="e" cm="1">
        <f t="array" ref="B1059">MAX(#REF!,MIN(#REF!,#REF!+SUMPRODUCT(--(FoodData[[#This Row],[Healthy]:[Refined]]="Yes"),#REF!)+FoodData[[#This Row],[Adjust]]))</f>
        <v>#REF!</v>
      </c>
      <c r="C1059" s="1" t="e">
        <f>LOOKUP(FoodData[[#This Row],[Score]],#REF!,#REF!)</f>
        <v>#REF!</v>
      </c>
      <c r="D1059" t="s">
        <v>2094</v>
      </c>
      <c r="E1059" t="s">
        <v>28</v>
      </c>
      <c r="F1059" t="s">
        <v>60</v>
      </c>
      <c r="G1059" t="s">
        <v>23</v>
      </c>
      <c r="H1059" t="s">
        <v>2129</v>
      </c>
      <c r="I1059" s="1" t="s">
        <v>25</v>
      </c>
      <c r="J1059" s="1" t="s">
        <v>25</v>
      </c>
      <c r="K1059" s="1" t="s">
        <v>26</v>
      </c>
      <c r="L1059" s="1" t="s">
        <v>25</v>
      </c>
      <c r="M1059" s="1" t="s">
        <v>25</v>
      </c>
      <c r="N1059" s="1" t="s">
        <v>26</v>
      </c>
      <c r="O1059" s="1" t="s">
        <v>25</v>
      </c>
      <c r="P1059" s="1" t="s">
        <v>25</v>
      </c>
      <c r="Q1059" s="1" t="s">
        <v>25</v>
      </c>
      <c r="R1059" s="1" t="s">
        <v>25</v>
      </c>
      <c r="S1059" s="2">
        <v>0</v>
      </c>
    </row>
    <row r="1060" spans="1:19" x14ac:dyDescent="0.3">
      <c r="A1060" t="s">
        <v>729</v>
      </c>
      <c r="B1060" s="5" t="e" cm="1">
        <f t="array" ref="B1060">MAX(#REF!,MIN(#REF!,#REF!+SUMPRODUCT(--(FoodData[[#This Row],[Healthy]:[Refined]]="Yes"),#REF!)+FoodData[[#This Row],[Adjust]]))</f>
        <v>#REF!</v>
      </c>
      <c r="C1060" s="1" t="e">
        <f>LOOKUP(FoodData[[#This Row],[Score]],#REF!,#REF!)</f>
        <v>#REF!</v>
      </c>
      <c r="D1060" t="s">
        <v>2094</v>
      </c>
      <c r="E1060" t="s">
        <v>28</v>
      </c>
      <c r="F1060" t="s">
        <v>22</v>
      </c>
      <c r="G1060" t="s">
        <v>162</v>
      </c>
      <c r="H1060" t="s">
        <v>2130</v>
      </c>
      <c r="I1060" s="1" t="s">
        <v>26</v>
      </c>
      <c r="J1060" s="1" t="s">
        <v>26</v>
      </c>
      <c r="K1060" s="1" t="s">
        <v>26</v>
      </c>
      <c r="L1060" s="1" t="s">
        <v>25</v>
      </c>
      <c r="M1060" s="1" t="s">
        <v>25</v>
      </c>
      <c r="N1060" s="1" t="s">
        <v>25</v>
      </c>
      <c r="O1060" s="1" t="s">
        <v>25</v>
      </c>
      <c r="P1060" s="1" t="s">
        <v>25</v>
      </c>
      <c r="Q1060" s="1" t="s">
        <v>25</v>
      </c>
      <c r="R1060" s="1" t="s">
        <v>25</v>
      </c>
      <c r="S1060" s="2">
        <v>0</v>
      </c>
    </row>
    <row r="1061" spans="1:19" x14ac:dyDescent="0.3">
      <c r="A1061" t="s">
        <v>2131</v>
      </c>
      <c r="B1061" s="5" t="e" cm="1">
        <f t="array" ref="B1061">MAX(#REF!,MIN(#REF!,#REF!+SUMPRODUCT(--(FoodData[[#This Row],[Healthy]:[Refined]]="Yes"),#REF!)+FoodData[[#This Row],[Adjust]]))</f>
        <v>#REF!</v>
      </c>
      <c r="C1061" s="1" t="e">
        <f>LOOKUP(FoodData[[#This Row],[Score]],#REF!,#REF!)</f>
        <v>#REF!</v>
      </c>
      <c r="D1061" t="s">
        <v>2094</v>
      </c>
      <c r="E1061" t="s">
        <v>28</v>
      </c>
      <c r="F1061" t="s">
        <v>22</v>
      </c>
      <c r="G1061" t="s">
        <v>23</v>
      </c>
      <c r="H1061" t="s">
        <v>2132</v>
      </c>
      <c r="I1061" s="1" t="s">
        <v>26</v>
      </c>
      <c r="J1061" s="1" t="s">
        <v>26</v>
      </c>
      <c r="K1061" s="1" t="s">
        <v>26</v>
      </c>
      <c r="L1061" s="1" t="s">
        <v>25</v>
      </c>
      <c r="M1061" s="1" t="s">
        <v>25</v>
      </c>
      <c r="N1061" s="1" t="s">
        <v>25</v>
      </c>
      <c r="O1061" s="1" t="s">
        <v>25</v>
      </c>
      <c r="P1061" s="1" t="s">
        <v>25</v>
      </c>
      <c r="Q1061" s="1" t="s">
        <v>25</v>
      </c>
      <c r="R1061" s="1" t="s">
        <v>25</v>
      </c>
      <c r="S1061" s="2">
        <v>0</v>
      </c>
    </row>
    <row r="1062" spans="1:19" x14ac:dyDescent="0.3">
      <c r="A1062" t="s">
        <v>2133</v>
      </c>
      <c r="B1062" s="5" t="e" cm="1">
        <f t="array" ref="B1062">MAX(#REF!,MIN(#REF!,#REF!+SUMPRODUCT(--(FoodData[[#This Row],[Healthy]:[Refined]]="Yes"),#REF!)+FoodData[[#This Row],[Adjust]]))</f>
        <v>#REF!</v>
      </c>
      <c r="C1062" s="1" t="e">
        <f>LOOKUP(FoodData[[#This Row],[Score]],#REF!,#REF!)</f>
        <v>#REF!</v>
      </c>
      <c r="D1062" t="s">
        <v>2094</v>
      </c>
      <c r="E1062" t="s">
        <v>28</v>
      </c>
      <c r="F1062" t="s">
        <v>22</v>
      </c>
      <c r="G1062" t="s">
        <v>23</v>
      </c>
      <c r="H1062" t="s">
        <v>2134</v>
      </c>
      <c r="I1062" s="1" t="s">
        <v>26</v>
      </c>
      <c r="J1062" s="1" t="s">
        <v>26</v>
      </c>
      <c r="K1062" s="1" t="s">
        <v>26</v>
      </c>
      <c r="L1062" s="1" t="s">
        <v>26</v>
      </c>
      <c r="M1062" s="1" t="s">
        <v>25</v>
      </c>
      <c r="N1062" s="1" t="s">
        <v>25</v>
      </c>
      <c r="O1062" s="1" t="s">
        <v>25</v>
      </c>
      <c r="P1062" s="1" t="s">
        <v>25</v>
      </c>
      <c r="Q1062" s="1" t="s">
        <v>25</v>
      </c>
      <c r="R1062" s="1" t="s">
        <v>25</v>
      </c>
      <c r="S1062" s="2">
        <v>0</v>
      </c>
    </row>
    <row r="1063" spans="1:19" x14ac:dyDescent="0.3">
      <c r="A1063" t="s">
        <v>2135</v>
      </c>
      <c r="B1063" s="5" t="e" cm="1">
        <f t="array" ref="B1063">MAX(#REF!,MIN(#REF!,#REF!+SUMPRODUCT(--(FoodData[[#This Row],[Healthy]:[Refined]]="Yes"),#REF!)+FoodData[[#This Row],[Adjust]]))</f>
        <v>#REF!</v>
      </c>
      <c r="C1063" s="1" t="e">
        <f>LOOKUP(FoodData[[#This Row],[Score]],#REF!,#REF!)</f>
        <v>#REF!</v>
      </c>
      <c r="D1063" t="s">
        <v>2094</v>
      </c>
      <c r="E1063" t="s">
        <v>28</v>
      </c>
      <c r="F1063" t="s">
        <v>22</v>
      </c>
      <c r="G1063" t="s">
        <v>23</v>
      </c>
      <c r="H1063" t="s">
        <v>2136</v>
      </c>
      <c r="I1063" s="1" t="s">
        <v>25</v>
      </c>
      <c r="J1063" s="1" t="s">
        <v>25</v>
      </c>
      <c r="K1063" s="1" t="s">
        <v>26</v>
      </c>
      <c r="L1063" s="1" t="s">
        <v>26</v>
      </c>
      <c r="M1063" s="1" t="s">
        <v>25</v>
      </c>
      <c r="N1063" s="1" t="s">
        <v>25</v>
      </c>
      <c r="O1063" s="1" t="s">
        <v>26</v>
      </c>
      <c r="P1063" s="1" t="s">
        <v>25</v>
      </c>
      <c r="Q1063" s="1" t="s">
        <v>25</v>
      </c>
      <c r="R1063" s="1" t="s">
        <v>25</v>
      </c>
      <c r="S1063" s="2">
        <v>0</v>
      </c>
    </row>
    <row r="1064" spans="1:19" x14ac:dyDescent="0.3">
      <c r="A1064" t="s">
        <v>2137</v>
      </c>
      <c r="B1064" s="5" t="e" cm="1">
        <f t="array" ref="B1064">MAX(#REF!,MIN(#REF!,#REF!+SUMPRODUCT(--(FoodData[[#This Row],[Healthy]:[Refined]]="Yes"),#REF!)+FoodData[[#This Row],[Adjust]]))</f>
        <v>#REF!</v>
      </c>
      <c r="C1064" s="1" t="e">
        <f>LOOKUP(FoodData[[#This Row],[Score]],#REF!,#REF!)</f>
        <v>#REF!</v>
      </c>
      <c r="D1064" t="s">
        <v>2094</v>
      </c>
      <c r="E1064" t="s">
        <v>28</v>
      </c>
      <c r="F1064" t="s">
        <v>22</v>
      </c>
      <c r="G1064" t="s">
        <v>23</v>
      </c>
      <c r="H1064" t="s">
        <v>2138</v>
      </c>
      <c r="I1064" s="1" t="s">
        <v>25</v>
      </c>
      <c r="J1064" s="1" t="s">
        <v>25</v>
      </c>
      <c r="K1064" s="1" t="s">
        <v>26</v>
      </c>
      <c r="L1064" s="1" t="s">
        <v>26</v>
      </c>
      <c r="M1064" s="1" t="s">
        <v>25</v>
      </c>
      <c r="N1064" s="1" t="s">
        <v>25</v>
      </c>
      <c r="O1064" s="1" t="s">
        <v>26</v>
      </c>
      <c r="P1064" s="1" t="s">
        <v>25</v>
      </c>
      <c r="Q1064" s="1" t="s">
        <v>25</v>
      </c>
      <c r="R1064" s="1" t="s">
        <v>25</v>
      </c>
      <c r="S1064" s="2">
        <v>0</v>
      </c>
    </row>
    <row r="1065" spans="1:19" x14ac:dyDescent="0.3">
      <c r="A1065" t="s">
        <v>2139</v>
      </c>
      <c r="B1065" s="5" t="e" cm="1">
        <f t="array" ref="B1065">MAX(#REF!,MIN(#REF!,#REF!+SUMPRODUCT(--(FoodData[[#This Row],[Healthy]:[Refined]]="Yes"),#REF!)+FoodData[[#This Row],[Adjust]]))</f>
        <v>#REF!</v>
      </c>
      <c r="C1065" s="1" t="e">
        <f>LOOKUP(FoodData[[#This Row],[Score]],#REF!,#REF!)</f>
        <v>#REF!</v>
      </c>
      <c r="D1065" t="s">
        <v>2094</v>
      </c>
      <c r="E1065" t="s">
        <v>28</v>
      </c>
      <c r="F1065" t="s">
        <v>60</v>
      </c>
      <c r="G1065" t="s">
        <v>23</v>
      </c>
      <c r="H1065" t="s">
        <v>2140</v>
      </c>
      <c r="I1065" s="1" t="s">
        <v>25</v>
      </c>
      <c r="J1065" s="1" t="s">
        <v>25</v>
      </c>
      <c r="K1065" s="1" t="s">
        <v>26</v>
      </c>
      <c r="L1065" s="1" t="s">
        <v>25</v>
      </c>
      <c r="M1065" s="1" t="s">
        <v>25</v>
      </c>
      <c r="N1065" s="1" t="s">
        <v>26</v>
      </c>
      <c r="O1065" s="1" t="s">
        <v>25</v>
      </c>
      <c r="P1065" s="1" t="s">
        <v>25</v>
      </c>
      <c r="Q1065" s="1" t="s">
        <v>25</v>
      </c>
      <c r="R1065" s="1" t="s">
        <v>25</v>
      </c>
      <c r="S1065" s="2">
        <v>0</v>
      </c>
    </row>
    <row r="1066" spans="1:19" x14ac:dyDescent="0.3">
      <c r="A1066" t="s">
        <v>2141</v>
      </c>
      <c r="B1066" s="5" t="e" cm="1">
        <f t="array" ref="B1066">MAX(#REF!,MIN(#REF!,#REF!+SUMPRODUCT(--(FoodData[[#This Row],[Healthy]:[Refined]]="Yes"),#REF!)+FoodData[[#This Row],[Adjust]]))</f>
        <v>#REF!</v>
      </c>
      <c r="C1066" s="1" t="e">
        <f>LOOKUP(FoodData[[#This Row],[Score]],#REF!,#REF!)</f>
        <v>#REF!</v>
      </c>
      <c r="D1066" t="s">
        <v>2094</v>
      </c>
      <c r="E1066" t="s">
        <v>28</v>
      </c>
      <c r="F1066" t="s">
        <v>60</v>
      </c>
      <c r="G1066" t="s">
        <v>23</v>
      </c>
      <c r="H1066" t="s">
        <v>2142</v>
      </c>
      <c r="I1066" s="1" t="s">
        <v>25</v>
      </c>
      <c r="J1066" s="1" t="s">
        <v>25</v>
      </c>
      <c r="K1066" s="1" t="s">
        <v>26</v>
      </c>
      <c r="L1066" s="1" t="s">
        <v>25</v>
      </c>
      <c r="M1066" s="1" t="s">
        <v>25</v>
      </c>
      <c r="N1066" s="1" t="s">
        <v>26</v>
      </c>
      <c r="O1066" s="1" t="s">
        <v>25</v>
      </c>
      <c r="P1066" s="1" t="s">
        <v>25</v>
      </c>
      <c r="Q1066" s="1" t="s">
        <v>25</v>
      </c>
      <c r="R1066" s="1" t="s">
        <v>25</v>
      </c>
      <c r="S1066" s="2">
        <v>0</v>
      </c>
    </row>
    <row r="1067" spans="1:19" x14ac:dyDescent="0.3">
      <c r="A1067" t="s">
        <v>2143</v>
      </c>
      <c r="B1067" s="5" t="e" cm="1">
        <f t="array" ref="B1067">MAX(#REF!,MIN(#REF!,#REF!+SUMPRODUCT(--(FoodData[[#This Row],[Healthy]:[Refined]]="Yes"),#REF!)+FoodData[[#This Row],[Adjust]]))</f>
        <v>#REF!</v>
      </c>
      <c r="C1067" s="1" t="e">
        <f>LOOKUP(FoodData[[#This Row],[Score]],#REF!,#REF!)</f>
        <v>#REF!</v>
      </c>
      <c r="D1067" t="s">
        <v>2094</v>
      </c>
      <c r="E1067" t="s">
        <v>28</v>
      </c>
      <c r="F1067" t="s">
        <v>60</v>
      </c>
      <c r="G1067" t="s">
        <v>23</v>
      </c>
      <c r="H1067" t="s">
        <v>2144</v>
      </c>
      <c r="I1067" s="1" t="s">
        <v>25</v>
      </c>
      <c r="J1067" s="1" t="s">
        <v>25</v>
      </c>
      <c r="K1067" s="1" t="s">
        <v>26</v>
      </c>
      <c r="L1067" s="1" t="s">
        <v>25</v>
      </c>
      <c r="M1067" s="1" t="s">
        <v>25</v>
      </c>
      <c r="N1067" s="1" t="s">
        <v>25</v>
      </c>
      <c r="O1067" s="1" t="s">
        <v>26</v>
      </c>
      <c r="P1067" s="1" t="s">
        <v>25</v>
      </c>
      <c r="Q1067" s="1" t="s">
        <v>25</v>
      </c>
      <c r="R1067" s="1" t="s">
        <v>25</v>
      </c>
      <c r="S1067" s="2">
        <v>0</v>
      </c>
    </row>
    <row r="1068" spans="1:19" x14ac:dyDescent="0.3">
      <c r="A1068" t="s">
        <v>2145</v>
      </c>
      <c r="B1068" s="5" t="e" cm="1">
        <f t="array" ref="B1068">MAX(#REF!,MIN(#REF!,#REF!+SUMPRODUCT(--(FoodData[[#This Row],[Healthy]:[Refined]]="Yes"),#REF!)+FoodData[[#This Row],[Adjust]]))</f>
        <v>#REF!</v>
      </c>
      <c r="C1068" s="1" t="e">
        <f>LOOKUP(FoodData[[#This Row],[Score]],#REF!,#REF!)</f>
        <v>#REF!</v>
      </c>
      <c r="D1068" t="s">
        <v>2094</v>
      </c>
      <c r="E1068" t="s">
        <v>28</v>
      </c>
      <c r="F1068" t="s">
        <v>60</v>
      </c>
      <c r="G1068" t="s">
        <v>23</v>
      </c>
      <c r="H1068" t="s">
        <v>2146</v>
      </c>
      <c r="I1068" s="1" t="s">
        <v>25</v>
      </c>
      <c r="J1068" s="1" t="s">
        <v>25</v>
      </c>
      <c r="K1068" s="1" t="s">
        <v>26</v>
      </c>
      <c r="L1068" s="1" t="s">
        <v>25</v>
      </c>
      <c r="M1068" s="1" t="s">
        <v>25</v>
      </c>
      <c r="N1068" s="1" t="s">
        <v>26</v>
      </c>
      <c r="O1068" s="1" t="s">
        <v>25</v>
      </c>
      <c r="P1068" s="1" t="s">
        <v>25</v>
      </c>
      <c r="Q1068" s="1" t="s">
        <v>25</v>
      </c>
      <c r="R1068" s="1" t="s">
        <v>25</v>
      </c>
      <c r="S1068" s="2">
        <v>0</v>
      </c>
    </row>
    <row r="1069" spans="1:19" x14ac:dyDescent="0.3">
      <c r="A1069" t="s">
        <v>2147</v>
      </c>
      <c r="B1069" s="5" t="e" cm="1">
        <f t="array" ref="B1069">MAX(#REF!,MIN(#REF!,#REF!+SUMPRODUCT(--(FoodData[[#This Row],[Healthy]:[Refined]]="Yes"),#REF!)+FoodData[[#This Row],[Adjust]]))</f>
        <v>#REF!</v>
      </c>
      <c r="C1069" s="1" t="e">
        <f>LOOKUP(FoodData[[#This Row],[Score]],#REF!,#REF!)</f>
        <v>#REF!</v>
      </c>
      <c r="D1069" t="s">
        <v>2094</v>
      </c>
      <c r="E1069" t="s">
        <v>28</v>
      </c>
      <c r="F1069" t="s">
        <v>60</v>
      </c>
      <c r="G1069" t="s">
        <v>23</v>
      </c>
      <c r="H1069" t="s">
        <v>2148</v>
      </c>
      <c r="I1069" s="1" t="s">
        <v>25</v>
      </c>
      <c r="J1069" s="1" t="s">
        <v>25</v>
      </c>
      <c r="K1069" s="1" t="s">
        <v>26</v>
      </c>
      <c r="L1069" s="1" t="s">
        <v>25</v>
      </c>
      <c r="M1069" s="1" t="s">
        <v>25</v>
      </c>
      <c r="N1069" s="1" t="s">
        <v>26</v>
      </c>
      <c r="O1069" s="1" t="s">
        <v>25</v>
      </c>
      <c r="P1069" s="1" t="s">
        <v>25</v>
      </c>
      <c r="Q1069" s="1" t="s">
        <v>25</v>
      </c>
      <c r="R1069" s="1" t="s">
        <v>25</v>
      </c>
      <c r="S1069" s="2">
        <v>0</v>
      </c>
    </row>
    <row r="1070" spans="1:19" x14ac:dyDescent="0.3">
      <c r="A1070" t="s">
        <v>2149</v>
      </c>
      <c r="B1070" s="5" t="e" cm="1">
        <f t="array" ref="B1070">MAX(#REF!,MIN(#REF!,#REF!+SUMPRODUCT(--(FoodData[[#This Row],[Healthy]:[Refined]]="Yes"),#REF!)+FoodData[[#This Row],[Adjust]]))</f>
        <v>#REF!</v>
      </c>
      <c r="C1070" s="1" t="e">
        <f>LOOKUP(FoodData[[#This Row],[Score]],#REF!,#REF!)</f>
        <v>#REF!</v>
      </c>
      <c r="D1070" t="s">
        <v>2094</v>
      </c>
      <c r="E1070" t="s">
        <v>28</v>
      </c>
      <c r="F1070" t="s">
        <v>60</v>
      </c>
      <c r="G1070" t="s">
        <v>23</v>
      </c>
      <c r="H1070" t="s">
        <v>2150</v>
      </c>
      <c r="I1070" s="1" t="s">
        <v>26</v>
      </c>
      <c r="J1070" s="1" t="s">
        <v>25</v>
      </c>
      <c r="K1070" s="1" t="s">
        <v>26</v>
      </c>
      <c r="L1070" s="1" t="s">
        <v>25</v>
      </c>
      <c r="M1070" s="1" t="s">
        <v>25</v>
      </c>
      <c r="N1070" s="1" t="s">
        <v>26</v>
      </c>
      <c r="O1070" s="1" t="s">
        <v>25</v>
      </c>
      <c r="P1070" s="1" t="s">
        <v>25</v>
      </c>
      <c r="Q1070" s="1" t="s">
        <v>25</v>
      </c>
      <c r="R1070" s="1" t="s">
        <v>25</v>
      </c>
      <c r="S1070" s="2">
        <v>0</v>
      </c>
    </row>
    <row r="1071" spans="1:19" x14ac:dyDescent="0.3">
      <c r="A1071" t="s">
        <v>2151</v>
      </c>
      <c r="B1071" s="5" t="e" cm="1">
        <f t="array" ref="B1071">MAX(#REF!,MIN(#REF!,#REF!+SUMPRODUCT(--(FoodData[[#This Row],[Healthy]:[Refined]]="Yes"),#REF!)+FoodData[[#This Row],[Adjust]]))</f>
        <v>#REF!</v>
      </c>
      <c r="C1071" s="1" t="e">
        <f>LOOKUP(FoodData[[#This Row],[Score]],#REF!,#REF!)</f>
        <v>#REF!</v>
      </c>
      <c r="D1071" t="s">
        <v>2094</v>
      </c>
      <c r="E1071" t="s">
        <v>28</v>
      </c>
      <c r="F1071" t="s">
        <v>60</v>
      </c>
      <c r="G1071" t="s">
        <v>23</v>
      </c>
      <c r="H1071" t="s">
        <v>2152</v>
      </c>
      <c r="I1071" s="1" t="s">
        <v>25</v>
      </c>
      <c r="J1071" s="1" t="s">
        <v>25</v>
      </c>
      <c r="K1071" s="1" t="s">
        <v>26</v>
      </c>
      <c r="L1071" s="1" t="s">
        <v>25</v>
      </c>
      <c r="M1071" s="1" t="s">
        <v>25</v>
      </c>
      <c r="N1071" s="1" t="s">
        <v>25</v>
      </c>
      <c r="O1071" s="1" t="s">
        <v>26</v>
      </c>
      <c r="P1071" s="1" t="s">
        <v>25</v>
      </c>
      <c r="Q1071" s="1" t="s">
        <v>25</v>
      </c>
      <c r="R1071" s="1" t="s">
        <v>25</v>
      </c>
      <c r="S1071" s="2">
        <v>0</v>
      </c>
    </row>
    <row r="1072" spans="1:19" x14ac:dyDescent="0.3">
      <c r="A1072" t="s">
        <v>2153</v>
      </c>
      <c r="B1072" s="5" t="e" cm="1">
        <f t="array" ref="B1072">MAX(#REF!,MIN(#REF!,#REF!+SUMPRODUCT(--(FoodData[[#This Row],[Healthy]:[Refined]]="Yes"),#REF!)+FoodData[[#This Row],[Adjust]]))</f>
        <v>#REF!</v>
      </c>
      <c r="C1072" s="1" t="e">
        <f>LOOKUP(FoodData[[#This Row],[Score]],#REF!,#REF!)</f>
        <v>#REF!</v>
      </c>
      <c r="D1072" t="s">
        <v>2094</v>
      </c>
      <c r="E1072" t="s">
        <v>28</v>
      </c>
      <c r="F1072" t="s">
        <v>60</v>
      </c>
      <c r="G1072" t="s">
        <v>23</v>
      </c>
      <c r="H1072" t="s">
        <v>2154</v>
      </c>
      <c r="I1072" s="1" t="s">
        <v>26</v>
      </c>
      <c r="J1072" s="1" t="s">
        <v>25</v>
      </c>
      <c r="K1072" s="1" t="s">
        <v>26</v>
      </c>
      <c r="L1072" s="1" t="s">
        <v>25</v>
      </c>
      <c r="M1072" s="1" t="s">
        <v>25</v>
      </c>
      <c r="N1072" s="1" t="s">
        <v>26</v>
      </c>
      <c r="O1072" s="1" t="s">
        <v>25</v>
      </c>
      <c r="P1072" s="1" t="s">
        <v>25</v>
      </c>
      <c r="Q1072" s="1" t="s">
        <v>25</v>
      </c>
      <c r="R1072" s="1" t="s">
        <v>25</v>
      </c>
      <c r="S1072" s="2">
        <v>0</v>
      </c>
    </row>
    <row r="1073" spans="1:19" x14ac:dyDescent="0.3">
      <c r="A1073" t="s">
        <v>2155</v>
      </c>
      <c r="B1073" s="5" t="e" cm="1">
        <f t="array" ref="B1073">MAX(#REF!,MIN(#REF!,#REF!+SUMPRODUCT(--(FoodData[[#This Row],[Healthy]:[Refined]]="Yes"),#REF!)+FoodData[[#This Row],[Adjust]]))</f>
        <v>#REF!</v>
      </c>
      <c r="C1073" s="1" t="e">
        <f>LOOKUP(FoodData[[#This Row],[Score]],#REF!,#REF!)</f>
        <v>#REF!</v>
      </c>
      <c r="D1073" t="s">
        <v>2094</v>
      </c>
      <c r="E1073" t="s">
        <v>28</v>
      </c>
      <c r="F1073" t="s">
        <v>22</v>
      </c>
      <c r="G1073" t="s">
        <v>23</v>
      </c>
      <c r="H1073" t="s">
        <v>2156</v>
      </c>
      <c r="I1073" s="1" t="s">
        <v>26</v>
      </c>
      <c r="J1073" s="1" t="s">
        <v>25</v>
      </c>
      <c r="K1073" s="1" t="s">
        <v>26</v>
      </c>
      <c r="L1073" s="1" t="s">
        <v>26</v>
      </c>
      <c r="M1073" s="1" t="s">
        <v>25</v>
      </c>
      <c r="N1073" s="1" t="s">
        <v>26</v>
      </c>
      <c r="O1073" s="1" t="s">
        <v>25</v>
      </c>
      <c r="P1073" s="1" t="s">
        <v>25</v>
      </c>
      <c r="Q1073" s="1" t="s">
        <v>25</v>
      </c>
      <c r="R1073" s="1" t="s">
        <v>25</v>
      </c>
      <c r="S1073" s="2">
        <v>0</v>
      </c>
    </row>
    <row r="1074" spans="1:19" x14ac:dyDescent="0.3">
      <c r="A1074" t="s">
        <v>2157</v>
      </c>
      <c r="B1074" s="5" t="e" cm="1">
        <f t="array" ref="B1074">MAX(#REF!,MIN(#REF!,#REF!+SUMPRODUCT(--(FoodData[[#This Row],[Healthy]:[Refined]]="Yes"),#REF!)+FoodData[[#This Row],[Adjust]]))</f>
        <v>#REF!</v>
      </c>
      <c r="C1074" s="1" t="e">
        <f>LOOKUP(FoodData[[#This Row],[Score]],#REF!,#REF!)</f>
        <v>#REF!</v>
      </c>
      <c r="D1074" t="s">
        <v>2094</v>
      </c>
      <c r="E1074" t="s">
        <v>28</v>
      </c>
      <c r="F1074" t="s">
        <v>22</v>
      </c>
      <c r="G1074" t="s">
        <v>23</v>
      </c>
      <c r="H1074" t="s">
        <v>2158</v>
      </c>
      <c r="I1074" s="1" t="s">
        <v>25</v>
      </c>
      <c r="J1074" s="1" t="s">
        <v>25</v>
      </c>
      <c r="K1074" s="1" t="s">
        <v>25</v>
      </c>
      <c r="L1074" s="1" t="s">
        <v>25</v>
      </c>
      <c r="M1074" s="1" t="s">
        <v>25</v>
      </c>
      <c r="N1074" s="1" t="s">
        <v>25</v>
      </c>
      <c r="O1074" s="1" t="s">
        <v>26</v>
      </c>
      <c r="P1074" s="1" t="s">
        <v>25</v>
      </c>
      <c r="Q1074" s="1" t="s">
        <v>25</v>
      </c>
      <c r="R1074" s="1" t="s">
        <v>25</v>
      </c>
      <c r="S1074" s="2">
        <v>0</v>
      </c>
    </row>
    <row r="1075" spans="1:19" x14ac:dyDescent="0.3">
      <c r="A1075" t="s">
        <v>2159</v>
      </c>
      <c r="B1075" s="5" t="e" cm="1">
        <f t="array" ref="B1075">MAX(#REF!,MIN(#REF!,#REF!+SUMPRODUCT(--(FoodData[[#This Row],[Healthy]:[Refined]]="Yes"),#REF!)+FoodData[[#This Row],[Adjust]]))</f>
        <v>#REF!</v>
      </c>
      <c r="C1075" s="1" t="e">
        <f>LOOKUP(FoodData[[#This Row],[Score]],#REF!,#REF!)</f>
        <v>#REF!</v>
      </c>
      <c r="D1075" t="s">
        <v>2094</v>
      </c>
      <c r="E1075" t="s">
        <v>28</v>
      </c>
      <c r="F1075" t="s">
        <v>22</v>
      </c>
      <c r="G1075" t="s">
        <v>23</v>
      </c>
      <c r="H1075" t="s">
        <v>2160</v>
      </c>
      <c r="I1075" s="1" t="s">
        <v>25</v>
      </c>
      <c r="J1075" s="1" t="s">
        <v>25</v>
      </c>
      <c r="K1075" s="1" t="s">
        <v>25</v>
      </c>
      <c r="L1075" s="1" t="s">
        <v>26</v>
      </c>
      <c r="M1075" s="1" t="s">
        <v>25</v>
      </c>
      <c r="N1075" s="1" t="s">
        <v>26</v>
      </c>
      <c r="O1075" s="1" t="s">
        <v>25</v>
      </c>
      <c r="P1075" s="1" t="s">
        <v>25</v>
      </c>
      <c r="Q1075" s="1" t="s">
        <v>25</v>
      </c>
      <c r="R1075" s="1" t="s">
        <v>25</v>
      </c>
      <c r="S1075" s="2">
        <v>0</v>
      </c>
    </row>
    <row r="1076" spans="1:19" x14ac:dyDescent="0.3">
      <c r="A1076" t="s">
        <v>2161</v>
      </c>
      <c r="B1076" s="5" t="e" cm="1">
        <f t="array" ref="B1076">MAX(#REF!,MIN(#REF!,#REF!+SUMPRODUCT(--(FoodData[[#This Row],[Healthy]:[Refined]]="Yes"),#REF!)+FoodData[[#This Row],[Adjust]]))</f>
        <v>#REF!</v>
      </c>
      <c r="C1076" s="1" t="e">
        <f>LOOKUP(FoodData[[#This Row],[Score]],#REF!,#REF!)</f>
        <v>#REF!</v>
      </c>
      <c r="D1076" t="s">
        <v>2094</v>
      </c>
      <c r="E1076" t="s">
        <v>28</v>
      </c>
      <c r="F1076" t="s">
        <v>60</v>
      </c>
      <c r="G1076" t="s">
        <v>23</v>
      </c>
      <c r="H1076" t="s">
        <v>2162</v>
      </c>
      <c r="I1076" s="1" t="s">
        <v>25</v>
      </c>
      <c r="J1076" s="1" t="s">
        <v>25</v>
      </c>
      <c r="K1076" s="1" t="s">
        <v>26</v>
      </c>
      <c r="L1076" s="1" t="s">
        <v>25</v>
      </c>
      <c r="M1076" s="1" t="s">
        <v>25</v>
      </c>
      <c r="N1076" s="1" t="s">
        <v>26</v>
      </c>
      <c r="O1076" s="1" t="s">
        <v>26</v>
      </c>
      <c r="P1076" s="1" t="s">
        <v>25</v>
      </c>
      <c r="Q1076" s="1" t="s">
        <v>25</v>
      </c>
      <c r="R1076" s="1" t="s">
        <v>25</v>
      </c>
      <c r="S1076" s="2">
        <v>0</v>
      </c>
    </row>
    <row r="1077" spans="1:19" x14ac:dyDescent="0.3">
      <c r="A1077" t="s">
        <v>2163</v>
      </c>
      <c r="B1077" s="5" t="e" cm="1">
        <f t="array" ref="B1077">MAX(#REF!,MIN(#REF!,#REF!+SUMPRODUCT(--(FoodData[[#This Row],[Healthy]:[Refined]]="Yes"),#REF!)+FoodData[[#This Row],[Adjust]]))</f>
        <v>#REF!</v>
      </c>
      <c r="C1077" s="1" t="e">
        <f>LOOKUP(FoodData[[#This Row],[Score]],#REF!,#REF!)</f>
        <v>#REF!</v>
      </c>
      <c r="D1077" t="s">
        <v>2094</v>
      </c>
      <c r="E1077" t="s">
        <v>28</v>
      </c>
      <c r="F1077" t="s">
        <v>22</v>
      </c>
      <c r="G1077" t="s">
        <v>23</v>
      </c>
      <c r="H1077" t="s">
        <v>2164</v>
      </c>
      <c r="I1077" s="1" t="s">
        <v>25</v>
      </c>
      <c r="J1077" s="1" t="s">
        <v>25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26</v>
      </c>
      <c r="P1077" s="1" t="s">
        <v>25</v>
      </c>
      <c r="Q1077" s="1" t="s">
        <v>25</v>
      </c>
      <c r="R1077" s="1" t="s">
        <v>25</v>
      </c>
      <c r="S1077" s="2">
        <v>0</v>
      </c>
    </row>
    <row r="1078" spans="1:19" x14ac:dyDescent="0.3">
      <c r="A1078" t="s">
        <v>2165</v>
      </c>
      <c r="B1078" s="5" t="e" cm="1">
        <f t="array" ref="B1078">MAX(#REF!,MIN(#REF!,#REF!+SUMPRODUCT(--(FoodData[[#This Row],[Healthy]:[Refined]]="Yes"),#REF!)+FoodData[[#This Row],[Adjust]]))</f>
        <v>#REF!</v>
      </c>
      <c r="C1078" s="1" t="e">
        <f>LOOKUP(FoodData[[#This Row],[Score]],#REF!,#REF!)</f>
        <v>#REF!</v>
      </c>
      <c r="D1078" t="s">
        <v>2094</v>
      </c>
      <c r="E1078" t="s">
        <v>28</v>
      </c>
      <c r="F1078" t="s">
        <v>22</v>
      </c>
      <c r="G1078" t="s">
        <v>23</v>
      </c>
      <c r="H1078" t="s">
        <v>2166</v>
      </c>
      <c r="I1078" s="1" t="s">
        <v>25</v>
      </c>
      <c r="J1078" s="1" t="s">
        <v>25</v>
      </c>
      <c r="K1078" s="1" t="s">
        <v>25</v>
      </c>
      <c r="L1078" s="1" t="s">
        <v>25</v>
      </c>
      <c r="M1078" s="1" t="s">
        <v>25</v>
      </c>
      <c r="N1078" s="1" t="s">
        <v>26</v>
      </c>
      <c r="O1078" s="1" t="s">
        <v>25</v>
      </c>
      <c r="P1078" s="1" t="s">
        <v>25</v>
      </c>
      <c r="Q1078" s="1" t="s">
        <v>25</v>
      </c>
      <c r="R1078" s="1" t="s">
        <v>25</v>
      </c>
      <c r="S1078" s="2">
        <v>0</v>
      </c>
    </row>
    <row r="1079" spans="1:19" x14ac:dyDescent="0.3">
      <c r="A1079" t="s">
        <v>2167</v>
      </c>
      <c r="B1079" s="5" t="e" cm="1">
        <f t="array" ref="B1079">MAX(#REF!,MIN(#REF!,#REF!+SUMPRODUCT(--(FoodData[[#This Row],[Healthy]:[Refined]]="Yes"),#REF!)+FoodData[[#This Row],[Adjust]]))</f>
        <v>#REF!</v>
      </c>
      <c r="C1079" s="1" t="e">
        <f>LOOKUP(FoodData[[#This Row],[Score]],#REF!,#REF!)</f>
        <v>#REF!</v>
      </c>
      <c r="D1079" t="s">
        <v>2094</v>
      </c>
      <c r="E1079" t="s">
        <v>28</v>
      </c>
      <c r="F1079" t="s">
        <v>22</v>
      </c>
      <c r="G1079" t="s">
        <v>23</v>
      </c>
      <c r="H1079" t="s">
        <v>2168</v>
      </c>
      <c r="I1079" s="1" t="s">
        <v>25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26</v>
      </c>
      <c r="P1079" s="1" t="s">
        <v>25</v>
      </c>
      <c r="Q1079" s="1" t="s">
        <v>25</v>
      </c>
      <c r="R1079" s="1" t="s">
        <v>25</v>
      </c>
      <c r="S1079" s="2">
        <v>0</v>
      </c>
    </row>
    <row r="1080" spans="1:19" x14ac:dyDescent="0.3">
      <c r="A1080" t="s">
        <v>2169</v>
      </c>
      <c r="B1080" s="5" t="e" cm="1">
        <f t="array" ref="B1080">MAX(#REF!,MIN(#REF!,#REF!+SUMPRODUCT(--(FoodData[[#This Row],[Healthy]:[Refined]]="Yes"),#REF!)+FoodData[[#This Row],[Adjust]]))</f>
        <v>#REF!</v>
      </c>
      <c r="C1080" s="1" t="e">
        <f>LOOKUP(FoodData[[#This Row],[Score]],#REF!,#REF!)</f>
        <v>#REF!</v>
      </c>
      <c r="D1080" t="s">
        <v>2094</v>
      </c>
      <c r="E1080" t="s">
        <v>28</v>
      </c>
      <c r="F1080" t="s">
        <v>22</v>
      </c>
      <c r="G1080" t="s">
        <v>23</v>
      </c>
      <c r="H1080" t="s">
        <v>2170</v>
      </c>
      <c r="I1080" s="1" t="s">
        <v>25</v>
      </c>
      <c r="J1080" s="1" t="s">
        <v>25</v>
      </c>
      <c r="K1080" s="1" t="s">
        <v>25</v>
      </c>
      <c r="L1080" s="1" t="s">
        <v>25</v>
      </c>
      <c r="M1080" s="1" t="s">
        <v>25</v>
      </c>
      <c r="N1080" s="1" t="s">
        <v>25</v>
      </c>
      <c r="O1080" s="1" t="s">
        <v>26</v>
      </c>
      <c r="P1080" s="1" t="s">
        <v>25</v>
      </c>
      <c r="Q1080" s="1" t="s">
        <v>25</v>
      </c>
      <c r="R1080" s="1" t="s">
        <v>25</v>
      </c>
      <c r="S1080" s="2">
        <v>0</v>
      </c>
    </row>
    <row r="1081" spans="1:19" x14ac:dyDescent="0.3">
      <c r="A1081" t="s">
        <v>2171</v>
      </c>
      <c r="B1081" s="5" t="e" cm="1">
        <f t="array" ref="B1081">MAX(#REF!,MIN(#REF!,#REF!+SUMPRODUCT(--(FoodData[[#This Row],[Healthy]:[Refined]]="Yes"),#REF!)+FoodData[[#This Row],[Adjust]]))</f>
        <v>#REF!</v>
      </c>
      <c r="C1081" s="1" t="e">
        <f>LOOKUP(FoodData[[#This Row],[Score]],#REF!,#REF!)</f>
        <v>#REF!</v>
      </c>
      <c r="D1081" t="s">
        <v>2094</v>
      </c>
      <c r="E1081" t="s">
        <v>28</v>
      </c>
      <c r="F1081" t="s">
        <v>22</v>
      </c>
      <c r="G1081" t="s">
        <v>23</v>
      </c>
      <c r="H1081" t="s">
        <v>2172</v>
      </c>
      <c r="I1081" s="1" t="s">
        <v>25</v>
      </c>
      <c r="J1081" s="1" t="s">
        <v>25</v>
      </c>
      <c r="K1081" s="1" t="s">
        <v>25</v>
      </c>
      <c r="L1081" s="1" t="s">
        <v>25</v>
      </c>
      <c r="M1081" s="1" t="s">
        <v>26</v>
      </c>
      <c r="N1081" s="1" t="s">
        <v>25</v>
      </c>
      <c r="O1081" s="1" t="s">
        <v>26</v>
      </c>
      <c r="P1081" s="1" t="s">
        <v>25</v>
      </c>
      <c r="Q1081" s="1" t="s">
        <v>25</v>
      </c>
      <c r="R1081" s="1" t="s">
        <v>25</v>
      </c>
      <c r="S1081" s="2">
        <v>0</v>
      </c>
    </row>
    <row r="1082" spans="1:19" x14ac:dyDescent="0.3">
      <c r="A1082" t="s">
        <v>2173</v>
      </c>
      <c r="B1082" s="5" t="e" cm="1">
        <f t="array" ref="B1082">MAX(#REF!,MIN(#REF!,#REF!+SUMPRODUCT(--(FoodData[[#This Row],[Healthy]:[Refined]]="Yes"),#REF!)+FoodData[[#This Row],[Adjust]]))</f>
        <v>#REF!</v>
      </c>
      <c r="C1082" s="1" t="e">
        <f>LOOKUP(FoodData[[#This Row],[Score]],#REF!,#REF!)</f>
        <v>#REF!</v>
      </c>
      <c r="D1082" t="s">
        <v>2094</v>
      </c>
      <c r="E1082" t="s">
        <v>28</v>
      </c>
      <c r="F1082" t="s">
        <v>60</v>
      </c>
      <c r="G1082" t="s">
        <v>23</v>
      </c>
      <c r="H1082" t="s">
        <v>2174</v>
      </c>
      <c r="I1082" s="1" t="s">
        <v>25</v>
      </c>
      <c r="J1082" s="1" t="s">
        <v>25</v>
      </c>
      <c r="K1082" s="1" t="s">
        <v>26</v>
      </c>
      <c r="L1082" s="1" t="s">
        <v>25</v>
      </c>
      <c r="M1082" s="1" t="s">
        <v>25</v>
      </c>
      <c r="N1082" s="1" t="s">
        <v>26</v>
      </c>
      <c r="O1082" s="1" t="s">
        <v>25</v>
      </c>
      <c r="P1082" s="1" t="s">
        <v>25</v>
      </c>
      <c r="Q1082" s="1" t="s">
        <v>25</v>
      </c>
      <c r="R1082" s="1" t="s">
        <v>25</v>
      </c>
      <c r="S1082" s="2">
        <v>0</v>
      </c>
    </row>
    <row r="1083" spans="1:19" x14ac:dyDescent="0.3">
      <c r="A1083" t="s">
        <v>2175</v>
      </c>
      <c r="B1083" s="5" t="e" cm="1">
        <f t="array" ref="B1083">MAX(#REF!,MIN(#REF!,#REF!+SUMPRODUCT(--(FoodData[[#This Row],[Healthy]:[Refined]]="Yes"),#REF!)+FoodData[[#This Row],[Adjust]]))</f>
        <v>#REF!</v>
      </c>
      <c r="C1083" s="1" t="e">
        <f>LOOKUP(FoodData[[#This Row],[Score]],#REF!,#REF!)</f>
        <v>#REF!</v>
      </c>
      <c r="D1083" t="s">
        <v>2094</v>
      </c>
      <c r="E1083" t="s">
        <v>28</v>
      </c>
      <c r="F1083" t="s">
        <v>22</v>
      </c>
      <c r="G1083" t="s">
        <v>23</v>
      </c>
      <c r="H1083" t="s">
        <v>2176</v>
      </c>
      <c r="I1083" s="1" t="s">
        <v>26</v>
      </c>
      <c r="J1083" s="1" t="s">
        <v>26</v>
      </c>
      <c r="K1083" s="1" t="s">
        <v>25</v>
      </c>
      <c r="L1083" s="1" t="s">
        <v>26</v>
      </c>
      <c r="M1083" s="1" t="s">
        <v>25</v>
      </c>
      <c r="N1083" s="1" t="s">
        <v>25</v>
      </c>
      <c r="O1083" s="1" t="s">
        <v>25</v>
      </c>
      <c r="P1083" s="1" t="s">
        <v>25</v>
      </c>
      <c r="Q1083" s="1" t="s">
        <v>25</v>
      </c>
      <c r="R1083" s="1" t="s">
        <v>25</v>
      </c>
      <c r="S1083" s="2">
        <v>0</v>
      </c>
    </row>
    <row r="1084" spans="1:19" x14ac:dyDescent="0.3">
      <c r="A1084" t="s">
        <v>2177</v>
      </c>
      <c r="B1084" s="5" t="e" cm="1">
        <f t="array" ref="B1084">MAX(#REF!,MIN(#REF!,#REF!+SUMPRODUCT(--(FoodData[[#This Row],[Healthy]:[Refined]]="Yes"),#REF!)+FoodData[[#This Row],[Adjust]]))</f>
        <v>#REF!</v>
      </c>
      <c r="C1084" s="1" t="e">
        <f>LOOKUP(FoodData[[#This Row],[Score]],#REF!,#REF!)</f>
        <v>#REF!</v>
      </c>
      <c r="D1084" t="s">
        <v>2094</v>
      </c>
      <c r="E1084" t="s">
        <v>28</v>
      </c>
      <c r="F1084" t="s">
        <v>22</v>
      </c>
      <c r="G1084" t="s">
        <v>23</v>
      </c>
      <c r="H1084" t="s">
        <v>2178</v>
      </c>
      <c r="I1084" s="1" t="s">
        <v>26</v>
      </c>
      <c r="J1084" s="1" t="s">
        <v>26</v>
      </c>
      <c r="K1084" s="1" t="s">
        <v>26</v>
      </c>
      <c r="L1084" s="1" t="s">
        <v>26</v>
      </c>
      <c r="M1084" s="1" t="s">
        <v>25</v>
      </c>
      <c r="N1084" s="1" t="s">
        <v>25</v>
      </c>
      <c r="O1084" s="1" t="s">
        <v>25</v>
      </c>
      <c r="P1084" s="1" t="s">
        <v>25</v>
      </c>
      <c r="Q1084" s="1" t="s">
        <v>25</v>
      </c>
      <c r="R1084" s="1" t="s">
        <v>25</v>
      </c>
      <c r="S1084" s="2">
        <v>0</v>
      </c>
    </row>
    <row r="1085" spans="1:19" x14ac:dyDescent="0.3">
      <c r="A1085" t="s">
        <v>2179</v>
      </c>
      <c r="B1085" s="5" t="e" cm="1">
        <f t="array" ref="B1085">MAX(#REF!,MIN(#REF!,#REF!+SUMPRODUCT(--(FoodData[[#This Row],[Healthy]:[Refined]]="Yes"),#REF!)+FoodData[[#This Row],[Adjust]]))</f>
        <v>#REF!</v>
      </c>
      <c r="C1085" s="1" t="e">
        <f>LOOKUP(FoodData[[#This Row],[Score]],#REF!,#REF!)</f>
        <v>#REF!</v>
      </c>
      <c r="D1085" t="s">
        <v>2094</v>
      </c>
      <c r="E1085" t="s">
        <v>28</v>
      </c>
      <c r="F1085" t="s">
        <v>22</v>
      </c>
      <c r="G1085" t="s">
        <v>23</v>
      </c>
      <c r="H1085" t="s">
        <v>2180</v>
      </c>
      <c r="I1085" s="1" t="s">
        <v>26</v>
      </c>
      <c r="J1085" s="1" t="s">
        <v>25</v>
      </c>
      <c r="K1085" s="1" t="s">
        <v>26</v>
      </c>
      <c r="L1085" s="1" t="s">
        <v>25</v>
      </c>
      <c r="M1085" s="1" t="s">
        <v>25</v>
      </c>
      <c r="N1085" s="1" t="s">
        <v>25</v>
      </c>
      <c r="O1085" s="1" t="s">
        <v>26</v>
      </c>
      <c r="P1085" s="1" t="s">
        <v>25</v>
      </c>
      <c r="Q1085" s="1" t="s">
        <v>25</v>
      </c>
      <c r="R1085" s="1" t="s">
        <v>25</v>
      </c>
      <c r="S1085" s="2">
        <v>0</v>
      </c>
    </row>
    <row r="1086" spans="1:19" x14ac:dyDescent="0.3">
      <c r="A1086" t="s">
        <v>2181</v>
      </c>
      <c r="B1086" s="5" t="e" cm="1">
        <f t="array" ref="B1086">MAX(#REF!,MIN(#REF!,#REF!+SUMPRODUCT(--(FoodData[[#This Row],[Healthy]:[Refined]]="Yes"),#REF!)+FoodData[[#This Row],[Adjust]]))</f>
        <v>#REF!</v>
      </c>
      <c r="C1086" s="1" t="e">
        <f>LOOKUP(FoodData[[#This Row],[Score]],#REF!,#REF!)</f>
        <v>#REF!</v>
      </c>
      <c r="D1086" t="s">
        <v>2094</v>
      </c>
      <c r="E1086" t="s">
        <v>63</v>
      </c>
      <c r="F1086" t="s">
        <v>22</v>
      </c>
      <c r="G1086" t="s">
        <v>23</v>
      </c>
      <c r="H1086" t="s">
        <v>2182</v>
      </c>
      <c r="I1086" s="1" t="s">
        <v>26</v>
      </c>
      <c r="J1086" s="1" t="s">
        <v>25</v>
      </c>
      <c r="K1086" s="1" t="s">
        <v>26</v>
      </c>
      <c r="L1086" s="1" t="s">
        <v>25</v>
      </c>
      <c r="M1086" s="1" t="s">
        <v>25</v>
      </c>
      <c r="N1086" s="1" t="s">
        <v>26</v>
      </c>
      <c r="O1086" s="1" t="s">
        <v>25</v>
      </c>
      <c r="P1086" s="1" t="s">
        <v>25</v>
      </c>
      <c r="Q1086" s="1" t="s">
        <v>25</v>
      </c>
      <c r="R1086" s="1" t="s">
        <v>25</v>
      </c>
      <c r="S1086" s="2">
        <v>0</v>
      </c>
    </row>
    <row r="1087" spans="1:19" x14ac:dyDescent="0.3">
      <c r="A1087" t="s">
        <v>2183</v>
      </c>
      <c r="B1087" s="5" t="e" cm="1">
        <f t="array" ref="B1087">MAX(#REF!,MIN(#REF!,#REF!+SUMPRODUCT(--(FoodData[[#This Row],[Healthy]:[Refined]]="Yes"),#REF!)+FoodData[[#This Row],[Adjust]]))</f>
        <v>#REF!</v>
      </c>
      <c r="C1087" s="1" t="e">
        <f>LOOKUP(FoodData[[#This Row],[Score]],#REF!,#REF!)</f>
        <v>#REF!</v>
      </c>
      <c r="D1087" t="s">
        <v>2094</v>
      </c>
      <c r="E1087" t="s">
        <v>28</v>
      </c>
      <c r="F1087" t="s">
        <v>22</v>
      </c>
      <c r="G1087" t="s">
        <v>23</v>
      </c>
      <c r="H1087" t="s">
        <v>2184</v>
      </c>
      <c r="I1087" s="1" t="s">
        <v>25</v>
      </c>
      <c r="J1087" s="1" t="s">
        <v>25</v>
      </c>
      <c r="K1087" s="1" t="s">
        <v>25</v>
      </c>
      <c r="L1087" s="1" t="s">
        <v>25</v>
      </c>
      <c r="M1087" s="1" t="s">
        <v>25</v>
      </c>
      <c r="N1087" s="1" t="s">
        <v>26</v>
      </c>
      <c r="O1087" s="1" t="s">
        <v>25</v>
      </c>
      <c r="P1087" s="1" t="s">
        <v>26</v>
      </c>
      <c r="Q1087" s="1" t="s">
        <v>25</v>
      </c>
      <c r="R1087" s="1" t="s">
        <v>25</v>
      </c>
      <c r="S1087" s="2">
        <v>0</v>
      </c>
    </row>
    <row r="1088" spans="1:19" x14ac:dyDescent="0.3">
      <c r="A1088" t="s">
        <v>2185</v>
      </c>
      <c r="B1088" s="5" t="e" cm="1">
        <f t="array" ref="B1088">MAX(#REF!,MIN(#REF!,#REF!+SUMPRODUCT(--(FoodData[[#This Row],[Healthy]:[Refined]]="Yes"),#REF!)+FoodData[[#This Row],[Adjust]]))</f>
        <v>#REF!</v>
      </c>
      <c r="C1088" s="1" t="e">
        <f>LOOKUP(FoodData[[#This Row],[Score]],#REF!,#REF!)</f>
        <v>#REF!</v>
      </c>
      <c r="D1088" t="s">
        <v>2094</v>
      </c>
      <c r="E1088" t="s">
        <v>28</v>
      </c>
      <c r="F1088" t="s">
        <v>60</v>
      </c>
      <c r="G1088" t="s">
        <v>23</v>
      </c>
      <c r="H1088" t="s">
        <v>2186</v>
      </c>
      <c r="I1088" s="1" t="s">
        <v>25</v>
      </c>
      <c r="J1088" s="1" t="s">
        <v>25</v>
      </c>
      <c r="K1088" s="1" t="s">
        <v>26</v>
      </c>
      <c r="L1088" s="1" t="s">
        <v>25</v>
      </c>
      <c r="M1088" s="1" t="s">
        <v>25</v>
      </c>
      <c r="N1088" s="1" t="s">
        <v>26</v>
      </c>
      <c r="O1088" s="1" t="s">
        <v>26</v>
      </c>
      <c r="P1088" s="1" t="s">
        <v>25</v>
      </c>
      <c r="Q1088" s="1" t="s">
        <v>25</v>
      </c>
      <c r="R1088" s="1" t="s">
        <v>25</v>
      </c>
      <c r="S1088" s="2">
        <v>0</v>
      </c>
    </row>
    <row r="1089" spans="1:19" x14ac:dyDescent="0.3">
      <c r="A1089" t="s">
        <v>2187</v>
      </c>
      <c r="B1089" s="5" t="e" cm="1">
        <f t="array" ref="B1089">MAX(#REF!,MIN(#REF!,#REF!+SUMPRODUCT(--(FoodData[[#This Row],[Healthy]:[Refined]]="Yes"),#REF!)+FoodData[[#This Row],[Adjust]]))</f>
        <v>#REF!</v>
      </c>
      <c r="C1089" s="1" t="e">
        <f>LOOKUP(FoodData[[#This Row],[Score]],#REF!,#REF!)</f>
        <v>#REF!</v>
      </c>
      <c r="D1089" t="s">
        <v>2094</v>
      </c>
      <c r="E1089" t="s">
        <v>28</v>
      </c>
      <c r="F1089" t="s">
        <v>22</v>
      </c>
      <c r="G1089" t="s">
        <v>23</v>
      </c>
      <c r="H1089" t="s">
        <v>2188</v>
      </c>
      <c r="I1089" s="1" t="s">
        <v>26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25</v>
      </c>
      <c r="O1089" s="1" t="s">
        <v>25</v>
      </c>
      <c r="P1089" s="1" t="s">
        <v>25</v>
      </c>
      <c r="Q1089" s="1" t="s">
        <v>25</v>
      </c>
      <c r="R1089" s="1" t="s">
        <v>25</v>
      </c>
      <c r="S1089" s="2">
        <v>0</v>
      </c>
    </row>
    <row r="1090" spans="1:19" x14ac:dyDescent="0.3">
      <c r="A1090" t="s">
        <v>2189</v>
      </c>
      <c r="B1090" s="5" t="e" cm="1">
        <f t="array" ref="B1090">MAX(#REF!,MIN(#REF!,#REF!+SUMPRODUCT(--(FoodData[[#This Row],[Healthy]:[Refined]]="Yes"),#REF!)+FoodData[[#This Row],[Adjust]]))</f>
        <v>#REF!</v>
      </c>
      <c r="C1090" s="1" t="e">
        <f>LOOKUP(FoodData[[#This Row],[Score]],#REF!,#REF!)</f>
        <v>#REF!</v>
      </c>
      <c r="D1090" t="s">
        <v>2094</v>
      </c>
      <c r="E1090" t="s">
        <v>28</v>
      </c>
      <c r="F1090" t="s">
        <v>22</v>
      </c>
      <c r="G1090" t="s">
        <v>23</v>
      </c>
      <c r="H1090" t="s">
        <v>2190</v>
      </c>
      <c r="I1090" s="1" t="s">
        <v>26</v>
      </c>
      <c r="J1090" s="1" t="s">
        <v>26</v>
      </c>
      <c r="K1090" s="1" t="s">
        <v>26</v>
      </c>
      <c r="L1090" s="1" t="s">
        <v>26</v>
      </c>
      <c r="M1090" s="1" t="s">
        <v>25</v>
      </c>
      <c r="N1090" s="1" t="s">
        <v>25</v>
      </c>
      <c r="O1090" s="1" t="s">
        <v>25</v>
      </c>
      <c r="P1090" s="1" t="s">
        <v>25</v>
      </c>
      <c r="Q1090" s="1" t="s">
        <v>25</v>
      </c>
      <c r="R1090" s="1" t="s">
        <v>25</v>
      </c>
      <c r="S1090" s="2">
        <v>0</v>
      </c>
    </row>
    <row r="1091" spans="1:19" x14ac:dyDescent="0.3">
      <c r="A1091" t="s">
        <v>2191</v>
      </c>
      <c r="B1091" s="5" t="e" cm="1">
        <f t="array" ref="B1091">MAX(#REF!,MIN(#REF!,#REF!+SUMPRODUCT(--(FoodData[[#This Row],[Healthy]:[Refined]]="Yes"),#REF!)+FoodData[[#This Row],[Adjust]]))</f>
        <v>#REF!</v>
      </c>
      <c r="C1091" s="1" t="e">
        <f>LOOKUP(FoodData[[#This Row],[Score]],#REF!,#REF!)</f>
        <v>#REF!</v>
      </c>
      <c r="D1091" t="s">
        <v>2094</v>
      </c>
      <c r="E1091" t="s">
        <v>28</v>
      </c>
      <c r="F1091" t="s">
        <v>22</v>
      </c>
      <c r="G1091" t="s">
        <v>23</v>
      </c>
      <c r="H1091" t="s">
        <v>2192</v>
      </c>
      <c r="I1091" s="1" t="s">
        <v>25</v>
      </c>
      <c r="J1091" s="1" t="s">
        <v>25</v>
      </c>
      <c r="K1091" s="1" t="s">
        <v>25</v>
      </c>
      <c r="L1091" s="1" t="s">
        <v>25</v>
      </c>
      <c r="M1091" s="1" t="s">
        <v>25</v>
      </c>
      <c r="N1091" s="1" t="s">
        <v>26</v>
      </c>
      <c r="O1091" s="1" t="s">
        <v>25</v>
      </c>
      <c r="P1091" s="1" t="s">
        <v>25</v>
      </c>
      <c r="Q1091" s="1" t="s">
        <v>25</v>
      </c>
      <c r="R1091" s="1" t="s">
        <v>25</v>
      </c>
      <c r="S1091" s="2">
        <v>0</v>
      </c>
    </row>
    <row r="1092" spans="1:19" x14ac:dyDescent="0.3">
      <c r="A1092" t="s">
        <v>2193</v>
      </c>
      <c r="B1092" s="5" t="e" cm="1">
        <f t="array" ref="B1092">MAX(#REF!,MIN(#REF!,#REF!+SUMPRODUCT(--(FoodData[[#This Row],[Healthy]:[Refined]]="Yes"),#REF!)+FoodData[[#This Row],[Adjust]]))</f>
        <v>#REF!</v>
      </c>
      <c r="C1092" s="1" t="e">
        <f>LOOKUP(FoodData[[#This Row],[Score]],#REF!,#REF!)</f>
        <v>#REF!</v>
      </c>
      <c r="D1092" t="s">
        <v>2094</v>
      </c>
      <c r="E1092" t="s">
        <v>28</v>
      </c>
      <c r="F1092" t="s">
        <v>22</v>
      </c>
      <c r="G1092" t="s">
        <v>162</v>
      </c>
      <c r="H1092" t="s">
        <v>2194</v>
      </c>
      <c r="I1092" s="1" t="s">
        <v>26</v>
      </c>
      <c r="J1092" s="1" t="s">
        <v>25</v>
      </c>
      <c r="K1092" s="1" t="s">
        <v>26</v>
      </c>
      <c r="L1092" s="1" t="s">
        <v>26</v>
      </c>
      <c r="M1092" s="1" t="s">
        <v>25</v>
      </c>
      <c r="N1092" s="1" t="s">
        <v>26</v>
      </c>
      <c r="O1092" s="1" t="s">
        <v>25</v>
      </c>
      <c r="P1092" s="1" t="s">
        <v>25</v>
      </c>
      <c r="Q1092" s="1" t="s">
        <v>25</v>
      </c>
      <c r="R1092" s="1" t="s">
        <v>25</v>
      </c>
      <c r="S1092" s="2">
        <v>0</v>
      </c>
    </row>
    <row r="1093" spans="1:19" x14ac:dyDescent="0.3">
      <c r="A1093" t="s">
        <v>2195</v>
      </c>
      <c r="B1093" s="5" t="e" cm="1">
        <f t="array" ref="B1093">MAX(#REF!,MIN(#REF!,#REF!+SUMPRODUCT(--(FoodData[[#This Row],[Healthy]:[Refined]]="Yes"),#REF!)+FoodData[[#This Row],[Adjust]]))</f>
        <v>#REF!</v>
      </c>
      <c r="C1093" s="1" t="e">
        <f>LOOKUP(FoodData[[#This Row],[Score]],#REF!,#REF!)</f>
        <v>#REF!</v>
      </c>
      <c r="D1093" t="s">
        <v>2094</v>
      </c>
      <c r="E1093" t="s">
        <v>28</v>
      </c>
      <c r="F1093" t="s">
        <v>60</v>
      </c>
      <c r="G1093" t="s">
        <v>23</v>
      </c>
      <c r="H1093" t="s">
        <v>2196</v>
      </c>
      <c r="I1093" s="1" t="s">
        <v>25</v>
      </c>
      <c r="J1093" s="1" t="s">
        <v>25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26</v>
      </c>
      <c r="P1093" s="1" t="s">
        <v>25</v>
      </c>
      <c r="Q1093" s="1" t="s">
        <v>25</v>
      </c>
      <c r="R1093" s="1" t="s">
        <v>25</v>
      </c>
      <c r="S1093" s="2">
        <v>0</v>
      </c>
    </row>
    <row r="1094" spans="1:19" x14ac:dyDescent="0.3">
      <c r="A1094" t="s">
        <v>2197</v>
      </c>
      <c r="B1094" s="5" t="e" cm="1">
        <f t="array" ref="B1094">MAX(#REF!,MIN(#REF!,#REF!+SUMPRODUCT(--(FoodData[[#This Row],[Healthy]:[Refined]]="Yes"),#REF!)+FoodData[[#This Row],[Adjust]]))</f>
        <v>#REF!</v>
      </c>
      <c r="C1094" s="1" t="e">
        <f>LOOKUP(FoodData[[#This Row],[Score]],#REF!,#REF!)</f>
        <v>#REF!</v>
      </c>
      <c r="D1094" t="s">
        <v>2094</v>
      </c>
      <c r="E1094" t="s">
        <v>28</v>
      </c>
      <c r="F1094" t="s">
        <v>60</v>
      </c>
      <c r="G1094" t="s">
        <v>23</v>
      </c>
      <c r="H1094" t="s">
        <v>2198</v>
      </c>
      <c r="I1094" s="1" t="s">
        <v>25</v>
      </c>
      <c r="J1094" s="1" t="s">
        <v>25</v>
      </c>
      <c r="K1094" s="1" t="s">
        <v>26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25</v>
      </c>
      <c r="Q1094" s="1" t="s">
        <v>25</v>
      </c>
      <c r="R1094" s="1" t="s">
        <v>25</v>
      </c>
      <c r="S1094" s="2">
        <v>0</v>
      </c>
    </row>
    <row r="1095" spans="1:19" x14ac:dyDescent="0.3">
      <c r="A1095" t="s">
        <v>2199</v>
      </c>
      <c r="B1095" s="5" t="e" cm="1">
        <f t="array" ref="B1095">MAX(#REF!,MIN(#REF!,#REF!+SUMPRODUCT(--(FoodData[[#This Row],[Healthy]:[Refined]]="Yes"),#REF!)+FoodData[[#This Row],[Adjust]]))</f>
        <v>#REF!</v>
      </c>
      <c r="C1095" s="1" t="e">
        <f>LOOKUP(FoodData[[#This Row],[Score]],#REF!,#REF!)</f>
        <v>#REF!</v>
      </c>
      <c r="D1095" t="s">
        <v>2094</v>
      </c>
      <c r="E1095" t="s">
        <v>28</v>
      </c>
      <c r="F1095" t="s">
        <v>22</v>
      </c>
      <c r="G1095" t="s">
        <v>23</v>
      </c>
      <c r="H1095" t="s">
        <v>2200</v>
      </c>
      <c r="I1095" s="1" t="s">
        <v>25</v>
      </c>
      <c r="J1095" s="1" t="s">
        <v>25</v>
      </c>
      <c r="K1095" s="1" t="s">
        <v>25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25</v>
      </c>
      <c r="Q1095" s="1" t="s">
        <v>25</v>
      </c>
      <c r="R1095" s="1" t="s">
        <v>25</v>
      </c>
      <c r="S1095" s="2">
        <v>0</v>
      </c>
    </row>
    <row r="1096" spans="1:19" x14ac:dyDescent="0.3">
      <c r="A1096" t="s">
        <v>2201</v>
      </c>
      <c r="B1096" s="5" t="e" cm="1">
        <f t="array" ref="B1096">MAX(#REF!,MIN(#REF!,#REF!+SUMPRODUCT(--(FoodData[[#This Row],[Healthy]:[Refined]]="Yes"),#REF!)+FoodData[[#This Row],[Adjust]]))</f>
        <v>#REF!</v>
      </c>
      <c r="C1096" s="1" t="e">
        <f>LOOKUP(FoodData[[#This Row],[Score]],#REF!,#REF!)</f>
        <v>#REF!</v>
      </c>
      <c r="D1096" t="s">
        <v>2094</v>
      </c>
      <c r="E1096" t="s">
        <v>28</v>
      </c>
      <c r="F1096" t="s">
        <v>22</v>
      </c>
      <c r="G1096" t="s">
        <v>23</v>
      </c>
      <c r="H1096" t="s">
        <v>2202</v>
      </c>
      <c r="I1096" s="1" t="s">
        <v>26</v>
      </c>
      <c r="J1096" s="1" t="s">
        <v>25</v>
      </c>
      <c r="K1096" s="1" t="s">
        <v>26</v>
      </c>
      <c r="L1096" s="1" t="s">
        <v>26</v>
      </c>
      <c r="M1096" s="1" t="s">
        <v>25</v>
      </c>
      <c r="N1096" s="1" t="s">
        <v>25</v>
      </c>
      <c r="O1096" s="1" t="s">
        <v>25</v>
      </c>
      <c r="P1096" s="1" t="s">
        <v>25</v>
      </c>
      <c r="Q1096" s="1" t="s">
        <v>25</v>
      </c>
      <c r="R1096" s="1" t="s">
        <v>25</v>
      </c>
      <c r="S1096" s="2">
        <v>0</v>
      </c>
    </row>
    <row r="1097" spans="1:19" x14ac:dyDescent="0.3">
      <c r="A1097" t="s">
        <v>2203</v>
      </c>
      <c r="B1097" s="5" t="e" cm="1">
        <f t="array" ref="B1097">MAX(#REF!,MIN(#REF!,#REF!+SUMPRODUCT(--(FoodData[[#This Row],[Healthy]:[Refined]]="Yes"),#REF!)+FoodData[[#This Row],[Adjust]]))</f>
        <v>#REF!</v>
      </c>
      <c r="C1097" s="1" t="e">
        <f>LOOKUP(FoodData[[#This Row],[Score]],#REF!,#REF!)</f>
        <v>#REF!</v>
      </c>
      <c r="D1097" t="s">
        <v>2094</v>
      </c>
      <c r="E1097" t="s">
        <v>28</v>
      </c>
      <c r="F1097" t="s">
        <v>22</v>
      </c>
      <c r="G1097" t="s">
        <v>23</v>
      </c>
      <c r="H1097" t="s">
        <v>2204</v>
      </c>
      <c r="I1097" s="1" t="s">
        <v>26</v>
      </c>
      <c r="J1097" s="1" t="s">
        <v>26</v>
      </c>
      <c r="K1097" s="1" t="s">
        <v>25</v>
      </c>
      <c r="L1097" s="1" t="s">
        <v>26</v>
      </c>
      <c r="M1097" s="1" t="s">
        <v>25</v>
      </c>
      <c r="N1097" s="1" t="s">
        <v>25</v>
      </c>
      <c r="O1097" s="1" t="s">
        <v>25</v>
      </c>
      <c r="P1097" s="1" t="s">
        <v>25</v>
      </c>
      <c r="Q1097" s="1" t="s">
        <v>25</v>
      </c>
      <c r="R1097" s="1" t="s">
        <v>25</v>
      </c>
      <c r="S1097" s="2">
        <v>0</v>
      </c>
    </row>
    <row r="1098" spans="1:19" x14ac:dyDescent="0.3">
      <c r="A1098" t="s">
        <v>2205</v>
      </c>
      <c r="B1098" s="5" t="e" cm="1">
        <f t="array" ref="B1098">MAX(#REF!,MIN(#REF!,#REF!+SUMPRODUCT(--(FoodData[[#This Row],[Healthy]:[Refined]]="Yes"),#REF!)+FoodData[[#This Row],[Adjust]]))</f>
        <v>#REF!</v>
      </c>
      <c r="C1098" s="1" t="e">
        <f>LOOKUP(FoodData[[#This Row],[Score]],#REF!,#REF!)</f>
        <v>#REF!</v>
      </c>
      <c r="D1098" t="s">
        <v>2094</v>
      </c>
      <c r="E1098" t="s">
        <v>28</v>
      </c>
      <c r="F1098" t="s">
        <v>22</v>
      </c>
      <c r="G1098" t="s">
        <v>23</v>
      </c>
      <c r="H1098" t="s">
        <v>2206</v>
      </c>
      <c r="I1098" s="1" t="s">
        <v>26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25</v>
      </c>
      <c r="Q1098" s="1" t="s">
        <v>25</v>
      </c>
      <c r="R1098" s="1" t="s">
        <v>25</v>
      </c>
      <c r="S1098" s="2">
        <v>0</v>
      </c>
    </row>
    <row r="1099" spans="1:19" x14ac:dyDescent="0.3">
      <c r="A1099" t="s">
        <v>2207</v>
      </c>
      <c r="B1099" s="5" t="e" cm="1">
        <f t="array" ref="B1099">MAX(#REF!,MIN(#REF!,#REF!+SUMPRODUCT(--(FoodData[[#This Row],[Healthy]:[Refined]]="Yes"),#REF!)+FoodData[[#This Row],[Adjust]]))</f>
        <v>#REF!</v>
      </c>
      <c r="C1099" s="1" t="e">
        <f>LOOKUP(FoodData[[#This Row],[Score]],#REF!,#REF!)</f>
        <v>#REF!</v>
      </c>
      <c r="D1099" t="s">
        <v>2094</v>
      </c>
      <c r="E1099" t="s">
        <v>28</v>
      </c>
      <c r="F1099" t="s">
        <v>22</v>
      </c>
      <c r="G1099" t="s">
        <v>23</v>
      </c>
      <c r="H1099" t="s">
        <v>2208</v>
      </c>
      <c r="I1099" s="1" t="s">
        <v>25</v>
      </c>
      <c r="J1099" s="1" t="s">
        <v>25</v>
      </c>
      <c r="K1099" s="1" t="s">
        <v>25</v>
      </c>
      <c r="L1099" s="1" t="s">
        <v>26</v>
      </c>
      <c r="M1099" s="1" t="s">
        <v>25</v>
      </c>
      <c r="N1099" s="1" t="s">
        <v>26</v>
      </c>
      <c r="O1099" s="1" t="s">
        <v>25</v>
      </c>
      <c r="P1099" s="1" t="s">
        <v>25</v>
      </c>
      <c r="Q1099" s="1" t="s">
        <v>25</v>
      </c>
      <c r="R1099" s="1" t="s">
        <v>25</v>
      </c>
      <c r="S1099" s="2">
        <v>0</v>
      </c>
    </row>
    <row r="1100" spans="1:19" x14ac:dyDescent="0.3">
      <c r="A1100" t="s">
        <v>2209</v>
      </c>
      <c r="B1100" s="5" t="e" cm="1">
        <f t="array" ref="B1100">MAX(#REF!,MIN(#REF!,#REF!+SUMPRODUCT(--(FoodData[[#This Row],[Healthy]:[Refined]]="Yes"),#REF!)+FoodData[[#This Row],[Adjust]]))</f>
        <v>#REF!</v>
      </c>
      <c r="C1100" s="1" t="e">
        <f>LOOKUP(FoodData[[#This Row],[Score]],#REF!,#REF!)</f>
        <v>#REF!</v>
      </c>
      <c r="D1100" t="s">
        <v>2094</v>
      </c>
      <c r="E1100" t="s">
        <v>28</v>
      </c>
      <c r="F1100" t="s">
        <v>60</v>
      </c>
      <c r="G1100" t="s">
        <v>23</v>
      </c>
      <c r="H1100" t="s">
        <v>2210</v>
      </c>
      <c r="I1100" s="1" t="s">
        <v>25</v>
      </c>
      <c r="J1100" s="1" t="s">
        <v>25</v>
      </c>
      <c r="K1100" s="1" t="s">
        <v>26</v>
      </c>
      <c r="L1100" s="1" t="s">
        <v>25</v>
      </c>
      <c r="M1100" s="1" t="s">
        <v>25</v>
      </c>
      <c r="N1100" s="1" t="s">
        <v>25</v>
      </c>
      <c r="O1100" s="1" t="s">
        <v>26</v>
      </c>
      <c r="P1100" s="1" t="s">
        <v>25</v>
      </c>
      <c r="Q1100" s="1" t="s">
        <v>25</v>
      </c>
      <c r="R1100" s="1" t="s">
        <v>25</v>
      </c>
      <c r="S1100" s="2">
        <v>0</v>
      </c>
    </row>
    <row r="1101" spans="1:19" x14ac:dyDescent="0.3">
      <c r="A1101" t="s">
        <v>2211</v>
      </c>
      <c r="B1101" s="5" t="e" cm="1">
        <f t="array" ref="B1101">MAX(#REF!,MIN(#REF!,#REF!+SUMPRODUCT(--(FoodData[[#This Row],[Healthy]:[Refined]]="Yes"),#REF!)+FoodData[[#This Row],[Adjust]]))</f>
        <v>#REF!</v>
      </c>
      <c r="C1101" s="1" t="e">
        <f>LOOKUP(FoodData[[#This Row],[Score]],#REF!,#REF!)</f>
        <v>#REF!</v>
      </c>
      <c r="D1101" t="s">
        <v>2094</v>
      </c>
      <c r="E1101" t="s">
        <v>28</v>
      </c>
      <c r="F1101" t="s">
        <v>60</v>
      </c>
      <c r="G1101" t="s">
        <v>23</v>
      </c>
      <c r="H1101" t="s">
        <v>2212</v>
      </c>
      <c r="I1101" s="1" t="s">
        <v>25</v>
      </c>
      <c r="J1101" s="1" t="s">
        <v>25</v>
      </c>
      <c r="K1101" s="1" t="s">
        <v>26</v>
      </c>
      <c r="L1101" s="1" t="s">
        <v>25</v>
      </c>
      <c r="M1101" s="1" t="s">
        <v>25</v>
      </c>
      <c r="N1101" s="1" t="s">
        <v>25</v>
      </c>
      <c r="O1101" s="1" t="s">
        <v>26</v>
      </c>
      <c r="P1101" s="1" t="s">
        <v>25</v>
      </c>
      <c r="Q1101" s="1" t="s">
        <v>25</v>
      </c>
      <c r="R1101" s="1" t="s">
        <v>25</v>
      </c>
      <c r="S1101" s="2">
        <v>0</v>
      </c>
    </row>
    <row r="1102" spans="1:19" x14ac:dyDescent="0.3">
      <c r="A1102" t="s">
        <v>2213</v>
      </c>
      <c r="B1102" s="5" t="e" cm="1">
        <f t="array" ref="B1102">MAX(#REF!,MIN(#REF!,#REF!+SUMPRODUCT(--(FoodData[[#This Row],[Healthy]:[Refined]]="Yes"),#REF!)+FoodData[[#This Row],[Adjust]]))</f>
        <v>#REF!</v>
      </c>
      <c r="C1102" s="1" t="e">
        <f>LOOKUP(FoodData[[#This Row],[Score]],#REF!,#REF!)</f>
        <v>#REF!</v>
      </c>
      <c r="D1102" t="s">
        <v>2094</v>
      </c>
      <c r="E1102" t="s">
        <v>28</v>
      </c>
      <c r="F1102" t="s">
        <v>22</v>
      </c>
      <c r="G1102" t="s">
        <v>23</v>
      </c>
      <c r="H1102" t="s">
        <v>2214</v>
      </c>
      <c r="I1102" s="1" t="s">
        <v>26</v>
      </c>
      <c r="J1102" s="1" t="s">
        <v>26</v>
      </c>
      <c r="K1102" s="1" t="s">
        <v>26</v>
      </c>
      <c r="L1102" s="1" t="s">
        <v>26</v>
      </c>
      <c r="M1102" s="1" t="s">
        <v>25</v>
      </c>
      <c r="N1102" s="1" t="s">
        <v>25</v>
      </c>
      <c r="O1102" s="1" t="s">
        <v>25</v>
      </c>
      <c r="P1102" s="1" t="s">
        <v>25</v>
      </c>
      <c r="Q1102" s="1" t="s">
        <v>25</v>
      </c>
      <c r="R1102" s="1" t="s">
        <v>25</v>
      </c>
      <c r="S1102" s="2">
        <v>0</v>
      </c>
    </row>
    <row r="1103" spans="1:19" x14ac:dyDescent="0.3">
      <c r="A1103" t="s">
        <v>2215</v>
      </c>
      <c r="B1103" s="5" t="e" cm="1">
        <f t="array" ref="B1103">MAX(#REF!,MIN(#REF!,#REF!+SUMPRODUCT(--(FoodData[[#This Row],[Healthy]:[Refined]]="Yes"),#REF!)+FoodData[[#This Row],[Adjust]]))</f>
        <v>#REF!</v>
      </c>
      <c r="C1103" s="1" t="e">
        <f>LOOKUP(FoodData[[#This Row],[Score]],#REF!,#REF!)</f>
        <v>#REF!</v>
      </c>
      <c r="D1103" t="s">
        <v>2094</v>
      </c>
      <c r="E1103" t="s">
        <v>28</v>
      </c>
      <c r="F1103" t="s">
        <v>22</v>
      </c>
      <c r="G1103" t="s">
        <v>23</v>
      </c>
      <c r="H1103" t="s">
        <v>2216</v>
      </c>
      <c r="I1103" s="1" t="s">
        <v>25</v>
      </c>
      <c r="J1103" s="1" t="s">
        <v>25</v>
      </c>
      <c r="K1103" s="1" t="s">
        <v>26</v>
      </c>
      <c r="L1103" s="1" t="s">
        <v>25</v>
      </c>
      <c r="M1103" s="1" t="s">
        <v>25</v>
      </c>
      <c r="N1103" s="1" t="s">
        <v>26</v>
      </c>
      <c r="O1103" s="1" t="s">
        <v>26</v>
      </c>
      <c r="P1103" s="1" t="s">
        <v>25</v>
      </c>
      <c r="Q1103" s="1" t="s">
        <v>25</v>
      </c>
      <c r="R1103" s="1" t="s">
        <v>25</v>
      </c>
      <c r="S1103" s="2">
        <v>0</v>
      </c>
    </row>
    <row r="1104" spans="1:19" x14ac:dyDescent="0.3">
      <c r="A1104" t="s">
        <v>2217</v>
      </c>
      <c r="B1104" s="5" t="e" cm="1">
        <f t="array" ref="B1104">MAX(#REF!,MIN(#REF!,#REF!+SUMPRODUCT(--(FoodData[[#This Row],[Healthy]:[Refined]]="Yes"),#REF!)+FoodData[[#This Row],[Adjust]]))</f>
        <v>#REF!</v>
      </c>
      <c r="C1104" s="1" t="e">
        <f>LOOKUP(FoodData[[#This Row],[Score]],#REF!,#REF!)</f>
        <v>#REF!</v>
      </c>
      <c r="D1104" t="s">
        <v>2094</v>
      </c>
      <c r="E1104" t="s">
        <v>28</v>
      </c>
      <c r="F1104" t="s">
        <v>22</v>
      </c>
      <c r="G1104" t="s">
        <v>23</v>
      </c>
      <c r="H1104" t="s">
        <v>2218</v>
      </c>
      <c r="I1104" s="1" t="s">
        <v>25</v>
      </c>
      <c r="J1104" s="1" t="s">
        <v>25</v>
      </c>
      <c r="K1104" s="1" t="s">
        <v>26</v>
      </c>
      <c r="L1104" s="1" t="s">
        <v>25</v>
      </c>
      <c r="M1104" s="1" t="s">
        <v>25</v>
      </c>
      <c r="N1104" s="1" t="s">
        <v>26</v>
      </c>
      <c r="O1104" s="1" t="s">
        <v>25</v>
      </c>
      <c r="P1104" s="1" t="s">
        <v>25</v>
      </c>
      <c r="Q1104" s="1" t="s">
        <v>25</v>
      </c>
      <c r="R1104" s="1" t="s">
        <v>25</v>
      </c>
      <c r="S1104" s="2">
        <v>0</v>
      </c>
    </row>
    <row r="1105" spans="1:19" x14ac:dyDescent="0.3">
      <c r="A1105" t="s">
        <v>2219</v>
      </c>
      <c r="B1105" s="5" t="e" cm="1">
        <f t="array" ref="B1105">MAX(#REF!,MIN(#REF!,#REF!+SUMPRODUCT(--(FoodData[[#This Row],[Healthy]:[Refined]]="Yes"),#REF!)+FoodData[[#This Row],[Adjust]]))</f>
        <v>#REF!</v>
      </c>
      <c r="C1105" s="1" t="e">
        <f>LOOKUP(FoodData[[#This Row],[Score]],#REF!,#REF!)</f>
        <v>#REF!</v>
      </c>
      <c r="D1105" t="s">
        <v>2094</v>
      </c>
      <c r="E1105" t="s">
        <v>28</v>
      </c>
      <c r="F1105" t="s">
        <v>22</v>
      </c>
      <c r="G1105" t="s">
        <v>23</v>
      </c>
      <c r="H1105" t="s">
        <v>2220</v>
      </c>
      <c r="I1105" s="1" t="s">
        <v>25</v>
      </c>
      <c r="J1105" s="1" t="s">
        <v>25</v>
      </c>
      <c r="K1105" s="1" t="s">
        <v>26</v>
      </c>
      <c r="L1105" s="1" t="s">
        <v>25</v>
      </c>
      <c r="M1105" s="1" t="s">
        <v>26</v>
      </c>
      <c r="N1105" s="1" t="s">
        <v>25</v>
      </c>
      <c r="O1105" s="1" t="s">
        <v>25</v>
      </c>
      <c r="P1105" s="1" t="s">
        <v>25</v>
      </c>
      <c r="Q1105" s="1" t="s">
        <v>25</v>
      </c>
      <c r="R1105" s="1" t="s">
        <v>25</v>
      </c>
      <c r="S1105" s="2">
        <v>0</v>
      </c>
    </row>
    <row r="1106" spans="1:19" x14ac:dyDescent="0.3">
      <c r="A1106" t="s">
        <v>2221</v>
      </c>
      <c r="B1106" s="5" t="e" cm="1">
        <f t="array" ref="B1106">MAX(#REF!,MIN(#REF!,#REF!+SUMPRODUCT(--(FoodData[[#This Row],[Healthy]:[Refined]]="Yes"),#REF!)+FoodData[[#This Row],[Adjust]]))</f>
        <v>#REF!</v>
      </c>
      <c r="C1106" s="1" t="e">
        <f>LOOKUP(FoodData[[#This Row],[Score]],#REF!,#REF!)</f>
        <v>#REF!</v>
      </c>
      <c r="D1106" t="s">
        <v>2094</v>
      </c>
      <c r="E1106" t="s">
        <v>28</v>
      </c>
      <c r="F1106" t="s">
        <v>22</v>
      </c>
      <c r="G1106" t="s">
        <v>23</v>
      </c>
      <c r="H1106" t="s">
        <v>2222</v>
      </c>
      <c r="I1106" s="1" t="s">
        <v>25</v>
      </c>
      <c r="J1106" s="1" t="s">
        <v>25</v>
      </c>
      <c r="K1106" s="1" t="s">
        <v>26</v>
      </c>
      <c r="L1106" s="1" t="s">
        <v>25</v>
      </c>
      <c r="M1106" s="1" t="s">
        <v>25</v>
      </c>
      <c r="N1106" s="1" t="s">
        <v>25</v>
      </c>
      <c r="O1106" s="1" t="s">
        <v>26</v>
      </c>
      <c r="P1106" s="1" t="s">
        <v>25</v>
      </c>
      <c r="Q1106" s="1" t="s">
        <v>25</v>
      </c>
      <c r="R1106" s="1" t="s">
        <v>25</v>
      </c>
      <c r="S1106" s="2">
        <v>0</v>
      </c>
    </row>
    <row r="1107" spans="1:19" x14ac:dyDescent="0.3">
      <c r="A1107" t="s">
        <v>2223</v>
      </c>
      <c r="B1107" s="5" t="e" cm="1">
        <f t="array" ref="B1107">MAX(#REF!,MIN(#REF!,#REF!+SUMPRODUCT(--(FoodData[[#This Row],[Healthy]:[Refined]]="Yes"),#REF!)+FoodData[[#This Row],[Adjust]]))</f>
        <v>#REF!</v>
      </c>
      <c r="C1107" s="1" t="e">
        <f>LOOKUP(FoodData[[#This Row],[Score]],#REF!,#REF!)</f>
        <v>#REF!</v>
      </c>
      <c r="D1107" t="s">
        <v>2094</v>
      </c>
      <c r="E1107" t="s">
        <v>28</v>
      </c>
      <c r="F1107" t="s">
        <v>22</v>
      </c>
      <c r="G1107" t="s">
        <v>29</v>
      </c>
      <c r="H1107" t="s">
        <v>2224</v>
      </c>
      <c r="I1107" s="1" t="s">
        <v>26</v>
      </c>
      <c r="J1107" s="1" t="s">
        <v>26</v>
      </c>
      <c r="K1107" s="1" t="s">
        <v>26</v>
      </c>
      <c r="L1107" s="1" t="s">
        <v>26</v>
      </c>
      <c r="M1107" s="1" t="s">
        <v>25</v>
      </c>
      <c r="N1107" s="1" t="s">
        <v>25</v>
      </c>
      <c r="O1107" s="1" t="s">
        <v>25</v>
      </c>
      <c r="P1107" s="1" t="s">
        <v>25</v>
      </c>
      <c r="Q1107" s="1" t="s">
        <v>25</v>
      </c>
      <c r="R1107" s="1" t="s">
        <v>25</v>
      </c>
      <c r="S1107" s="2">
        <v>0</v>
      </c>
    </row>
    <row r="1108" spans="1:19" x14ac:dyDescent="0.3">
      <c r="A1108" t="s">
        <v>2225</v>
      </c>
      <c r="B1108" s="5" t="e" cm="1">
        <f t="array" ref="B1108">MAX(#REF!,MIN(#REF!,#REF!+SUMPRODUCT(--(FoodData[[#This Row],[Healthy]:[Refined]]="Yes"),#REF!)+FoodData[[#This Row],[Adjust]]))</f>
        <v>#REF!</v>
      </c>
      <c r="C1108" s="1" t="e">
        <f>LOOKUP(FoodData[[#This Row],[Score]],#REF!,#REF!)</f>
        <v>#REF!</v>
      </c>
      <c r="D1108" t="s">
        <v>2094</v>
      </c>
      <c r="E1108" t="s">
        <v>28</v>
      </c>
      <c r="F1108" t="s">
        <v>22</v>
      </c>
      <c r="G1108" t="s">
        <v>29</v>
      </c>
      <c r="H1108" t="s">
        <v>2226</v>
      </c>
      <c r="I1108" s="1" t="s">
        <v>25</v>
      </c>
      <c r="J1108" s="1" t="s">
        <v>25</v>
      </c>
      <c r="K1108" s="1" t="s">
        <v>25</v>
      </c>
      <c r="L1108" s="1" t="s">
        <v>25</v>
      </c>
      <c r="M1108" s="1" t="s">
        <v>25</v>
      </c>
      <c r="N1108" s="1" t="s">
        <v>25</v>
      </c>
      <c r="O1108" s="1" t="s">
        <v>25</v>
      </c>
      <c r="P1108" s="1" t="s">
        <v>25</v>
      </c>
      <c r="Q1108" s="1" t="s">
        <v>25</v>
      </c>
      <c r="R1108" s="1" t="s">
        <v>25</v>
      </c>
      <c r="S1108" s="2">
        <v>0</v>
      </c>
    </row>
    <row r="1109" spans="1:19" x14ac:dyDescent="0.3">
      <c r="A1109" t="s">
        <v>2227</v>
      </c>
      <c r="B1109" s="5" t="e" cm="1">
        <f t="array" ref="B1109">MAX(#REF!,MIN(#REF!,#REF!+SUMPRODUCT(--(FoodData[[#This Row],[Healthy]:[Refined]]="Yes"),#REF!)+FoodData[[#This Row],[Adjust]]))</f>
        <v>#REF!</v>
      </c>
      <c r="C1109" s="1" t="e">
        <f>LOOKUP(FoodData[[#This Row],[Score]],#REF!,#REF!)</f>
        <v>#REF!</v>
      </c>
      <c r="D1109" t="s">
        <v>2094</v>
      </c>
      <c r="E1109" t="s">
        <v>28</v>
      </c>
      <c r="F1109" t="s">
        <v>22</v>
      </c>
      <c r="G1109" t="s">
        <v>23</v>
      </c>
      <c r="H1109" t="s">
        <v>2228</v>
      </c>
      <c r="I1109" s="1" t="s">
        <v>25</v>
      </c>
      <c r="J1109" s="1" t="s">
        <v>25</v>
      </c>
      <c r="K1109" s="1" t="s">
        <v>26</v>
      </c>
      <c r="L1109" s="1" t="s">
        <v>25</v>
      </c>
      <c r="M1109" s="1" t="s">
        <v>25</v>
      </c>
      <c r="N1109" s="1" t="s">
        <v>25</v>
      </c>
      <c r="O1109" s="1" t="s">
        <v>26</v>
      </c>
      <c r="P1109" s="1" t="s">
        <v>25</v>
      </c>
      <c r="Q1109" s="1" t="s">
        <v>25</v>
      </c>
      <c r="R1109" s="1" t="s">
        <v>25</v>
      </c>
      <c r="S1109" s="2">
        <v>0</v>
      </c>
    </row>
    <row r="1110" spans="1:19" x14ac:dyDescent="0.3">
      <c r="A1110" t="s">
        <v>2229</v>
      </c>
      <c r="B1110" s="5" t="e" cm="1">
        <f t="array" ref="B1110">MAX(#REF!,MIN(#REF!,#REF!+SUMPRODUCT(--(FoodData[[#This Row],[Healthy]:[Refined]]="Yes"),#REF!)+FoodData[[#This Row],[Adjust]]))</f>
        <v>#REF!</v>
      </c>
      <c r="C1110" s="1" t="e">
        <f>LOOKUP(FoodData[[#This Row],[Score]],#REF!,#REF!)</f>
        <v>#REF!</v>
      </c>
      <c r="D1110" t="s">
        <v>2094</v>
      </c>
      <c r="E1110" t="s">
        <v>28</v>
      </c>
      <c r="F1110" t="s">
        <v>60</v>
      </c>
      <c r="G1110" t="s">
        <v>23</v>
      </c>
      <c r="H1110" t="s">
        <v>2230</v>
      </c>
      <c r="I1110" s="1" t="s">
        <v>25</v>
      </c>
      <c r="J1110" s="1" t="s">
        <v>25</v>
      </c>
      <c r="K1110" s="1" t="s">
        <v>26</v>
      </c>
      <c r="L1110" s="1" t="s">
        <v>25</v>
      </c>
      <c r="M1110" s="1" t="s">
        <v>25</v>
      </c>
      <c r="N1110" s="1" t="s">
        <v>25</v>
      </c>
      <c r="O1110" s="1" t="s">
        <v>26</v>
      </c>
      <c r="P1110" s="1" t="s">
        <v>25</v>
      </c>
      <c r="Q1110" s="1" t="s">
        <v>25</v>
      </c>
      <c r="R1110" s="1" t="s">
        <v>25</v>
      </c>
      <c r="S1110" s="2">
        <v>0</v>
      </c>
    </row>
    <row r="1111" spans="1:19" x14ac:dyDescent="0.3">
      <c r="A1111" t="s">
        <v>2231</v>
      </c>
      <c r="B1111" s="5" t="e" cm="1">
        <f t="array" ref="B1111">MAX(#REF!,MIN(#REF!,#REF!+SUMPRODUCT(--(FoodData[[#This Row],[Healthy]:[Refined]]="Yes"),#REF!)+FoodData[[#This Row],[Adjust]]))</f>
        <v>#REF!</v>
      </c>
      <c r="C1111" s="1" t="e">
        <f>LOOKUP(FoodData[[#This Row],[Score]],#REF!,#REF!)</f>
        <v>#REF!</v>
      </c>
      <c r="D1111" t="s">
        <v>2094</v>
      </c>
      <c r="E1111" t="s">
        <v>28</v>
      </c>
      <c r="F1111" t="s">
        <v>60</v>
      </c>
      <c r="G1111" t="s">
        <v>23</v>
      </c>
      <c r="H1111" t="s">
        <v>2232</v>
      </c>
      <c r="I1111" s="1" t="s">
        <v>25</v>
      </c>
      <c r="J1111" s="1" t="s">
        <v>25</v>
      </c>
      <c r="K1111" s="1" t="s">
        <v>26</v>
      </c>
      <c r="L1111" s="1" t="s">
        <v>25</v>
      </c>
      <c r="M1111" s="1" t="s">
        <v>25</v>
      </c>
      <c r="N1111" s="1" t="s">
        <v>26</v>
      </c>
      <c r="O1111" s="1" t="s">
        <v>25</v>
      </c>
      <c r="P1111" s="1" t="s">
        <v>25</v>
      </c>
      <c r="Q1111" s="1" t="s">
        <v>25</v>
      </c>
      <c r="R1111" s="1" t="s">
        <v>25</v>
      </c>
      <c r="S1111" s="2">
        <v>0</v>
      </c>
    </row>
    <row r="1112" spans="1:19" x14ac:dyDescent="0.3">
      <c r="A1112" t="s">
        <v>2233</v>
      </c>
      <c r="B1112" s="5" t="e" cm="1">
        <f t="array" ref="B1112">MAX(#REF!,MIN(#REF!,#REF!+SUMPRODUCT(--(FoodData[[#This Row],[Healthy]:[Refined]]="Yes"),#REF!)+FoodData[[#This Row],[Adjust]]))</f>
        <v>#REF!</v>
      </c>
      <c r="C1112" s="1" t="e">
        <f>LOOKUP(FoodData[[#This Row],[Score]],#REF!,#REF!)</f>
        <v>#REF!</v>
      </c>
      <c r="D1112" t="s">
        <v>2094</v>
      </c>
      <c r="E1112" t="s">
        <v>28</v>
      </c>
      <c r="F1112" t="s">
        <v>22</v>
      </c>
      <c r="G1112" t="s">
        <v>23</v>
      </c>
      <c r="H1112" t="s">
        <v>2234</v>
      </c>
      <c r="I1112" s="1" t="s">
        <v>25</v>
      </c>
      <c r="J1112" s="1" t="s">
        <v>25</v>
      </c>
      <c r="K1112" s="1" t="s">
        <v>25</v>
      </c>
      <c r="L1112" s="1" t="s">
        <v>26</v>
      </c>
      <c r="M1112" s="1" t="s">
        <v>25</v>
      </c>
      <c r="N1112" s="1" t="s">
        <v>26</v>
      </c>
      <c r="O1112" s="1" t="s">
        <v>25</v>
      </c>
      <c r="P1112" s="1" t="s">
        <v>25</v>
      </c>
      <c r="Q1112" s="1" t="s">
        <v>25</v>
      </c>
      <c r="R1112" s="1" t="s">
        <v>25</v>
      </c>
      <c r="S1112" s="2">
        <v>0</v>
      </c>
    </row>
    <row r="1113" spans="1:19" x14ac:dyDescent="0.3">
      <c r="A1113" t="s">
        <v>2235</v>
      </c>
      <c r="B1113" s="5" t="e" cm="1">
        <f t="array" ref="B1113">MAX(#REF!,MIN(#REF!,#REF!+SUMPRODUCT(--(FoodData[[#This Row],[Healthy]:[Refined]]="Yes"),#REF!)+FoodData[[#This Row],[Adjust]]))</f>
        <v>#REF!</v>
      </c>
      <c r="C1113" s="1" t="e">
        <f>LOOKUP(FoodData[[#This Row],[Score]],#REF!,#REF!)</f>
        <v>#REF!</v>
      </c>
      <c r="D1113" t="s">
        <v>2094</v>
      </c>
      <c r="E1113" t="s">
        <v>28</v>
      </c>
      <c r="F1113" t="s">
        <v>22</v>
      </c>
      <c r="G1113" t="s">
        <v>29</v>
      </c>
      <c r="H1113" t="s">
        <v>2236</v>
      </c>
      <c r="I1113" s="1" t="s">
        <v>26</v>
      </c>
      <c r="J1113" s="1" t="s">
        <v>26</v>
      </c>
      <c r="K1113" s="1" t="s">
        <v>26</v>
      </c>
      <c r="L1113" s="1" t="s">
        <v>26</v>
      </c>
      <c r="M1113" s="1" t="s">
        <v>25</v>
      </c>
      <c r="N1113" s="1" t="s">
        <v>25</v>
      </c>
      <c r="O1113" s="1" t="s">
        <v>25</v>
      </c>
      <c r="P1113" s="1" t="s">
        <v>25</v>
      </c>
      <c r="Q1113" s="1" t="s">
        <v>25</v>
      </c>
      <c r="R1113" s="1" t="s">
        <v>25</v>
      </c>
      <c r="S1113" s="2">
        <v>0</v>
      </c>
    </row>
    <row r="1114" spans="1:19" x14ac:dyDescent="0.3">
      <c r="A1114" t="s">
        <v>2237</v>
      </c>
      <c r="B1114" s="5" t="e" cm="1">
        <f t="array" ref="B1114">MAX(#REF!,MIN(#REF!,#REF!+SUMPRODUCT(--(FoodData[[#This Row],[Healthy]:[Refined]]="Yes"),#REF!)+FoodData[[#This Row],[Adjust]]))</f>
        <v>#REF!</v>
      </c>
      <c r="C1114" s="1" t="e">
        <f>LOOKUP(FoodData[[#This Row],[Score]],#REF!,#REF!)</f>
        <v>#REF!</v>
      </c>
      <c r="D1114" t="s">
        <v>2094</v>
      </c>
      <c r="E1114" t="s">
        <v>28</v>
      </c>
      <c r="F1114" t="s">
        <v>22</v>
      </c>
      <c r="G1114" t="s">
        <v>23</v>
      </c>
      <c r="H1114" t="s">
        <v>2238</v>
      </c>
      <c r="I1114" s="1" t="s">
        <v>25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26</v>
      </c>
      <c r="O1114" s="1" t="s">
        <v>25</v>
      </c>
      <c r="P1114" s="1" t="s">
        <v>25</v>
      </c>
      <c r="Q1114" s="1" t="s">
        <v>25</v>
      </c>
      <c r="R1114" s="1" t="s">
        <v>25</v>
      </c>
      <c r="S1114" s="2">
        <v>0</v>
      </c>
    </row>
    <row r="1115" spans="1:19" x14ac:dyDescent="0.3">
      <c r="A1115" t="s">
        <v>2239</v>
      </c>
      <c r="B1115" s="5" t="e" cm="1">
        <f t="array" ref="B1115">MAX(#REF!,MIN(#REF!,#REF!+SUMPRODUCT(--(FoodData[[#This Row],[Healthy]:[Refined]]="Yes"),#REF!)+FoodData[[#This Row],[Adjust]]))</f>
        <v>#REF!</v>
      </c>
      <c r="C1115" s="1" t="e">
        <f>LOOKUP(FoodData[[#This Row],[Score]],#REF!,#REF!)</f>
        <v>#REF!</v>
      </c>
      <c r="D1115" t="s">
        <v>2094</v>
      </c>
      <c r="E1115" t="s">
        <v>28</v>
      </c>
      <c r="F1115" t="s">
        <v>22</v>
      </c>
      <c r="G1115" t="s">
        <v>23</v>
      </c>
      <c r="H1115" t="s">
        <v>2240</v>
      </c>
      <c r="I1115" s="1" t="s">
        <v>26</v>
      </c>
      <c r="J1115" s="1" t="s">
        <v>26</v>
      </c>
      <c r="K1115" s="1" t="s">
        <v>26</v>
      </c>
      <c r="L1115" s="1" t="s">
        <v>26</v>
      </c>
      <c r="M1115" s="1" t="s">
        <v>25</v>
      </c>
      <c r="N1115" s="1" t="s">
        <v>25</v>
      </c>
      <c r="O1115" s="1" t="s">
        <v>25</v>
      </c>
      <c r="P1115" s="1" t="s">
        <v>25</v>
      </c>
      <c r="Q1115" s="1" t="s">
        <v>25</v>
      </c>
      <c r="R1115" s="1" t="s">
        <v>25</v>
      </c>
      <c r="S1115" s="2">
        <v>0</v>
      </c>
    </row>
    <row r="1116" spans="1:19" x14ac:dyDescent="0.3">
      <c r="A1116" t="s">
        <v>2241</v>
      </c>
      <c r="B1116" s="5" t="e" cm="1">
        <f t="array" ref="B1116">MAX(#REF!,MIN(#REF!,#REF!+SUMPRODUCT(--(FoodData[[#This Row],[Healthy]:[Refined]]="Yes"),#REF!)+FoodData[[#This Row],[Adjust]]))</f>
        <v>#REF!</v>
      </c>
      <c r="C1116" s="1" t="e">
        <f>LOOKUP(FoodData[[#This Row],[Score]],#REF!,#REF!)</f>
        <v>#REF!</v>
      </c>
      <c r="D1116" t="s">
        <v>2094</v>
      </c>
      <c r="E1116" t="s">
        <v>28</v>
      </c>
      <c r="F1116" t="s">
        <v>22</v>
      </c>
      <c r="G1116" t="s">
        <v>23</v>
      </c>
      <c r="H1116" t="s">
        <v>2242</v>
      </c>
      <c r="I1116" s="1" t="s">
        <v>26</v>
      </c>
      <c r="J1116" s="1" t="s">
        <v>25</v>
      </c>
      <c r="K1116" s="1" t="s">
        <v>26</v>
      </c>
      <c r="L1116" s="1" t="s">
        <v>26</v>
      </c>
      <c r="M1116" s="1" t="s">
        <v>25</v>
      </c>
      <c r="N1116" s="1" t="s">
        <v>25</v>
      </c>
      <c r="O1116" s="1" t="s">
        <v>25</v>
      </c>
      <c r="P1116" s="1" t="s">
        <v>25</v>
      </c>
      <c r="Q1116" s="1" t="s">
        <v>25</v>
      </c>
      <c r="R1116" s="1" t="s">
        <v>25</v>
      </c>
      <c r="S1116" s="2">
        <v>0</v>
      </c>
    </row>
    <row r="1117" spans="1:19" x14ac:dyDescent="0.3">
      <c r="A1117" t="s">
        <v>2243</v>
      </c>
      <c r="B1117" s="5" t="e" cm="1">
        <f t="array" ref="B1117">MAX(#REF!,MIN(#REF!,#REF!+SUMPRODUCT(--(FoodData[[#This Row],[Healthy]:[Refined]]="Yes"),#REF!)+FoodData[[#This Row],[Adjust]]))</f>
        <v>#REF!</v>
      </c>
      <c r="C1117" s="1" t="e">
        <f>LOOKUP(FoodData[[#This Row],[Score]],#REF!,#REF!)</f>
        <v>#REF!</v>
      </c>
      <c r="D1117" t="s">
        <v>2094</v>
      </c>
      <c r="E1117" t="s">
        <v>28</v>
      </c>
      <c r="F1117" t="s">
        <v>22</v>
      </c>
      <c r="G1117" t="s">
        <v>29</v>
      </c>
      <c r="H1117" t="s">
        <v>2244</v>
      </c>
      <c r="I1117" s="1" t="s">
        <v>25</v>
      </c>
      <c r="J1117" s="1" t="s">
        <v>25</v>
      </c>
      <c r="K1117" s="1" t="s">
        <v>25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25</v>
      </c>
      <c r="Q1117" s="1" t="s">
        <v>25</v>
      </c>
      <c r="R1117" s="1" t="s">
        <v>25</v>
      </c>
      <c r="S1117" s="2">
        <v>0</v>
      </c>
    </row>
    <row r="1118" spans="1:19" x14ac:dyDescent="0.3">
      <c r="A1118" t="s">
        <v>2245</v>
      </c>
      <c r="B1118" s="5" t="e" cm="1">
        <f t="array" ref="B1118">MAX(#REF!,MIN(#REF!,#REF!+SUMPRODUCT(--(FoodData[[#This Row],[Healthy]:[Refined]]="Yes"),#REF!)+FoodData[[#This Row],[Adjust]]))</f>
        <v>#REF!</v>
      </c>
      <c r="C1118" s="1" t="e">
        <f>LOOKUP(FoodData[[#This Row],[Score]],#REF!,#REF!)</f>
        <v>#REF!</v>
      </c>
      <c r="D1118" t="s">
        <v>2094</v>
      </c>
      <c r="E1118" t="s">
        <v>28</v>
      </c>
      <c r="F1118" t="s">
        <v>22</v>
      </c>
      <c r="G1118" t="s">
        <v>23</v>
      </c>
      <c r="H1118" t="s">
        <v>2246</v>
      </c>
      <c r="I1118" s="1" t="s">
        <v>26</v>
      </c>
      <c r="J1118" s="1" t="s">
        <v>25</v>
      </c>
      <c r="K1118" s="1" t="s">
        <v>26</v>
      </c>
      <c r="L1118" s="1" t="s">
        <v>26</v>
      </c>
      <c r="M1118" s="1" t="s">
        <v>25</v>
      </c>
      <c r="N1118" s="1" t="s">
        <v>25</v>
      </c>
      <c r="O1118" s="1" t="s">
        <v>25</v>
      </c>
      <c r="P1118" s="1" t="s">
        <v>25</v>
      </c>
      <c r="Q1118" s="1" t="s">
        <v>25</v>
      </c>
      <c r="R1118" s="1" t="s">
        <v>25</v>
      </c>
      <c r="S1118" s="2">
        <v>0</v>
      </c>
    </row>
    <row r="1119" spans="1:19" x14ac:dyDescent="0.3">
      <c r="A1119" t="s">
        <v>2247</v>
      </c>
      <c r="B1119" s="5" t="e" cm="1">
        <f t="array" ref="B1119">MAX(#REF!,MIN(#REF!,#REF!+SUMPRODUCT(--(FoodData[[#This Row],[Healthy]:[Refined]]="Yes"),#REF!)+FoodData[[#This Row],[Adjust]]))</f>
        <v>#REF!</v>
      </c>
      <c r="C1119" s="1" t="e">
        <f>LOOKUP(FoodData[[#This Row],[Score]],#REF!,#REF!)</f>
        <v>#REF!</v>
      </c>
      <c r="D1119" t="s">
        <v>2094</v>
      </c>
      <c r="E1119" t="s">
        <v>63</v>
      </c>
      <c r="F1119" t="s">
        <v>22</v>
      </c>
      <c r="G1119" t="s">
        <v>23</v>
      </c>
      <c r="H1119" t="s">
        <v>2248</v>
      </c>
      <c r="I1119" s="1" t="s">
        <v>26</v>
      </c>
      <c r="J1119" s="1" t="s">
        <v>25</v>
      </c>
      <c r="K1119" s="1" t="s">
        <v>26</v>
      </c>
      <c r="L1119" s="1" t="s">
        <v>26</v>
      </c>
      <c r="M1119" s="1" t="s">
        <v>25</v>
      </c>
      <c r="N1119" s="1" t="s">
        <v>26</v>
      </c>
      <c r="O1119" s="1" t="s">
        <v>25</v>
      </c>
      <c r="P1119" s="1" t="s">
        <v>25</v>
      </c>
      <c r="Q1119" s="1" t="s">
        <v>25</v>
      </c>
      <c r="R1119" s="1" t="s">
        <v>25</v>
      </c>
      <c r="S1119" s="2">
        <v>0</v>
      </c>
    </row>
    <row r="1120" spans="1:19" x14ac:dyDescent="0.3">
      <c r="A1120" t="s">
        <v>2249</v>
      </c>
      <c r="B1120" s="5" t="e" cm="1">
        <f t="array" ref="B1120">MAX(#REF!,MIN(#REF!,#REF!+SUMPRODUCT(--(FoodData[[#This Row],[Healthy]:[Refined]]="Yes"),#REF!)+FoodData[[#This Row],[Adjust]]))</f>
        <v>#REF!</v>
      </c>
      <c r="C1120" s="1" t="e">
        <f>LOOKUP(FoodData[[#This Row],[Score]],#REF!,#REF!)</f>
        <v>#REF!</v>
      </c>
      <c r="D1120" t="s">
        <v>2094</v>
      </c>
      <c r="E1120" t="s">
        <v>28</v>
      </c>
      <c r="F1120" t="s">
        <v>22</v>
      </c>
      <c r="G1120" t="s">
        <v>23</v>
      </c>
      <c r="H1120" t="s">
        <v>2250</v>
      </c>
      <c r="I1120" s="1" t="s">
        <v>26</v>
      </c>
      <c r="J1120" s="1" t="s">
        <v>26</v>
      </c>
      <c r="K1120" s="1" t="s">
        <v>26</v>
      </c>
      <c r="L1120" s="1" t="s">
        <v>26</v>
      </c>
      <c r="M1120" s="1" t="s">
        <v>25</v>
      </c>
      <c r="N1120" s="1" t="s">
        <v>25</v>
      </c>
      <c r="O1120" s="1" t="s">
        <v>25</v>
      </c>
      <c r="P1120" s="1" t="s">
        <v>25</v>
      </c>
      <c r="Q1120" s="1" t="s">
        <v>25</v>
      </c>
      <c r="R1120" s="1" t="s">
        <v>25</v>
      </c>
      <c r="S1120" s="2">
        <v>0</v>
      </c>
    </row>
    <row r="1121" spans="1:19" x14ac:dyDescent="0.3">
      <c r="A1121" t="s">
        <v>2251</v>
      </c>
      <c r="B1121" s="5" t="e" cm="1">
        <f t="array" ref="B1121">MAX(#REF!,MIN(#REF!,#REF!+SUMPRODUCT(--(FoodData[[#This Row],[Healthy]:[Refined]]="Yes"),#REF!)+FoodData[[#This Row],[Adjust]]))</f>
        <v>#REF!</v>
      </c>
      <c r="C1121" s="1" t="e">
        <f>LOOKUP(FoodData[[#This Row],[Score]],#REF!,#REF!)</f>
        <v>#REF!</v>
      </c>
      <c r="D1121" t="s">
        <v>2094</v>
      </c>
      <c r="E1121" t="s">
        <v>28</v>
      </c>
      <c r="F1121" t="s">
        <v>22</v>
      </c>
      <c r="G1121" t="s">
        <v>23</v>
      </c>
      <c r="H1121" t="s">
        <v>2252</v>
      </c>
      <c r="I1121" s="1" t="s">
        <v>26</v>
      </c>
      <c r="J1121" s="1" t="s">
        <v>25</v>
      </c>
      <c r="K1121" s="1" t="s">
        <v>26</v>
      </c>
      <c r="L1121" s="1" t="s">
        <v>26</v>
      </c>
      <c r="M1121" s="1" t="s">
        <v>25</v>
      </c>
      <c r="N1121" s="1" t="s">
        <v>25</v>
      </c>
      <c r="O1121" s="1" t="s">
        <v>25</v>
      </c>
      <c r="P1121" s="1" t="s">
        <v>25</v>
      </c>
      <c r="Q1121" s="1" t="s">
        <v>25</v>
      </c>
      <c r="R1121" s="1" t="s">
        <v>25</v>
      </c>
      <c r="S1121" s="2">
        <v>0</v>
      </c>
    </row>
    <row r="1122" spans="1:19" x14ac:dyDescent="0.3">
      <c r="A1122" t="s">
        <v>2253</v>
      </c>
      <c r="B1122" s="5" t="e" cm="1">
        <f t="array" ref="B1122">MAX(#REF!,MIN(#REF!,#REF!+SUMPRODUCT(--(FoodData[[#This Row],[Healthy]:[Refined]]="Yes"),#REF!)+FoodData[[#This Row],[Adjust]]))</f>
        <v>#REF!</v>
      </c>
      <c r="C1122" s="1" t="e">
        <f>LOOKUP(FoodData[[#This Row],[Score]],#REF!,#REF!)</f>
        <v>#REF!</v>
      </c>
      <c r="D1122" t="s">
        <v>2094</v>
      </c>
      <c r="E1122" t="s">
        <v>28</v>
      </c>
      <c r="F1122" t="s">
        <v>22</v>
      </c>
      <c r="G1122" t="s">
        <v>23</v>
      </c>
      <c r="H1122" t="s">
        <v>2254</v>
      </c>
      <c r="I1122" s="1" t="s">
        <v>26</v>
      </c>
      <c r="J1122" s="1" t="s">
        <v>25</v>
      </c>
      <c r="K1122" s="1" t="s">
        <v>26</v>
      </c>
      <c r="L1122" s="1" t="s">
        <v>26</v>
      </c>
      <c r="M1122" s="1" t="s">
        <v>25</v>
      </c>
      <c r="N1122" s="1" t="s">
        <v>25</v>
      </c>
      <c r="O1122" s="1" t="s">
        <v>25</v>
      </c>
      <c r="P1122" s="1" t="s">
        <v>25</v>
      </c>
      <c r="Q1122" s="1" t="s">
        <v>25</v>
      </c>
      <c r="R1122" s="1" t="s">
        <v>25</v>
      </c>
      <c r="S1122" s="2">
        <v>0</v>
      </c>
    </row>
    <row r="1123" spans="1:19" x14ac:dyDescent="0.3">
      <c r="A1123" t="s">
        <v>2255</v>
      </c>
      <c r="B1123" s="5" t="e" cm="1">
        <f t="array" ref="B1123">MAX(#REF!,MIN(#REF!,#REF!+SUMPRODUCT(--(FoodData[[#This Row],[Healthy]:[Refined]]="Yes"),#REF!)+FoodData[[#This Row],[Adjust]]))</f>
        <v>#REF!</v>
      </c>
      <c r="C1123" s="1" t="e">
        <f>LOOKUP(FoodData[[#This Row],[Score]],#REF!,#REF!)</f>
        <v>#REF!</v>
      </c>
      <c r="D1123" t="s">
        <v>2094</v>
      </c>
      <c r="E1123" t="s">
        <v>28</v>
      </c>
      <c r="F1123" t="s">
        <v>60</v>
      </c>
      <c r="G1123" t="s">
        <v>23</v>
      </c>
      <c r="H1123" t="s">
        <v>2256</v>
      </c>
      <c r="I1123" s="1" t="s">
        <v>25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26</v>
      </c>
      <c r="O1123" s="1" t="s">
        <v>25</v>
      </c>
      <c r="P1123" s="1" t="s">
        <v>25</v>
      </c>
      <c r="Q1123" s="1" t="s">
        <v>25</v>
      </c>
      <c r="R1123" s="1" t="s">
        <v>25</v>
      </c>
      <c r="S1123" s="2">
        <v>0</v>
      </c>
    </row>
    <row r="1124" spans="1:19" x14ac:dyDescent="0.3">
      <c r="A1124" t="s">
        <v>2257</v>
      </c>
      <c r="B1124" s="5" t="e" cm="1">
        <f t="array" ref="B1124">MAX(#REF!,MIN(#REF!,#REF!+SUMPRODUCT(--(FoodData[[#This Row],[Healthy]:[Refined]]="Yes"),#REF!)+FoodData[[#This Row],[Adjust]]))</f>
        <v>#REF!</v>
      </c>
      <c r="C1124" s="1" t="e">
        <f>LOOKUP(FoodData[[#This Row],[Score]],#REF!,#REF!)</f>
        <v>#REF!</v>
      </c>
      <c r="D1124" t="s">
        <v>2094</v>
      </c>
      <c r="E1124" t="s">
        <v>28</v>
      </c>
      <c r="F1124" t="s">
        <v>22</v>
      </c>
      <c r="G1124" t="s">
        <v>23</v>
      </c>
      <c r="H1124" t="s">
        <v>2258</v>
      </c>
      <c r="I1124" s="1" t="s">
        <v>25</v>
      </c>
      <c r="J1124" s="1" t="s">
        <v>25</v>
      </c>
      <c r="K1124" s="1" t="s">
        <v>26</v>
      </c>
      <c r="L1124" s="1" t="s">
        <v>26</v>
      </c>
      <c r="M1124" s="1" t="s">
        <v>25</v>
      </c>
      <c r="N1124" s="1" t="s">
        <v>26</v>
      </c>
      <c r="O1124" s="1" t="s">
        <v>25</v>
      </c>
      <c r="P1124" s="1" t="s">
        <v>25</v>
      </c>
      <c r="Q1124" s="1" t="s">
        <v>25</v>
      </c>
      <c r="R1124" s="1" t="s">
        <v>25</v>
      </c>
      <c r="S1124" s="2">
        <v>0</v>
      </c>
    </row>
    <row r="1125" spans="1:19" x14ac:dyDescent="0.3">
      <c r="A1125" t="s">
        <v>2259</v>
      </c>
      <c r="B1125" s="5" t="e" cm="1">
        <f t="array" ref="B1125">MAX(#REF!,MIN(#REF!,#REF!+SUMPRODUCT(--(FoodData[[#This Row],[Healthy]:[Refined]]="Yes"),#REF!)+FoodData[[#This Row],[Adjust]]))</f>
        <v>#REF!</v>
      </c>
      <c r="C1125" s="1" t="e">
        <f>LOOKUP(FoodData[[#This Row],[Score]],#REF!,#REF!)</f>
        <v>#REF!</v>
      </c>
      <c r="D1125" t="s">
        <v>2094</v>
      </c>
      <c r="E1125" t="s">
        <v>28</v>
      </c>
      <c r="F1125" t="s">
        <v>22</v>
      </c>
      <c r="G1125" t="s">
        <v>23</v>
      </c>
      <c r="H1125" t="s">
        <v>2260</v>
      </c>
      <c r="I1125" s="1" t="s">
        <v>25</v>
      </c>
      <c r="J1125" s="1" t="s">
        <v>25</v>
      </c>
      <c r="K1125" s="1" t="s">
        <v>25</v>
      </c>
      <c r="L1125" s="1" t="s">
        <v>25</v>
      </c>
      <c r="M1125" s="1" t="s">
        <v>25</v>
      </c>
      <c r="N1125" s="1" t="s">
        <v>26</v>
      </c>
      <c r="O1125" s="1" t="s">
        <v>25</v>
      </c>
      <c r="P1125" s="1" t="s">
        <v>25</v>
      </c>
      <c r="Q1125" s="1" t="s">
        <v>25</v>
      </c>
      <c r="R1125" s="1" t="s">
        <v>25</v>
      </c>
      <c r="S1125" s="2">
        <v>0</v>
      </c>
    </row>
    <row r="1126" spans="1:19" x14ac:dyDescent="0.3">
      <c r="A1126" t="s">
        <v>2261</v>
      </c>
      <c r="B1126" s="5" t="e" cm="1">
        <f t="array" ref="B1126">MAX(#REF!,MIN(#REF!,#REF!+SUMPRODUCT(--(FoodData[[#This Row],[Healthy]:[Refined]]="Yes"),#REF!)+FoodData[[#This Row],[Adjust]]))</f>
        <v>#REF!</v>
      </c>
      <c r="C1126" s="1" t="e">
        <f>LOOKUP(FoodData[[#This Row],[Score]],#REF!,#REF!)</f>
        <v>#REF!</v>
      </c>
      <c r="D1126" t="s">
        <v>2094</v>
      </c>
      <c r="E1126" t="s">
        <v>28</v>
      </c>
      <c r="F1126" t="s">
        <v>22</v>
      </c>
      <c r="G1126" t="s">
        <v>23</v>
      </c>
      <c r="H1126" t="s">
        <v>2262</v>
      </c>
      <c r="I1126" s="1" t="s">
        <v>25</v>
      </c>
      <c r="J1126" s="1" t="s">
        <v>25</v>
      </c>
      <c r="K1126" s="1" t="s">
        <v>25</v>
      </c>
      <c r="L1126" s="1" t="s">
        <v>25</v>
      </c>
      <c r="M1126" s="1" t="s">
        <v>25</v>
      </c>
      <c r="N1126" s="1" t="s">
        <v>26</v>
      </c>
      <c r="O1126" s="1" t="s">
        <v>25</v>
      </c>
      <c r="P1126" s="1" t="s">
        <v>25</v>
      </c>
      <c r="Q1126" s="1" t="s">
        <v>25</v>
      </c>
      <c r="R1126" s="1" t="s">
        <v>25</v>
      </c>
      <c r="S1126" s="2">
        <v>0</v>
      </c>
    </row>
    <row r="1127" spans="1:19" x14ac:dyDescent="0.3">
      <c r="A1127" t="s">
        <v>2263</v>
      </c>
      <c r="B1127" s="5" t="e" cm="1">
        <f t="array" ref="B1127">MAX(#REF!,MIN(#REF!,#REF!+SUMPRODUCT(--(FoodData[[#This Row],[Healthy]:[Refined]]="Yes"),#REF!)+FoodData[[#This Row],[Adjust]]))</f>
        <v>#REF!</v>
      </c>
      <c r="C1127" s="1" t="e">
        <f>LOOKUP(FoodData[[#This Row],[Score]],#REF!,#REF!)</f>
        <v>#REF!</v>
      </c>
      <c r="D1127" t="s">
        <v>2094</v>
      </c>
      <c r="E1127" t="s">
        <v>28</v>
      </c>
      <c r="F1127" t="s">
        <v>60</v>
      </c>
      <c r="G1127" t="s">
        <v>23</v>
      </c>
      <c r="H1127" t="s">
        <v>2264</v>
      </c>
      <c r="I1127" s="1" t="s">
        <v>25</v>
      </c>
      <c r="J1127" s="1" t="s">
        <v>25</v>
      </c>
      <c r="K1127" s="1" t="s">
        <v>26</v>
      </c>
      <c r="L1127" s="1" t="s">
        <v>25</v>
      </c>
      <c r="M1127" s="1" t="s">
        <v>25</v>
      </c>
      <c r="N1127" s="1" t="s">
        <v>25</v>
      </c>
      <c r="O1127" s="1" t="s">
        <v>26</v>
      </c>
      <c r="P1127" s="1" t="s">
        <v>25</v>
      </c>
      <c r="Q1127" s="1" t="s">
        <v>25</v>
      </c>
      <c r="R1127" s="1" t="s">
        <v>25</v>
      </c>
      <c r="S1127" s="2">
        <v>0</v>
      </c>
    </row>
    <row r="1128" spans="1:19" x14ac:dyDescent="0.3">
      <c r="A1128" t="s">
        <v>2265</v>
      </c>
      <c r="B1128" s="5" t="e" cm="1">
        <f t="array" ref="B1128">MAX(#REF!,MIN(#REF!,#REF!+SUMPRODUCT(--(FoodData[[#This Row],[Healthy]:[Refined]]="Yes"),#REF!)+FoodData[[#This Row],[Adjust]]))</f>
        <v>#REF!</v>
      </c>
      <c r="C1128" s="1" t="e">
        <f>LOOKUP(FoodData[[#This Row],[Score]],#REF!,#REF!)</f>
        <v>#REF!</v>
      </c>
      <c r="D1128" t="s">
        <v>2094</v>
      </c>
      <c r="E1128" t="s">
        <v>28</v>
      </c>
      <c r="F1128" t="s">
        <v>22</v>
      </c>
      <c r="G1128" t="s">
        <v>29</v>
      </c>
      <c r="H1128" t="s">
        <v>2266</v>
      </c>
      <c r="I1128" s="1" t="s">
        <v>26</v>
      </c>
      <c r="J1128" s="1" t="s">
        <v>25</v>
      </c>
      <c r="K1128" s="1" t="s">
        <v>26</v>
      </c>
      <c r="L1128" s="1" t="s">
        <v>26</v>
      </c>
      <c r="M1128" s="1" t="s">
        <v>25</v>
      </c>
      <c r="N1128" s="1" t="s">
        <v>26</v>
      </c>
      <c r="O1128" s="1" t="s">
        <v>25</v>
      </c>
      <c r="P1128" s="1" t="s">
        <v>25</v>
      </c>
      <c r="Q1128" s="1" t="s">
        <v>25</v>
      </c>
      <c r="R1128" s="1" t="s">
        <v>25</v>
      </c>
      <c r="S1128" s="2">
        <v>0</v>
      </c>
    </row>
    <row r="1129" spans="1:19" x14ac:dyDescent="0.3">
      <c r="A1129" t="s">
        <v>2267</v>
      </c>
      <c r="B1129" s="5" t="e" cm="1">
        <f t="array" ref="B1129">MAX(#REF!,MIN(#REF!,#REF!+SUMPRODUCT(--(FoodData[[#This Row],[Healthy]:[Refined]]="Yes"),#REF!)+FoodData[[#This Row],[Adjust]]))</f>
        <v>#REF!</v>
      </c>
      <c r="C1129" s="1" t="e">
        <f>LOOKUP(FoodData[[#This Row],[Score]],#REF!,#REF!)</f>
        <v>#REF!</v>
      </c>
      <c r="D1129" t="s">
        <v>2094</v>
      </c>
      <c r="E1129" t="s">
        <v>28</v>
      </c>
      <c r="F1129" t="s">
        <v>22</v>
      </c>
      <c r="G1129" t="s">
        <v>23</v>
      </c>
      <c r="H1129" t="s">
        <v>2268</v>
      </c>
      <c r="I1129" s="1" t="s">
        <v>26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25</v>
      </c>
      <c r="P1129" s="1" t="s">
        <v>25</v>
      </c>
      <c r="Q1129" s="1" t="s">
        <v>25</v>
      </c>
      <c r="R1129" s="1" t="s">
        <v>25</v>
      </c>
      <c r="S1129" s="2">
        <v>0</v>
      </c>
    </row>
    <row r="1130" spans="1:19" x14ac:dyDescent="0.3">
      <c r="A1130" t="s">
        <v>2269</v>
      </c>
      <c r="B1130" s="5" t="e" cm="1">
        <f t="array" ref="B1130">MAX(#REF!,MIN(#REF!,#REF!+SUMPRODUCT(--(FoodData[[#This Row],[Healthy]:[Refined]]="Yes"),#REF!)+FoodData[[#This Row],[Adjust]]))</f>
        <v>#REF!</v>
      </c>
      <c r="C1130" s="1" t="e">
        <f>LOOKUP(FoodData[[#This Row],[Score]],#REF!,#REF!)</f>
        <v>#REF!</v>
      </c>
      <c r="D1130" t="s">
        <v>2094</v>
      </c>
      <c r="E1130" t="s">
        <v>28</v>
      </c>
      <c r="F1130" t="s">
        <v>22</v>
      </c>
      <c r="G1130" t="s">
        <v>23</v>
      </c>
      <c r="H1130" t="s">
        <v>2270</v>
      </c>
      <c r="I1130" s="1" t="s">
        <v>25</v>
      </c>
      <c r="J1130" s="1" t="s">
        <v>25</v>
      </c>
      <c r="K1130" s="1" t="s">
        <v>25</v>
      </c>
      <c r="L1130" s="1" t="s">
        <v>26</v>
      </c>
      <c r="M1130" s="1" t="s">
        <v>25</v>
      </c>
      <c r="N1130" s="1" t="s">
        <v>26</v>
      </c>
      <c r="O1130" s="1" t="s">
        <v>25</v>
      </c>
      <c r="P1130" s="1" t="s">
        <v>25</v>
      </c>
      <c r="Q1130" s="1" t="s">
        <v>25</v>
      </c>
      <c r="R1130" s="1" t="s">
        <v>25</v>
      </c>
      <c r="S1130" s="2">
        <v>0</v>
      </c>
    </row>
    <row r="1131" spans="1:19" x14ac:dyDescent="0.3">
      <c r="A1131" t="s">
        <v>2271</v>
      </c>
      <c r="B1131" s="5" t="e" cm="1">
        <f t="array" ref="B1131">MAX(#REF!,MIN(#REF!,#REF!+SUMPRODUCT(--(FoodData[[#This Row],[Healthy]:[Refined]]="Yes"),#REF!)+FoodData[[#This Row],[Adjust]]))</f>
        <v>#REF!</v>
      </c>
      <c r="C1131" s="1" t="e">
        <f>LOOKUP(FoodData[[#This Row],[Score]],#REF!,#REF!)</f>
        <v>#REF!</v>
      </c>
      <c r="D1131" t="s">
        <v>2094</v>
      </c>
      <c r="E1131" t="s">
        <v>28</v>
      </c>
      <c r="F1131" t="s">
        <v>22</v>
      </c>
      <c r="G1131" t="s">
        <v>23</v>
      </c>
      <c r="H1131" t="s">
        <v>2272</v>
      </c>
      <c r="I1131" s="1" t="s">
        <v>25</v>
      </c>
      <c r="J1131" s="1" t="s">
        <v>25</v>
      </c>
      <c r="K1131" s="1" t="s">
        <v>26</v>
      </c>
      <c r="L1131" s="1" t="s">
        <v>26</v>
      </c>
      <c r="M1131" s="1" t="s">
        <v>25</v>
      </c>
      <c r="N1131" s="1" t="s">
        <v>25</v>
      </c>
      <c r="O1131" s="1" t="s">
        <v>26</v>
      </c>
      <c r="P1131" s="1" t="s">
        <v>25</v>
      </c>
      <c r="Q1131" s="1" t="s">
        <v>25</v>
      </c>
      <c r="R1131" s="1" t="s">
        <v>25</v>
      </c>
      <c r="S1131" s="2">
        <v>0</v>
      </c>
    </row>
    <row r="1132" spans="1:19" x14ac:dyDescent="0.3">
      <c r="A1132" t="s">
        <v>2273</v>
      </c>
      <c r="B1132" s="5" t="e" cm="1">
        <f t="array" ref="B1132">MAX(#REF!,MIN(#REF!,#REF!+SUMPRODUCT(--(FoodData[[#This Row],[Healthy]:[Refined]]="Yes"),#REF!)+FoodData[[#This Row],[Adjust]]))</f>
        <v>#REF!</v>
      </c>
      <c r="C1132" s="1" t="e">
        <f>LOOKUP(FoodData[[#This Row],[Score]],#REF!,#REF!)</f>
        <v>#REF!</v>
      </c>
      <c r="D1132" t="s">
        <v>2094</v>
      </c>
      <c r="E1132" t="s">
        <v>28</v>
      </c>
      <c r="F1132" t="s">
        <v>22</v>
      </c>
      <c r="G1132" t="s">
        <v>23</v>
      </c>
      <c r="H1132" t="s">
        <v>2274</v>
      </c>
      <c r="I1132" s="1" t="s">
        <v>25</v>
      </c>
      <c r="J1132" s="1" t="s">
        <v>25</v>
      </c>
      <c r="K1132" s="1" t="s">
        <v>25</v>
      </c>
      <c r="L1132" s="1" t="s">
        <v>26</v>
      </c>
      <c r="M1132" s="1" t="s">
        <v>25</v>
      </c>
      <c r="N1132" s="1" t="s">
        <v>26</v>
      </c>
      <c r="O1132" s="1" t="s">
        <v>26</v>
      </c>
      <c r="P1132" s="1" t="s">
        <v>25</v>
      </c>
      <c r="Q1132" s="1" t="s">
        <v>25</v>
      </c>
      <c r="R1132" s="1" t="s">
        <v>25</v>
      </c>
      <c r="S1132" s="2">
        <v>0</v>
      </c>
    </row>
    <row r="1133" spans="1:19" x14ac:dyDescent="0.3">
      <c r="A1133" t="s">
        <v>2275</v>
      </c>
      <c r="B1133" s="5" t="e" cm="1">
        <f t="array" ref="B1133">MAX(#REF!,MIN(#REF!,#REF!+SUMPRODUCT(--(FoodData[[#This Row],[Healthy]:[Refined]]="Yes"),#REF!)+FoodData[[#This Row],[Adjust]]))</f>
        <v>#REF!</v>
      </c>
      <c r="C1133" s="1" t="e">
        <f>LOOKUP(FoodData[[#This Row],[Score]],#REF!,#REF!)</f>
        <v>#REF!</v>
      </c>
      <c r="D1133" t="s">
        <v>2094</v>
      </c>
      <c r="E1133" t="s">
        <v>28</v>
      </c>
      <c r="F1133" t="s">
        <v>22</v>
      </c>
      <c r="G1133" t="s">
        <v>23</v>
      </c>
      <c r="H1133" t="s">
        <v>2276</v>
      </c>
      <c r="I1133" s="1" t="s">
        <v>26</v>
      </c>
      <c r="J1133" s="1" t="s">
        <v>25</v>
      </c>
      <c r="K1133" s="1" t="s">
        <v>25</v>
      </c>
      <c r="L1133" s="1" t="s">
        <v>26</v>
      </c>
      <c r="M1133" s="1" t="s">
        <v>25</v>
      </c>
      <c r="N1133" s="1" t="s">
        <v>26</v>
      </c>
      <c r="O1133" s="1" t="s">
        <v>25</v>
      </c>
      <c r="P1133" s="1" t="s">
        <v>25</v>
      </c>
      <c r="Q1133" s="1" t="s">
        <v>25</v>
      </c>
      <c r="R1133" s="1" t="s">
        <v>25</v>
      </c>
      <c r="S1133" s="2">
        <v>0</v>
      </c>
    </row>
    <row r="1134" spans="1:19" x14ac:dyDescent="0.3">
      <c r="A1134" t="s">
        <v>2277</v>
      </c>
      <c r="B1134" s="5" t="e" cm="1">
        <f t="array" ref="B1134">MAX(#REF!,MIN(#REF!,#REF!+SUMPRODUCT(--(FoodData[[#This Row],[Healthy]:[Refined]]="Yes"),#REF!)+FoodData[[#This Row],[Adjust]]))</f>
        <v>#REF!</v>
      </c>
      <c r="C1134" s="1" t="e">
        <f>LOOKUP(FoodData[[#This Row],[Score]],#REF!,#REF!)</f>
        <v>#REF!</v>
      </c>
      <c r="D1134" t="s">
        <v>2094</v>
      </c>
      <c r="E1134" t="s">
        <v>28</v>
      </c>
      <c r="F1134" t="s">
        <v>22</v>
      </c>
      <c r="G1134" t="s">
        <v>23</v>
      </c>
      <c r="H1134" t="s">
        <v>2278</v>
      </c>
      <c r="I1134" s="1" t="s">
        <v>25</v>
      </c>
      <c r="J1134" s="1" t="s">
        <v>25</v>
      </c>
      <c r="K1134" s="1" t="s">
        <v>26</v>
      </c>
      <c r="L1134" s="1" t="s">
        <v>26</v>
      </c>
      <c r="M1134" s="1" t="s">
        <v>25</v>
      </c>
      <c r="N1134" s="1" t="s">
        <v>25</v>
      </c>
      <c r="O1134" s="1" t="s">
        <v>26</v>
      </c>
      <c r="P1134" s="1" t="s">
        <v>25</v>
      </c>
      <c r="Q1134" s="1" t="s">
        <v>25</v>
      </c>
      <c r="R1134" s="1" t="s">
        <v>25</v>
      </c>
      <c r="S1134" s="2">
        <v>0</v>
      </c>
    </row>
    <row r="1135" spans="1:19" x14ac:dyDescent="0.3">
      <c r="A1135" t="s">
        <v>2279</v>
      </c>
      <c r="B1135" s="5" t="e" cm="1">
        <f t="array" ref="B1135">MAX(#REF!,MIN(#REF!,#REF!+SUMPRODUCT(--(FoodData[[#This Row],[Healthy]:[Refined]]="Yes"),#REF!)+FoodData[[#This Row],[Adjust]]))</f>
        <v>#REF!</v>
      </c>
      <c r="C1135" s="1" t="e">
        <f>LOOKUP(FoodData[[#This Row],[Score]],#REF!,#REF!)</f>
        <v>#REF!</v>
      </c>
      <c r="D1135" t="s">
        <v>2280</v>
      </c>
      <c r="E1135" t="s">
        <v>63</v>
      </c>
      <c r="F1135" t="s">
        <v>22</v>
      </c>
      <c r="G1135" t="s">
        <v>23</v>
      </c>
      <c r="H1135" t="s">
        <v>2281</v>
      </c>
      <c r="I1135" s="1" t="s">
        <v>25</v>
      </c>
      <c r="J1135" s="1" t="s">
        <v>25</v>
      </c>
      <c r="K1135" s="1" t="s">
        <v>25</v>
      </c>
      <c r="L1135" s="1" t="s">
        <v>25</v>
      </c>
      <c r="M1135" s="1" t="s">
        <v>25</v>
      </c>
      <c r="N1135" s="1" t="s">
        <v>26</v>
      </c>
      <c r="O1135" s="1" t="s">
        <v>25</v>
      </c>
      <c r="P1135" s="1" t="s">
        <v>25</v>
      </c>
      <c r="Q1135" s="1" t="s">
        <v>25</v>
      </c>
      <c r="R1135" s="1" t="s">
        <v>26</v>
      </c>
      <c r="S1135" s="2">
        <v>0</v>
      </c>
    </row>
    <row r="1136" spans="1:19" x14ac:dyDescent="0.3">
      <c r="A1136" t="s">
        <v>2282</v>
      </c>
      <c r="B1136" s="5" t="e" cm="1">
        <f t="array" ref="B1136">MAX(#REF!,MIN(#REF!,#REF!+SUMPRODUCT(--(FoodData[[#This Row],[Healthy]:[Refined]]="Yes"),#REF!)+FoodData[[#This Row],[Adjust]]))</f>
        <v>#REF!</v>
      </c>
      <c r="C1136" s="1" t="e">
        <f>LOOKUP(FoodData[[#This Row],[Score]],#REF!,#REF!)</f>
        <v>#REF!</v>
      </c>
      <c r="D1136" t="s">
        <v>2280</v>
      </c>
      <c r="E1136" t="s">
        <v>63</v>
      </c>
      <c r="F1136" t="s">
        <v>22</v>
      </c>
      <c r="G1136" t="s">
        <v>23</v>
      </c>
      <c r="H1136" t="s">
        <v>2283</v>
      </c>
      <c r="I1136" s="1" t="s">
        <v>25</v>
      </c>
      <c r="J1136" s="1" t="s">
        <v>25</v>
      </c>
      <c r="K1136" s="1" t="s">
        <v>25</v>
      </c>
      <c r="L1136" s="1" t="s">
        <v>25</v>
      </c>
      <c r="M1136" s="1" t="s">
        <v>25</v>
      </c>
      <c r="N1136" s="1" t="s">
        <v>25</v>
      </c>
      <c r="O1136" s="1" t="s">
        <v>25</v>
      </c>
      <c r="P1136" s="1" t="s">
        <v>25</v>
      </c>
      <c r="Q1136" s="1" t="s">
        <v>25</v>
      </c>
      <c r="R1136" s="1" t="s">
        <v>26</v>
      </c>
      <c r="S1136" s="2">
        <v>0</v>
      </c>
    </row>
    <row r="1137" spans="1:19" x14ac:dyDescent="0.3">
      <c r="A1137" t="s">
        <v>2284</v>
      </c>
      <c r="B1137" s="5" t="e" cm="1">
        <f t="array" ref="B1137">MAX(#REF!,MIN(#REF!,#REF!+SUMPRODUCT(--(FoodData[[#This Row],[Healthy]:[Refined]]="Yes"),#REF!)+FoodData[[#This Row],[Adjust]]))</f>
        <v>#REF!</v>
      </c>
      <c r="C1137" s="1" t="e">
        <f>LOOKUP(FoodData[[#This Row],[Score]],#REF!,#REF!)</f>
        <v>#REF!</v>
      </c>
      <c r="D1137" t="s">
        <v>2280</v>
      </c>
      <c r="E1137" t="s">
        <v>63</v>
      </c>
      <c r="F1137" t="s">
        <v>22</v>
      </c>
      <c r="G1137" t="s">
        <v>23</v>
      </c>
      <c r="H1137" t="s">
        <v>2285</v>
      </c>
      <c r="I1137" s="1" t="s">
        <v>25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26</v>
      </c>
      <c r="Q1137" s="1" t="s">
        <v>26</v>
      </c>
      <c r="R1137" s="1" t="s">
        <v>26</v>
      </c>
      <c r="S1137" s="2">
        <v>0</v>
      </c>
    </row>
    <row r="1138" spans="1:19" x14ac:dyDescent="0.3">
      <c r="A1138" t="s">
        <v>2286</v>
      </c>
      <c r="B1138" s="5" t="e" cm="1">
        <f t="array" ref="B1138">MAX(#REF!,MIN(#REF!,#REF!+SUMPRODUCT(--(FoodData[[#This Row],[Healthy]:[Refined]]="Yes"),#REF!)+FoodData[[#This Row],[Adjust]]))</f>
        <v>#REF!</v>
      </c>
      <c r="C1138" s="1" t="e">
        <f>LOOKUP(FoodData[[#This Row],[Score]],#REF!,#REF!)</f>
        <v>#REF!</v>
      </c>
      <c r="D1138" t="s">
        <v>2280</v>
      </c>
      <c r="E1138" t="s">
        <v>63</v>
      </c>
      <c r="F1138" t="s">
        <v>22</v>
      </c>
      <c r="G1138" t="s">
        <v>23</v>
      </c>
      <c r="H1138" t="s">
        <v>2287</v>
      </c>
      <c r="I1138" s="1" t="s">
        <v>25</v>
      </c>
      <c r="J1138" s="1" t="s">
        <v>25</v>
      </c>
      <c r="K1138" s="1" t="s">
        <v>25</v>
      </c>
      <c r="L1138" s="1" t="s">
        <v>25</v>
      </c>
      <c r="M1138" s="1" t="s">
        <v>25</v>
      </c>
      <c r="N1138" s="1" t="s">
        <v>25</v>
      </c>
      <c r="O1138" s="1" t="s">
        <v>26</v>
      </c>
      <c r="P1138" s="1" t="s">
        <v>25</v>
      </c>
      <c r="Q1138" s="1" t="s">
        <v>25</v>
      </c>
      <c r="R1138" s="1" t="s">
        <v>26</v>
      </c>
      <c r="S1138" s="2">
        <v>0</v>
      </c>
    </row>
    <row r="1139" spans="1:19" x14ac:dyDescent="0.3">
      <c r="A1139" t="s">
        <v>2288</v>
      </c>
      <c r="B1139" s="5" t="e" cm="1">
        <f t="array" ref="B1139">MAX(#REF!,MIN(#REF!,#REF!+SUMPRODUCT(--(FoodData[[#This Row],[Healthy]:[Refined]]="Yes"),#REF!)+FoodData[[#This Row],[Adjust]]))</f>
        <v>#REF!</v>
      </c>
      <c r="C1139" s="1" t="e">
        <f>LOOKUP(FoodData[[#This Row],[Score]],#REF!,#REF!)</f>
        <v>#REF!</v>
      </c>
      <c r="D1139" t="s">
        <v>2280</v>
      </c>
      <c r="E1139" t="s">
        <v>21</v>
      </c>
      <c r="F1139" t="s">
        <v>22</v>
      </c>
      <c r="G1139" t="s">
        <v>29</v>
      </c>
      <c r="H1139" t="s">
        <v>2289</v>
      </c>
      <c r="I1139" s="1" t="s">
        <v>25</v>
      </c>
      <c r="J1139" s="1" t="s">
        <v>25</v>
      </c>
      <c r="K1139" s="1" t="s">
        <v>25</v>
      </c>
      <c r="L1139" s="1" t="s">
        <v>25</v>
      </c>
      <c r="M1139" s="1" t="s">
        <v>25</v>
      </c>
      <c r="N1139" s="1" t="s">
        <v>25</v>
      </c>
      <c r="O1139" s="1" t="s">
        <v>26</v>
      </c>
      <c r="P1139" s="1" t="s">
        <v>25</v>
      </c>
      <c r="Q1139" s="1" t="s">
        <v>26</v>
      </c>
      <c r="R1139" s="1" t="s">
        <v>26</v>
      </c>
      <c r="S1139" s="2">
        <v>0</v>
      </c>
    </row>
    <row r="1140" spans="1:19" x14ac:dyDescent="0.3">
      <c r="A1140" t="s">
        <v>2290</v>
      </c>
      <c r="B1140" s="5" t="e" cm="1">
        <f t="array" ref="B1140">MAX(#REF!,MIN(#REF!,#REF!+SUMPRODUCT(--(FoodData[[#This Row],[Healthy]:[Refined]]="Yes"),#REF!)+FoodData[[#This Row],[Adjust]]))</f>
        <v>#REF!</v>
      </c>
      <c r="C1140" s="1" t="e">
        <f>LOOKUP(FoodData[[#This Row],[Score]],#REF!,#REF!)</f>
        <v>#REF!</v>
      </c>
      <c r="D1140" t="s">
        <v>2280</v>
      </c>
      <c r="E1140" t="s">
        <v>63</v>
      </c>
      <c r="F1140" t="s">
        <v>22</v>
      </c>
      <c r="G1140" t="s">
        <v>23</v>
      </c>
      <c r="H1140" t="s">
        <v>2291</v>
      </c>
      <c r="I1140" s="1" t="s">
        <v>25</v>
      </c>
      <c r="J1140" s="1" t="s">
        <v>25</v>
      </c>
      <c r="K1140" s="1" t="s">
        <v>25</v>
      </c>
      <c r="L1140" s="1" t="s">
        <v>25</v>
      </c>
      <c r="M1140" s="1" t="s">
        <v>25</v>
      </c>
      <c r="N1140" s="1" t="s">
        <v>25</v>
      </c>
      <c r="O1140" s="1" t="s">
        <v>26</v>
      </c>
      <c r="P1140" s="1" t="s">
        <v>25</v>
      </c>
      <c r="Q1140" s="1" t="s">
        <v>26</v>
      </c>
      <c r="R1140" s="1" t="s">
        <v>26</v>
      </c>
      <c r="S1140" s="2">
        <v>0</v>
      </c>
    </row>
    <row r="1141" spans="1:19" x14ac:dyDescent="0.3">
      <c r="A1141" t="s">
        <v>2292</v>
      </c>
      <c r="B1141" s="5" t="e" cm="1">
        <f t="array" ref="B1141">MAX(#REF!,MIN(#REF!,#REF!+SUMPRODUCT(--(FoodData[[#This Row],[Healthy]:[Refined]]="Yes"),#REF!)+FoodData[[#This Row],[Adjust]]))</f>
        <v>#REF!</v>
      </c>
      <c r="C1141" s="1" t="e">
        <f>LOOKUP(FoodData[[#This Row],[Score]],#REF!,#REF!)</f>
        <v>#REF!</v>
      </c>
      <c r="D1141" t="s">
        <v>2280</v>
      </c>
      <c r="E1141" t="s">
        <v>63</v>
      </c>
      <c r="F1141" t="s">
        <v>22</v>
      </c>
      <c r="G1141" t="s">
        <v>23</v>
      </c>
      <c r="H1141" t="s">
        <v>2293</v>
      </c>
      <c r="I1141" s="1" t="s">
        <v>25</v>
      </c>
      <c r="J1141" s="1" t="s">
        <v>25</v>
      </c>
      <c r="K1141" s="1" t="s">
        <v>25</v>
      </c>
      <c r="L1141" s="1" t="s">
        <v>25</v>
      </c>
      <c r="M1141" s="1" t="s">
        <v>25</v>
      </c>
      <c r="N1141" s="1" t="s">
        <v>26</v>
      </c>
      <c r="O1141" s="1" t="s">
        <v>26</v>
      </c>
      <c r="P1141" s="1" t="s">
        <v>25</v>
      </c>
      <c r="Q1141" s="1" t="s">
        <v>26</v>
      </c>
      <c r="R1141" s="1" t="s">
        <v>26</v>
      </c>
      <c r="S1141" s="2">
        <v>0</v>
      </c>
    </row>
    <row r="1142" spans="1:19" x14ac:dyDescent="0.3">
      <c r="A1142" t="s">
        <v>2294</v>
      </c>
      <c r="B1142" s="5" t="e" cm="1">
        <f t="array" ref="B1142">MAX(#REF!,MIN(#REF!,#REF!+SUMPRODUCT(--(FoodData[[#This Row],[Healthy]:[Refined]]="Yes"),#REF!)+FoodData[[#This Row],[Adjust]]))</f>
        <v>#REF!</v>
      </c>
      <c r="C1142" s="1" t="e">
        <f>LOOKUP(FoodData[[#This Row],[Score]],#REF!,#REF!)</f>
        <v>#REF!</v>
      </c>
      <c r="D1142" t="s">
        <v>2280</v>
      </c>
      <c r="E1142" t="s">
        <v>63</v>
      </c>
      <c r="F1142" t="s">
        <v>60</v>
      </c>
      <c r="G1142" t="s">
        <v>23</v>
      </c>
      <c r="H1142" t="s">
        <v>2295</v>
      </c>
      <c r="I1142" s="1" t="s">
        <v>25</v>
      </c>
      <c r="J1142" s="1" t="s">
        <v>25</v>
      </c>
      <c r="K1142" s="1" t="s">
        <v>26</v>
      </c>
      <c r="L1142" s="1" t="s">
        <v>25</v>
      </c>
      <c r="M1142" s="1" t="s">
        <v>25</v>
      </c>
      <c r="N1142" s="1" t="s">
        <v>26</v>
      </c>
      <c r="O1142" s="1" t="s">
        <v>25</v>
      </c>
      <c r="P1142" s="1" t="s">
        <v>25</v>
      </c>
      <c r="Q1142" s="1" t="s">
        <v>25</v>
      </c>
      <c r="R1142" s="1" t="s">
        <v>26</v>
      </c>
      <c r="S1142" s="2">
        <v>0</v>
      </c>
    </row>
    <row r="1143" spans="1:19" x14ac:dyDescent="0.3">
      <c r="A1143" t="s">
        <v>2296</v>
      </c>
      <c r="B1143" s="5" t="e" cm="1">
        <f t="array" ref="B1143">MAX(#REF!,MIN(#REF!,#REF!+SUMPRODUCT(--(FoodData[[#This Row],[Healthy]:[Refined]]="Yes"),#REF!)+FoodData[[#This Row],[Adjust]]))</f>
        <v>#REF!</v>
      </c>
      <c r="C1143" s="1" t="e">
        <f>LOOKUP(FoodData[[#This Row],[Score]],#REF!,#REF!)</f>
        <v>#REF!</v>
      </c>
      <c r="D1143" t="s">
        <v>2280</v>
      </c>
      <c r="E1143" t="s">
        <v>63</v>
      </c>
      <c r="F1143" t="s">
        <v>60</v>
      </c>
      <c r="G1143" t="s">
        <v>23</v>
      </c>
      <c r="H1143" t="s">
        <v>2297</v>
      </c>
      <c r="I1143" s="1" t="s">
        <v>25</v>
      </c>
      <c r="J1143" s="1" t="s">
        <v>25</v>
      </c>
      <c r="K1143" s="1" t="s">
        <v>26</v>
      </c>
      <c r="L1143" s="1" t="s">
        <v>25</v>
      </c>
      <c r="M1143" s="1" t="s">
        <v>25</v>
      </c>
      <c r="N1143" s="1" t="s">
        <v>25</v>
      </c>
      <c r="O1143" s="1" t="s">
        <v>25</v>
      </c>
      <c r="P1143" s="1" t="s">
        <v>25</v>
      </c>
      <c r="Q1143" s="1" t="s">
        <v>26</v>
      </c>
      <c r="R1143" s="1" t="s">
        <v>26</v>
      </c>
      <c r="S1143" s="2">
        <v>0</v>
      </c>
    </row>
    <row r="1144" spans="1:19" x14ac:dyDescent="0.3">
      <c r="A1144" t="s">
        <v>2298</v>
      </c>
      <c r="B1144" s="5" t="e" cm="1">
        <f t="array" ref="B1144">MAX(#REF!,MIN(#REF!,#REF!+SUMPRODUCT(--(FoodData[[#This Row],[Healthy]:[Refined]]="Yes"),#REF!)+FoodData[[#This Row],[Adjust]]))</f>
        <v>#REF!</v>
      </c>
      <c r="C1144" s="1" t="e">
        <f>LOOKUP(FoodData[[#This Row],[Score]],#REF!,#REF!)</f>
        <v>#REF!</v>
      </c>
      <c r="D1144" t="s">
        <v>2280</v>
      </c>
      <c r="E1144" t="s">
        <v>63</v>
      </c>
      <c r="F1144" t="s">
        <v>60</v>
      </c>
      <c r="G1144" t="s">
        <v>23</v>
      </c>
      <c r="H1144" t="s">
        <v>2299</v>
      </c>
      <c r="I1144" s="1" t="s">
        <v>25</v>
      </c>
      <c r="J1144" s="1" t="s">
        <v>25</v>
      </c>
      <c r="K1144" s="1" t="s">
        <v>26</v>
      </c>
      <c r="L1144" s="1" t="s">
        <v>25</v>
      </c>
      <c r="M1144" s="1" t="s">
        <v>25</v>
      </c>
      <c r="N1144" s="1" t="s">
        <v>26</v>
      </c>
      <c r="O1144" s="1" t="s">
        <v>25</v>
      </c>
      <c r="P1144" s="1" t="s">
        <v>25</v>
      </c>
      <c r="Q1144" s="1" t="s">
        <v>25</v>
      </c>
      <c r="R1144" s="1" t="s">
        <v>26</v>
      </c>
      <c r="S1144" s="2">
        <v>0</v>
      </c>
    </row>
    <row r="1145" spans="1:19" x14ac:dyDescent="0.3">
      <c r="A1145" t="s">
        <v>2300</v>
      </c>
      <c r="B1145" s="5" t="e" cm="1">
        <f t="array" ref="B1145">MAX(#REF!,MIN(#REF!,#REF!+SUMPRODUCT(--(FoodData[[#This Row],[Healthy]:[Refined]]="Yes"),#REF!)+FoodData[[#This Row],[Adjust]]))</f>
        <v>#REF!</v>
      </c>
      <c r="C1145" s="1" t="e">
        <f>LOOKUP(FoodData[[#This Row],[Score]],#REF!,#REF!)</f>
        <v>#REF!</v>
      </c>
      <c r="D1145" t="s">
        <v>2280</v>
      </c>
      <c r="E1145" t="s">
        <v>63</v>
      </c>
      <c r="F1145" t="s">
        <v>60</v>
      </c>
      <c r="G1145" t="s">
        <v>23</v>
      </c>
      <c r="H1145" t="s">
        <v>2301</v>
      </c>
      <c r="I1145" s="1" t="s">
        <v>26</v>
      </c>
      <c r="J1145" s="1" t="s">
        <v>25</v>
      </c>
      <c r="K1145" s="1" t="s">
        <v>26</v>
      </c>
      <c r="L1145" s="1" t="s">
        <v>26</v>
      </c>
      <c r="M1145" s="1" t="s">
        <v>25</v>
      </c>
      <c r="N1145" s="1" t="s">
        <v>25</v>
      </c>
      <c r="O1145" s="1" t="s">
        <v>25</v>
      </c>
      <c r="P1145" s="1" t="s">
        <v>25</v>
      </c>
      <c r="Q1145" s="1" t="s">
        <v>25</v>
      </c>
      <c r="R1145" s="1" t="s">
        <v>25</v>
      </c>
      <c r="S1145" s="2">
        <v>0</v>
      </c>
    </row>
    <row r="1146" spans="1:19" x14ac:dyDescent="0.3">
      <c r="A1146" t="s">
        <v>2302</v>
      </c>
      <c r="B1146" s="5" t="e" cm="1">
        <f t="array" ref="B1146">MAX(#REF!,MIN(#REF!,#REF!+SUMPRODUCT(--(FoodData[[#This Row],[Healthy]:[Refined]]="Yes"),#REF!)+FoodData[[#This Row],[Adjust]]))</f>
        <v>#REF!</v>
      </c>
      <c r="C1146" s="1" t="e">
        <f>LOOKUP(FoodData[[#This Row],[Score]],#REF!,#REF!)</f>
        <v>#REF!</v>
      </c>
      <c r="D1146" t="s">
        <v>2280</v>
      </c>
      <c r="E1146" t="s">
        <v>63</v>
      </c>
      <c r="F1146" t="s">
        <v>60</v>
      </c>
      <c r="G1146" t="s">
        <v>29</v>
      </c>
      <c r="H1146" t="s">
        <v>2303</v>
      </c>
      <c r="I1146" s="1" t="s">
        <v>25</v>
      </c>
      <c r="J1146" s="1" t="s">
        <v>25</v>
      </c>
      <c r="K1146" s="1" t="s">
        <v>26</v>
      </c>
      <c r="L1146" s="1" t="s">
        <v>25</v>
      </c>
      <c r="M1146" s="1" t="s">
        <v>25</v>
      </c>
      <c r="N1146" s="1" t="s">
        <v>25</v>
      </c>
      <c r="O1146" s="1" t="s">
        <v>25</v>
      </c>
      <c r="P1146" s="1" t="s">
        <v>25</v>
      </c>
      <c r="Q1146" s="1" t="s">
        <v>26</v>
      </c>
      <c r="R1146" s="1" t="s">
        <v>26</v>
      </c>
      <c r="S1146" s="2">
        <v>0</v>
      </c>
    </row>
    <row r="1147" spans="1:19" x14ac:dyDescent="0.3">
      <c r="A1147" t="s">
        <v>2304</v>
      </c>
      <c r="B1147" s="5" t="e" cm="1">
        <f t="array" ref="B1147">MAX(#REF!,MIN(#REF!,#REF!+SUMPRODUCT(--(FoodData[[#This Row],[Healthy]:[Refined]]="Yes"),#REF!)+FoodData[[#This Row],[Adjust]]))</f>
        <v>#REF!</v>
      </c>
      <c r="C1147" s="1" t="e">
        <f>LOOKUP(FoodData[[#This Row],[Score]],#REF!,#REF!)</f>
        <v>#REF!</v>
      </c>
      <c r="D1147" t="s">
        <v>2280</v>
      </c>
      <c r="E1147" t="s">
        <v>63</v>
      </c>
      <c r="F1147" t="s">
        <v>60</v>
      </c>
      <c r="G1147" t="s">
        <v>23</v>
      </c>
      <c r="H1147" t="s">
        <v>2305</v>
      </c>
      <c r="I1147" s="1" t="s">
        <v>25</v>
      </c>
      <c r="J1147" s="1" t="s">
        <v>25</v>
      </c>
      <c r="K1147" s="1" t="s">
        <v>26</v>
      </c>
      <c r="L1147" s="1" t="s">
        <v>25</v>
      </c>
      <c r="M1147" s="1" t="s">
        <v>25</v>
      </c>
      <c r="N1147" s="1" t="s">
        <v>26</v>
      </c>
      <c r="O1147" s="1" t="s">
        <v>25</v>
      </c>
      <c r="P1147" s="1" t="s">
        <v>25</v>
      </c>
      <c r="Q1147" s="1" t="s">
        <v>25</v>
      </c>
      <c r="R1147" s="1" t="s">
        <v>26</v>
      </c>
      <c r="S1147" s="2">
        <v>0</v>
      </c>
    </row>
    <row r="1148" spans="1:19" x14ac:dyDescent="0.3">
      <c r="A1148" t="s">
        <v>2306</v>
      </c>
      <c r="B1148" s="5" t="e" cm="1">
        <f t="array" ref="B1148">MAX(#REF!,MIN(#REF!,#REF!+SUMPRODUCT(--(FoodData[[#This Row],[Healthy]:[Refined]]="Yes"),#REF!)+FoodData[[#This Row],[Adjust]]))</f>
        <v>#REF!</v>
      </c>
      <c r="C1148" s="1" t="e">
        <f>LOOKUP(FoodData[[#This Row],[Score]],#REF!,#REF!)</f>
        <v>#REF!</v>
      </c>
      <c r="D1148" t="s">
        <v>2280</v>
      </c>
      <c r="E1148" t="s">
        <v>63</v>
      </c>
      <c r="F1148" t="s">
        <v>60</v>
      </c>
      <c r="G1148" t="s">
        <v>23</v>
      </c>
      <c r="H1148" t="s">
        <v>2307</v>
      </c>
      <c r="I1148" s="1" t="s">
        <v>25</v>
      </c>
      <c r="J1148" s="1" t="s">
        <v>25</v>
      </c>
      <c r="K1148" s="1" t="s">
        <v>26</v>
      </c>
      <c r="L1148" s="1" t="s">
        <v>25</v>
      </c>
      <c r="M1148" s="1" t="s">
        <v>25</v>
      </c>
      <c r="N1148" s="1" t="s">
        <v>25</v>
      </c>
      <c r="O1148" s="1" t="s">
        <v>25</v>
      </c>
      <c r="P1148" s="1" t="s">
        <v>26</v>
      </c>
      <c r="Q1148" s="1" t="s">
        <v>26</v>
      </c>
      <c r="R1148" s="1" t="s">
        <v>26</v>
      </c>
      <c r="S1148" s="2">
        <v>0</v>
      </c>
    </row>
    <row r="1149" spans="1:19" x14ac:dyDescent="0.3">
      <c r="A1149" t="s">
        <v>2308</v>
      </c>
      <c r="B1149" s="5" t="e" cm="1">
        <f t="array" ref="B1149">MAX(#REF!,MIN(#REF!,#REF!+SUMPRODUCT(--(FoodData[[#This Row],[Healthy]:[Refined]]="Yes"),#REF!)+FoodData[[#This Row],[Adjust]]))</f>
        <v>#REF!</v>
      </c>
      <c r="C1149" s="1" t="e">
        <f>LOOKUP(FoodData[[#This Row],[Score]],#REF!,#REF!)</f>
        <v>#REF!</v>
      </c>
      <c r="D1149" t="s">
        <v>2280</v>
      </c>
      <c r="E1149" t="s">
        <v>28</v>
      </c>
      <c r="F1149" t="s">
        <v>60</v>
      </c>
      <c r="G1149" t="s">
        <v>29</v>
      </c>
      <c r="H1149" t="s">
        <v>2309</v>
      </c>
      <c r="I1149" s="1" t="s">
        <v>25</v>
      </c>
      <c r="J1149" s="1" t="s">
        <v>25</v>
      </c>
      <c r="K1149" s="1" t="s">
        <v>26</v>
      </c>
      <c r="L1149" s="1" t="s">
        <v>25</v>
      </c>
      <c r="M1149" s="1" t="s">
        <v>25</v>
      </c>
      <c r="N1149" s="1" t="s">
        <v>25</v>
      </c>
      <c r="O1149" s="1" t="s">
        <v>25</v>
      </c>
      <c r="P1149" s="1" t="s">
        <v>25</v>
      </c>
      <c r="Q1149" s="1" t="s">
        <v>26</v>
      </c>
      <c r="R1149" s="1" t="s">
        <v>26</v>
      </c>
      <c r="S1149" s="2">
        <v>0</v>
      </c>
    </row>
    <row r="1150" spans="1:19" x14ac:dyDescent="0.3">
      <c r="A1150" t="s">
        <v>2310</v>
      </c>
      <c r="B1150" s="5" t="e" cm="1">
        <f t="array" ref="B1150">MAX(#REF!,MIN(#REF!,#REF!+SUMPRODUCT(--(FoodData[[#This Row],[Healthy]:[Refined]]="Yes"),#REF!)+FoodData[[#This Row],[Adjust]]))</f>
        <v>#REF!</v>
      </c>
      <c r="C1150" s="1" t="e">
        <f>LOOKUP(FoodData[[#This Row],[Score]],#REF!,#REF!)</f>
        <v>#REF!</v>
      </c>
      <c r="D1150" t="s">
        <v>2280</v>
      </c>
      <c r="E1150" t="s">
        <v>63</v>
      </c>
      <c r="F1150" t="s">
        <v>60</v>
      </c>
      <c r="G1150" t="s">
        <v>23</v>
      </c>
      <c r="H1150" t="s">
        <v>2311</v>
      </c>
      <c r="I1150" s="1" t="s">
        <v>25</v>
      </c>
      <c r="J1150" s="1" t="s">
        <v>25</v>
      </c>
      <c r="K1150" s="1" t="s">
        <v>26</v>
      </c>
      <c r="L1150" s="1" t="s">
        <v>25</v>
      </c>
      <c r="M1150" s="1" t="s">
        <v>25</v>
      </c>
      <c r="N1150" s="1" t="s">
        <v>25</v>
      </c>
      <c r="O1150" s="1" t="s">
        <v>25</v>
      </c>
      <c r="P1150" s="1" t="s">
        <v>25</v>
      </c>
      <c r="Q1150" s="1" t="s">
        <v>25</v>
      </c>
      <c r="R1150" s="1" t="s">
        <v>26</v>
      </c>
      <c r="S1150" s="2">
        <v>0</v>
      </c>
    </row>
    <row r="1151" spans="1:19" x14ac:dyDescent="0.3">
      <c r="A1151" t="s">
        <v>2312</v>
      </c>
      <c r="B1151" s="5" t="e" cm="1">
        <f t="array" ref="B1151">MAX(#REF!,MIN(#REF!,#REF!+SUMPRODUCT(--(FoodData[[#This Row],[Healthy]:[Refined]]="Yes"),#REF!)+FoodData[[#This Row],[Adjust]]))</f>
        <v>#REF!</v>
      </c>
      <c r="C1151" s="1" t="e">
        <f>LOOKUP(FoodData[[#This Row],[Score]],#REF!,#REF!)</f>
        <v>#REF!</v>
      </c>
      <c r="D1151" t="s">
        <v>2280</v>
      </c>
      <c r="E1151" t="s">
        <v>63</v>
      </c>
      <c r="F1151" t="s">
        <v>60</v>
      </c>
      <c r="G1151" t="s">
        <v>23</v>
      </c>
      <c r="H1151" t="s">
        <v>2313</v>
      </c>
      <c r="I1151" s="1" t="s">
        <v>25</v>
      </c>
      <c r="J1151" s="1" t="s">
        <v>25</v>
      </c>
      <c r="K1151" s="1" t="s">
        <v>26</v>
      </c>
      <c r="L1151" s="1" t="s">
        <v>25</v>
      </c>
      <c r="M1151" s="1" t="s">
        <v>25</v>
      </c>
      <c r="N1151" s="1" t="s">
        <v>26</v>
      </c>
      <c r="O1151" s="1" t="s">
        <v>25</v>
      </c>
      <c r="P1151" s="1" t="s">
        <v>25</v>
      </c>
      <c r="Q1151" s="1" t="s">
        <v>25</v>
      </c>
      <c r="R1151" s="1" t="s">
        <v>26</v>
      </c>
      <c r="S1151" s="2">
        <v>0</v>
      </c>
    </row>
    <row r="1152" spans="1:19" x14ac:dyDescent="0.3">
      <c r="A1152" t="s">
        <v>2314</v>
      </c>
      <c r="B1152" s="5" t="e" cm="1">
        <f t="array" ref="B1152">MAX(#REF!,MIN(#REF!,#REF!+SUMPRODUCT(--(FoodData[[#This Row],[Healthy]:[Refined]]="Yes"),#REF!)+FoodData[[#This Row],[Adjust]]))</f>
        <v>#REF!</v>
      </c>
      <c r="C1152" s="1" t="e">
        <f>LOOKUP(FoodData[[#This Row],[Score]],#REF!,#REF!)</f>
        <v>#REF!</v>
      </c>
      <c r="D1152" t="s">
        <v>2280</v>
      </c>
      <c r="E1152" t="s">
        <v>28</v>
      </c>
      <c r="F1152" t="s">
        <v>60</v>
      </c>
      <c r="G1152" t="s">
        <v>29</v>
      </c>
      <c r="H1152" t="s">
        <v>2315</v>
      </c>
      <c r="I1152" s="1" t="s">
        <v>26</v>
      </c>
      <c r="J1152" s="1" t="s">
        <v>26</v>
      </c>
      <c r="K1152" s="1" t="s">
        <v>26</v>
      </c>
      <c r="L1152" s="1" t="s">
        <v>26</v>
      </c>
      <c r="M1152" s="1" t="s">
        <v>25</v>
      </c>
      <c r="N1152" s="1" t="s">
        <v>25</v>
      </c>
      <c r="O1152" s="1" t="s">
        <v>25</v>
      </c>
      <c r="P1152" s="1" t="s">
        <v>25</v>
      </c>
      <c r="Q1152" s="1" t="s">
        <v>25</v>
      </c>
      <c r="R1152" s="1" t="s">
        <v>25</v>
      </c>
      <c r="S1152" s="2">
        <v>0</v>
      </c>
    </row>
    <row r="1153" spans="1:19" x14ac:dyDescent="0.3">
      <c r="A1153" t="s">
        <v>2316</v>
      </c>
      <c r="B1153" s="5" t="e" cm="1">
        <f t="array" ref="B1153">MAX(#REF!,MIN(#REF!,#REF!+SUMPRODUCT(--(FoodData[[#This Row],[Healthy]:[Refined]]="Yes"),#REF!)+FoodData[[#This Row],[Adjust]]))</f>
        <v>#REF!</v>
      </c>
      <c r="C1153" s="1" t="e">
        <f>LOOKUP(FoodData[[#This Row],[Score]],#REF!,#REF!)</f>
        <v>#REF!</v>
      </c>
      <c r="D1153" t="s">
        <v>2280</v>
      </c>
      <c r="E1153" t="s">
        <v>63</v>
      </c>
      <c r="F1153" t="s">
        <v>22</v>
      </c>
      <c r="G1153" t="s">
        <v>23</v>
      </c>
      <c r="H1153" t="s">
        <v>2317</v>
      </c>
      <c r="I1153" s="1" t="s">
        <v>25</v>
      </c>
      <c r="J1153" s="1" t="s">
        <v>25</v>
      </c>
      <c r="K1153" s="1" t="s">
        <v>25</v>
      </c>
      <c r="L1153" s="1" t="s">
        <v>25</v>
      </c>
      <c r="M1153" s="1" t="s">
        <v>26</v>
      </c>
      <c r="N1153" s="1" t="s">
        <v>25</v>
      </c>
      <c r="O1153" s="1" t="s">
        <v>25</v>
      </c>
      <c r="P1153" s="1" t="s">
        <v>25</v>
      </c>
      <c r="Q1153" s="1" t="s">
        <v>26</v>
      </c>
      <c r="R1153" s="1" t="s">
        <v>26</v>
      </c>
      <c r="S1153" s="2">
        <v>0</v>
      </c>
    </row>
    <row r="1154" spans="1:19" x14ac:dyDescent="0.3">
      <c r="A1154" t="s">
        <v>2318</v>
      </c>
      <c r="B1154" s="5" t="e" cm="1">
        <f t="array" ref="B1154">MAX(#REF!,MIN(#REF!,#REF!+SUMPRODUCT(--(FoodData[[#This Row],[Healthy]:[Refined]]="Yes"),#REF!)+FoodData[[#This Row],[Adjust]]))</f>
        <v>#REF!</v>
      </c>
      <c r="C1154" s="1" t="e">
        <f>LOOKUP(FoodData[[#This Row],[Score]],#REF!,#REF!)</f>
        <v>#REF!</v>
      </c>
      <c r="D1154" t="s">
        <v>2280</v>
      </c>
      <c r="E1154" t="s">
        <v>63</v>
      </c>
      <c r="F1154" t="s">
        <v>22</v>
      </c>
      <c r="G1154" t="s">
        <v>23</v>
      </c>
      <c r="H1154" t="s">
        <v>2319</v>
      </c>
      <c r="I1154" s="1" t="s">
        <v>25</v>
      </c>
      <c r="J1154" s="1" t="s">
        <v>25</v>
      </c>
      <c r="K1154" s="1" t="s">
        <v>25</v>
      </c>
      <c r="L1154" s="1" t="s">
        <v>25</v>
      </c>
      <c r="M1154" s="1" t="s">
        <v>25</v>
      </c>
      <c r="N1154" s="1" t="s">
        <v>25</v>
      </c>
      <c r="O1154" s="1" t="s">
        <v>25</v>
      </c>
      <c r="P1154" s="1" t="s">
        <v>25</v>
      </c>
      <c r="Q1154" s="1" t="s">
        <v>25</v>
      </c>
      <c r="R1154" s="1" t="s">
        <v>26</v>
      </c>
      <c r="S1154" s="2">
        <v>0</v>
      </c>
    </row>
    <row r="1155" spans="1:19" x14ac:dyDescent="0.3">
      <c r="A1155" t="s">
        <v>2320</v>
      </c>
      <c r="B1155" s="5" t="e" cm="1">
        <f t="array" ref="B1155">MAX(#REF!,MIN(#REF!,#REF!+SUMPRODUCT(--(FoodData[[#This Row],[Healthy]:[Refined]]="Yes"),#REF!)+FoodData[[#This Row],[Adjust]]))</f>
        <v>#REF!</v>
      </c>
      <c r="C1155" s="1" t="e">
        <f>LOOKUP(FoodData[[#This Row],[Score]],#REF!,#REF!)</f>
        <v>#REF!</v>
      </c>
      <c r="D1155" t="s">
        <v>2280</v>
      </c>
      <c r="E1155" t="s">
        <v>28</v>
      </c>
      <c r="F1155" t="s">
        <v>60</v>
      </c>
      <c r="G1155" t="s">
        <v>29</v>
      </c>
      <c r="H1155" t="s">
        <v>2321</v>
      </c>
      <c r="I1155" s="1" t="s">
        <v>25</v>
      </c>
      <c r="J1155" s="1" t="s">
        <v>25</v>
      </c>
      <c r="K1155" s="1" t="s">
        <v>26</v>
      </c>
      <c r="L1155" s="1" t="s">
        <v>25</v>
      </c>
      <c r="M1155" s="1" t="s">
        <v>25</v>
      </c>
      <c r="N1155" s="1" t="s">
        <v>25</v>
      </c>
      <c r="O1155" s="1" t="s">
        <v>26</v>
      </c>
      <c r="P1155" s="1" t="s">
        <v>25</v>
      </c>
      <c r="Q1155" s="1" t="s">
        <v>26</v>
      </c>
      <c r="R1155" s="1" t="s">
        <v>26</v>
      </c>
      <c r="S1155" s="2">
        <v>0</v>
      </c>
    </row>
    <row r="1156" spans="1:19" x14ac:dyDescent="0.3">
      <c r="A1156" t="s">
        <v>2322</v>
      </c>
      <c r="B1156" s="5" t="e" cm="1">
        <f t="array" ref="B1156">MAX(#REF!,MIN(#REF!,#REF!+SUMPRODUCT(--(FoodData[[#This Row],[Healthy]:[Refined]]="Yes"),#REF!)+FoodData[[#This Row],[Adjust]]))</f>
        <v>#REF!</v>
      </c>
      <c r="C1156" s="1" t="e">
        <f>LOOKUP(FoodData[[#This Row],[Score]],#REF!,#REF!)</f>
        <v>#REF!</v>
      </c>
      <c r="D1156" t="s">
        <v>2280</v>
      </c>
      <c r="E1156" t="s">
        <v>63</v>
      </c>
      <c r="F1156" t="s">
        <v>22</v>
      </c>
      <c r="G1156" t="s">
        <v>23</v>
      </c>
      <c r="H1156" t="s">
        <v>2323</v>
      </c>
      <c r="I1156" s="1" t="s">
        <v>25</v>
      </c>
      <c r="J1156" s="1" t="s">
        <v>25</v>
      </c>
      <c r="K1156" s="1" t="s">
        <v>25</v>
      </c>
      <c r="L1156" s="1" t="s">
        <v>25</v>
      </c>
      <c r="M1156" s="1" t="s">
        <v>25</v>
      </c>
      <c r="N1156" s="1" t="s">
        <v>25</v>
      </c>
      <c r="O1156" s="1" t="s">
        <v>25</v>
      </c>
      <c r="P1156" s="1" t="s">
        <v>25</v>
      </c>
      <c r="Q1156" s="1" t="s">
        <v>26</v>
      </c>
      <c r="R1156" s="1" t="s">
        <v>26</v>
      </c>
      <c r="S1156" s="2">
        <v>0</v>
      </c>
    </row>
    <row r="1157" spans="1:19" x14ac:dyDescent="0.3">
      <c r="A1157" t="s">
        <v>2324</v>
      </c>
      <c r="B1157" s="5" t="e" cm="1">
        <f t="array" ref="B1157">MAX(#REF!,MIN(#REF!,#REF!+SUMPRODUCT(--(FoodData[[#This Row],[Healthy]:[Refined]]="Yes"),#REF!)+FoodData[[#This Row],[Adjust]]))</f>
        <v>#REF!</v>
      </c>
      <c r="C1157" s="1" t="e">
        <f>LOOKUP(FoodData[[#This Row],[Score]],#REF!,#REF!)</f>
        <v>#REF!</v>
      </c>
      <c r="D1157" t="s">
        <v>2280</v>
      </c>
      <c r="E1157" t="s">
        <v>63</v>
      </c>
      <c r="F1157" t="s">
        <v>60</v>
      </c>
      <c r="G1157" t="s">
        <v>23</v>
      </c>
      <c r="H1157" t="s">
        <v>2325</v>
      </c>
      <c r="I1157" s="1" t="s">
        <v>25</v>
      </c>
      <c r="J1157" s="1" t="s">
        <v>25</v>
      </c>
      <c r="K1157" s="1" t="s">
        <v>26</v>
      </c>
      <c r="L1157" s="1" t="s">
        <v>25</v>
      </c>
      <c r="M1157" s="1" t="s">
        <v>25</v>
      </c>
      <c r="N1157" s="1" t="s">
        <v>26</v>
      </c>
      <c r="O1157" s="1" t="s">
        <v>25</v>
      </c>
      <c r="P1157" s="1" t="s">
        <v>25</v>
      </c>
      <c r="Q1157" s="1" t="s">
        <v>25</v>
      </c>
      <c r="R1157" s="1" t="s">
        <v>26</v>
      </c>
      <c r="S1157" s="2">
        <v>0</v>
      </c>
    </row>
    <row r="1158" spans="1:19" x14ac:dyDescent="0.3">
      <c r="A1158" t="s">
        <v>2326</v>
      </c>
      <c r="B1158" s="5" t="e" cm="1">
        <f t="array" ref="B1158">MAX(#REF!,MIN(#REF!,#REF!+SUMPRODUCT(--(FoodData[[#This Row],[Healthy]:[Refined]]="Yes"),#REF!)+FoodData[[#This Row],[Adjust]]))</f>
        <v>#REF!</v>
      </c>
      <c r="C1158" s="1" t="e">
        <f>LOOKUP(FoodData[[#This Row],[Score]],#REF!,#REF!)</f>
        <v>#REF!</v>
      </c>
      <c r="D1158" t="s">
        <v>2280</v>
      </c>
      <c r="E1158" t="s">
        <v>63</v>
      </c>
      <c r="F1158" t="s">
        <v>60</v>
      </c>
      <c r="G1158" t="s">
        <v>23</v>
      </c>
      <c r="H1158" t="s">
        <v>2327</v>
      </c>
      <c r="I1158" s="1" t="s">
        <v>25</v>
      </c>
      <c r="J1158" s="1" t="s">
        <v>25</v>
      </c>
      <c r="K1158" s="1" t="s">
        <v>26</v>
      </c>
      <c r="L1158" s="1" t="s">
        <v>25</v>
      </c>
      <c r="M1158" s="1" t="s">
        <v>25</v>
      </c>
      <c r="N1158" s="1" t="s">
        <v>26</v>
      </c>
      <c r="O1158" s="1" t="s">
        <v>25</v>
      </c>
      <c r="P1158" s="1" t="s">
        <v>25</v>
      </c>
      <c r="Q1158" s="1" t="s">
        <v>25</v>
      </c>
      <c r="R1158" s="1" t="s">
        <v>26</v>
      </c>
      <c r="S1158" s="2">
        <v>0</v>
      </c>
    </row>
    <row r="1159" spans="1:19" x14ac:dyDescent="0.3">
      <c r="A1159" t="s">
        <v>2328</v>
      </c>
      <c r="B1159" s="5" t="e" cm="1">
        <f t="array" ref="B1159">MAX(#REF!,MIN(#REF!,#REF!+SUMPRODUCT(--(FoodData[[#This Row],[Healthy]:[Refined]]="Yes"),#REF!)+FoodData[[#This Row],[Adjust]]))</f>
        <v>#REF!</v>
      </c>
      <c r="C1159" s="1" t="e">
        <f>LOOKUP(FoodData[[#This Row],[Score]],#REF!,#REF!)</f>
        <v>#REF!</v>
      </c>
      <c r="D1159" t="s">
        <v>2280</v>
      </c>
      <c r="E1159" t="s">
        <v>63</v>
      </c>
      <c r="F1159" t="s">
        <v>60</v>
      </c>
      <c r="G1159" t="s">
        <v>23</v>
      </c>
      <c r="H1159" t="s">
        <v>2329</v>
      </c>
      <c r="I1159" s="1" t="s">
        <v>25</v>
      </c>
      <c r="J1159" s="1" t="s">
        <v>25</v>
      </c>
      <c r="K1159" s="1" t="s">
        <v>26</v>
      </c>
      <c r="L1159" s="1" t="s">
        <v>25</v>
      </c>
      <c r="M1159" s="1" t="s">
        <v>25</v>
      </c>
      <c r="N1159" s="1" t="s">
        <v>26</v>
      </c>
      <c r="O1159" s="1" t="s">
        <v>25</v>
      </c>
      <c r="P1159" s="1" t="s">
        <v>25</v>
      </c>
      <c r="Q1159" s="1" t="s">
        <v>25</v>
      </c>
      <c r="R1159" s="1" t="s">
        <v>26</v>
      </c>
      <c r="S1159" s="2">
        <v>0</v>
      </c>
    </row>
    <row r="1160" spans="1:19" x14ac:dyDescent="0.3">
      <c r="A1160" t="s">
        <v>2330</v>
      </c>
      <c r="B1160" s="5" t="e" cm="1">
        <f t="array" ref="B1160">MAX(#REF!,MIN(#REF!,#REF!+SUMPRODUCT(--(FoodData[[#This Row],[Healthy]:[Refined]]="Yes"),#REF!)+FoodData[[#This Row],[Adjust]]))</f>
        <v>#REF!</v>
      </c>
      <c r="C1160" s="1" t="e">
        <f>LOOKUP(FoodData[[#This Row],[Score]],#REF!,#REF!)</f>
        <v>#REF!</v>
      </c>
      <c r="D1160" t="s">
        <v>2280</v>
      </c>
      <c r="E1160" t="s">
        <v>63</v>
      </c>
      <c r="F1160" t="s">
        <v>60</v>
      </c>
      <c r="G1160" t="s">
        <v>23</v>
      </c>
      <c r="H1160" t="s">
        <v>2331</v>
      </c>
      <c r="I1160" s="1" t="s">
        <v>25</v>
      </c>
      <c r="J1160" s="1" t="s">
        <v>25</v>
      </c>
      <c r="K1160" s="1" t="s">
        <v>26</v>
      </c>
      <c r="L1160" s="1" t="s">
        <v>25</v>
      </c>
      <c r="M1160" s="1" t="s">
        <v>25</v>
      </c>
      <c r="N1160" s="1" t="s">
        <v>25</v>
      </c>
      <c r="O1160" s="1" t="s">
        <v>25</v>
      </c>
      <c r="P1160" s="1" t="s">
        <v>25</v>
      </c>
      <c r="Q1160" s="1" t="s">
        <v>26</v>
      </c>
      <c r="R1160" s="1" t="s">
        <v>26</v>
      </c>
      <c r="S1160" s="2">
        <v>0</v>
      </c>
    </row>
    <row r="1161" spans="1:19" x14ac:dyDescent="0.3">
      <c r="A1161" t="s">
        <v>2332</v>
      </c>
      <c r="B1161" s="5" t="e" cm="1">
        <f t="array" ref="B1161">MAX(#REF!,MIN(#REF!,#REF!+SUMPRODUCT(--(FoodData[[#This Row],[Healthy]:[Refined]]="Yes"),#REF!)+FoodData[[#This Row],[Adjust]]))</f>
        <v>#REF!</v>
      </c>
      <c r="C1161" s="1" t="e">
        <f>LOOKUP(FoodData[[#This Row],[Score]],#REF!,#REF!)</f>
        <v>#REF!</v>
      </c>
      <c r="D1161" t="s">
        <v>2280</v>
      </c>
      <c r="E1161" t="s">
        <v>63</v>
      </c>
      <c r="F1161" t="s">
        <v>60</v>
      </c>
      <c r="G1161" t="s">
        <v>23</v>
      </c>
      <c r="H1161" t="s">
        <v>2333</v>
      </c>
      <c r="I1161" s="1" t="s">
        <v>25</v>
      </c>
      <c r="J1161" s="1" t="s">
        <v>25</v>
      </c>
      <c r="K1161" s="1" t="s">
        <v>26</v>
      </c>
      <c r="L1161" s="1" t="s">
        <v>25</v>
      </c>
      <c r="M1161" s="1" t="s">
        <v>25</v>
      </c>
      <c r="N1161" s="1" t="s">
        <v>26</v>
      </c>
      <c r="O1161" s="1" t="s">
        <v>25</v>
      </c>
      <c r="P1161" s="1" t="s">
        <v>25</v>
      </c>
      <c r="Q1161" s="1" t="s">
        <v>26</v>
      </c>
      <c r="R1161" s="1" t="s">
        <v>26</v>
      </c>
      <c r="S1161" s="2">
        <v>0</v>
      </c>
    </row>
    <row r="1162" spans="1:19" x14ac:dyDescent="0.3">
      <c r="A1162" t="s">
        <v>2334</v>
      </c>
      <c r="B1162" s="5" t="e" cm="1">
        <f t="array" ref="B1162">MAX(#REF!,MIN(#REF!,#REF!+SUMPRODUCT(--(FoodData[[#This Row],[Healthy]:[Refined]]="Yes"),#REF!)+FoodData[[#This Row],[Adjust]]))</f>
        <v>#REF!</v>
      </c>
      <c r="C1162" s="1" t="e">
        <f>LOOKUP(FoodData[[#This Row],[Score]],#REF!,#REF!)</f>
        <v>#REF!</v>
      </c>
      <c r="D1162" t="s">
        <v>2280</v>
      </c>
      <c r="E1162" t="s">
        <v>63</v>
      </c>
      <c r="F1162" t="s">
        <v>60</v>
      </c>
      <c r="G1162" t="s">
        <v>29</v>
      </c>
      <c r="H1162" t="s">
        <v>2335</v>
      </c>
      <c r="I1162" s="1" t="s">
        <v>26</v>
      </c>
      <c r="J1162" s="1" t="s">
        <v>26</v>
      </c>
      <c r="K1162" s="1" t="s">
        <v>26</v>
      </c>
      <c r="L1162" s="1" t="s">
        <v>25</v>
      </c>
      <c r="M1162" s="1" t="s">
        <v>25</v>
      </c>
      <c r="N1162" s="1" t="s">
        <v>25</v>
      </c>
      <c r="O1162" s="1" t="s">
        <v>25</v>
      </c>
      <c r="P1162" s="1" t="s">
        <v>25</v>
      </c>
      <c r="Q1162" s="1" t="s">
        <v>25</v>
      </c>
      <c r="R1162" s="1" t="s">
        <v>26</v>
      </c>
      <c r="S1162" s="2">
        <v>0</v>
      </c>
    </row>
    <row r="1163" spans="1:19" x14ac:dyDescent="0.3">
      <c r="A1163" t="s">
        <v>2336</v>
      </c>
      <c r="B1163" s="5" t="e" cm="1">
        <f t="array" ref="B1163">MAX(#REF!,MIN(#REF!,#REF!+SUMPRODUCT(--(FoodData[[#This Row],[Healthy]:[Refined]]="Yes"),#REF!)+FoodData[[#This Row],[Adjust]]))</f>
        <v>#REF!</v>
      </c>
      <c r="C1163" s="1" t="e">
        <f>LOOKUP(FoodData[[#This Row],[Score]],#REF!,#REF!)</f>
        <v>#REF!</v>
      </c>
      <c r="D1163" t="s">
        <v>2280</v>
      </c>
      <c r="E1163" t="s">
        <v>63</v>
      </c>
      <c r="F1163" t="s">
        <v>22</v>
      </c>
      <c r="G1163" t="s">
        <v>23</v>
      </c>
      <c r="H1163" t="s">
        <v>2337</v>
      </c>
      <c r="I1163" s="1" t="s">
        <v>25</v>
      </c>
      <c r="J1163" s="1" t="s">
        <v>25</v>
      </c>
      <c r="K1163" s="1" t="s">
        <v>26</v>
      </c>
      <c r="L1163" s="1" t="s">
        <v>26</v>
      </c>
      <c r="M1163" s="1" t="s">
        <v>25</v>
      </c>
      <c r="N1163" s="1" t="s">
        <v>25</v>
      </c>
      <c r="O1163" s="1" t="s">
        <v>25</v>
      </c>
      <c r="P1163" s="1" t="s">
        <v>26</v>
      </c>
      <c r="Q1163" s="1" t="s">
        <v>25</v>
      </c>
      <c r="R1163" s="1" t="s">
        <v>26</v>
      </c>
      <c r="S1163" s="2">
        <v>0</v>
      </c>
    </row>
    <row r="1164" spans="1:19" x14ac:dyDescent="0.3">
      <c r="A1164" t="s">
        <v>2338</v>
      </c>
      <c r="B1164" s="5" t="e" cm="1">
        <f t="array" ref="B1164">MAX(#REF!,MIN(#REF!,#REF!+SUMPRODUCT(--(FoodData[[#This Row],[Healthy]:[Refined]]="Yes"),#REF!)+FoodData[[#This Row],[Adjust]]))</f>
        <v>#REF!</v>
      </c>
      <c r="C1164" s="1" t="e">
        <f>LOOKUP(FoodData[[#This Row],[Score]],#REF!,#REF!)</f>
        <v>#REF!</v>
      </c>
      <c r="D1164" t="s">
        <v>2280</v>
      </c>
      <c r="E1164" t="s">
        <v>63</v>
      </c>
      <c r="F1164" t="s">
        <v>22</v>
      </c>
      <c r="G1164" t="s">
        <v>29</v>
      </c>
      <c r="H1164" t="s">
        <v>2339</v>
      </c>
      <c r="I1164" s="1" t="s">
        <v>25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25</v>
      </c>
      <c r="O1164" s="1" t="s">
        <v>26</v>
      </c>
      <c r="P1164" s="1" t="s">
        <v>25</v>
      </c>
      <c r="Q1164" s="1" t="s">
        <v>26</v>
      </c>
      <c r="R1164" s="1" t="s">
        <v>26</v>
      </c>
      <c r="S1164" s="2">
        <v>0</v>
      </c>
    </row>
    <row r="1165" spans="1:19" x14ac:dyDescent="0.3">
      <c r="A1165" t="s">
        <v>2340</v>
      </c>
      <c r="B1165" s="5" t="e" cm="1">
        <f t="array" ref="B1165">MAX(#REF!,MIN(#REF!,#REF!+SUMPRODUCT(--(FoodData[[#This Row],[Healthy]:[Refined]]="Yes"),#REF!)+FoodData[[#This Row],[Adjust]]))</f>
        <v>#REF!</v>
      </c>
      <c r="C1165" s="1" t="e">
        <f>LOOKUP(FoodData[[#This Row],[Score]],#REF!,#REF!)</f>
        <v>#REF!</v>
      </c>
      <c r="D1165" t="s">
        <v>2280</v>
      </c>
      <c r="E1165" t="s">
        <v>63</v>
      </c>
      <c r="F1165" t="s">
        <v>22</v>
      </c>
      <c r="G1165" t="s">
        <v>23</v>
      </c>
      <c r="H1165" t="s">
        <v>2341</v>
      </c>
      <c r="I1165" s="1" t="s">
        <v>25</v>
      </c>
      <c r="J1165" s="1" t="s">
        <v>25</v>
      </c>
      <c r="K1165" s="1" t="s">
        <v>26</v>
      </c>
      <c r="L1165" s="1" t="s">
        <v>26</v>
      </c>
      <c r="M1165" s="1" t="s">
        <v>25</v>
      </c>
      <c r="N1165" s="1" t="s">
        <v>25</v>
      </c>
      <c r="O1165" s="1" t="s">
        <v>25</v>
      </c>
      <c r="P1165" s="1" t="s">
        <v>25</v>
      </c>
      <c r="Q1165" s="1" t="s">
        <v>25</v>
      </c>
      <c r="R1165" s="1" t="s">
        <v>25</v>
      </c>
      <c r="S1165" s="2">
        <v>0</v>
      </c>
    </row>
    <row r="1166" spans="1:19" x14ac:dyDescent="0.3">
      <c r="A1166" t="s">
        <v>2342</v>
      </c>
      <c r="B1166" s="5" t="e" cm="1">
        <f t="array" ref="B1166">MAX(#REF!,MIN(#REF!,#REF!+SUMPRODUCT(--(FoodData[[#This Row],[Healthy]:[Refined]]="Yes"),#REF!)+FoodData[[#This Row],[Adjust]]))</f>
        <v>#REF!</v>
      </c>
      <c r="C1166" s="1" t="e">
        <f>LOOKUP(FoodData[[#This Row],[Score]],#REF!,#REF!)</f>
        <v>#REF!</v>
      </c>
      <c r="D1166" t="s">
        <v>2280</v>
      </c>
      <c r="E1166" t="s">
        <v>63</v>
      </c>
      <c r="F1166" t="s">
        <v>22</v>
      </c>
      <c r="G1166" t="s">
        <v>23</v>
      </c>
      <c r="H1166" t="s">
        <v>2343</v>
      </c>
      <c r="I1166" s="1" t="s">
        <v>25</v>
      </c>
      <c r="J1166" s="1" t="s">
        <v>25</v>
      </c>
      <c r="K1166" s="1" t="s">
        <v>26</v>
      </c>
      <c r="L1166" s="1" t="s">
        <v>26</v>
      </c>
      <c r="M1166" s="1" t="s">
        <v>25</v>
      </c>
      <c r="N1166" s="1" t="s">
        <v>25</v>
      </c>
      <c r="O1166" s="1" t="s">
        <v>25</v>
      </c>
      <c r="P1166" s="1" t="s">
        <v>25</v>
      </c>
      <c r="Q1166" s="1" t="s">
        <v>25</v>
      </c>
      <c r="R1166" s="1" t="s">
        <v>26</v>
      </c>
      <c r="S1166" s="2">
        <v>0</v>
      </c>
    </row>
    <row r="1167" spans="1:19" x14ac:dyDescent="0.3">
      <c r="A1167" t="s">
        <v>2344</v>
      </c>
      <c r="B1167" s="5" t="e" cm="1">
        <f t="array" ref="B1167">MAX(#REF!,MIN(#REF!,#REF!+SUMPRODUCT(--(FoodData[[#This Row],[Healthy]:[Refined]]="Yes"),#REF!)+FoodData[[#This Row],[Adjust]]))</f>
        <v>#REF!</v>
      </c>
      <c r="C1167" s="1" t="e">
        <f>LOOKUP(FoodData[[#This Row],[Score]],#REF!,#REF!)</f>
        <v>#REF!</v>
      </c>
      <c r="D1167" t="s">
        <v>2280</v>
      </c>
      <c r="E1167" t="s">
        <v>63</v>
      </c>
      <c r="F1167" t="s">
        <v>22</v>
      </c>
      <c r="G1167" t="s">
        <v>23</v>
      </c>
      <c r="H1167" t="s">
        <v>2345</v>
      </c>
      <c r="I1167" s="1" t="s">
        <v>26</v>
      </c>
      <c r="J1167" s="1" t="s">
        <v>26</v>
      </c>
      <c r="K1167" s="1" t="s">
        <v>25</v>
      </c>
      <c r="L1167" s="1" t="s">
        <v>26</v>
      </c>
      <c r="M1167" s="1" t="s">
        <v>25</v>
      </c>
      <c r="N1167" s="1" t="s">
        <v>25</v>
      </c>
      <c r="O1167" s="1" t="s">
        <v>25</v>
      </c>
      <c r="P1167" s="1" t="s">
        <v>25</v>
      </c>
      <c r="Q1167" s="1" t="s">
        <v>25</v>
      </c>
      <c r="R1167" s="1" t="s">
        <v>25</v>
      </c>
      <c r="S1167" s="2">
        <v>0</v>
      </c>
    </row>
    <row r="1168" spans="1:19" x14ac:dyDescent="0.3">
      <c r="A1168" t="s">
        <v>2346</v>
      </c>
      <c r="B1168" s="5" t="e" cm="1">
        <f t="array" ref="B1168">MAX(#REF!,MIN(#REF!,#REF!+SUMPRODUCT(--(FoodData[[#This Row],[Healthy]:[Refined]]="Yes"),#REF!)+FoodData[[#This Row],[Adjust]]))</f>
        <v>#REF!</v>
      </c>
      <c r="C1168" s="1" t="e">
        <f>LOOKUP(FoodData[[#This Row],[Score]],#REF!,#REF!)</f>
        <v>#REF!</v>
      </c>
      <c r="D1168" t="s">
        <v>2280</v>
      </c>
      <c r="E1168" t="s">
        <v>63</v>
      </c>
      <c r="F1168" t="s">
        <v>22</v>
      </c>
      <c r="G1168" t="s">
        <v>23</v>
      </c>
      <c r="H1168" t="s">
        <v>1932</v>
      </c>
      <c r="I1168" s="1" t="s">
        <v>25</v>
      </c>
      <c r="J1168" s="1" t="s">
        <v>25</v>
      </c>
      <c r="K1168" s="1" t="s">
        <v>25</v>
      </c>
      <c r="L1168" s="1" t="s">
        <v>25</v>
      </c>
      <c r="M1168" s="1" t="s">
        <v>26</v>
      </c>
      <c r="N1168" s="1" t="s">
        <v>25</v>
      </c>
      <c r="O1168" s="1" t="s">
        <v>25</v>
      </c>
      <c r="P1168" s="1" t="s">
        <v>25</v>
      </c>
      <c r="Q1168" s="1" t="s">
        <v>25</v>
      </c>
      <c r="R1168" s="1" t="s">
        <v>26</v>
      </c>
      <c r="S1168" s="2">
        <v>0</v>
      </c>
    </row>
    <row r="1169" spans="1:19" x14ac:dyDescent="0.3">
      <c r="A1169" t="s">
        <v>2347</v>
      </c>
      <c r="B1169" s="5" t="e" cm="1">
        <f t="array" ref="B1169">MAX(#REF!,MIN(#REF!,#REF!+SUMPRODUCT(--(FoodData[[#This Row],[Healthy]:[Refined]]="Yes"),#REF!)+FoodData[[#This Row],[Adjust]]))</f>
        <v>#REF!</v>
      </c>
      <c r="C1169" s="1" t="e">
        <f>LOOKUP(FoodData[[#This Row],[Score]],#REF!,#REF!)</f>
        <v>#REF!</v>
      </c>
      <c r="D1169" t="s">
        <v>2280</v>
      </c>
      <c r="E1169" t="s">
        <v>28</v>
      </c>
      <c r="F1169" t="s">
        <v>60</v>
      </c>
      <c r="G1169" t="s">
        <v>23</v>
      </c>
      <c r="H1169" t="s">
        <v>2348</v>
      </c>
      <c r="I1169" s="1" t="s">
        <v>25</v>
      </c>
      <c r="J1169" s="1" t="s">
        <v>25</v>
      </c>
      <c r="K1169" s="1" t="s">
        <v>26</v>
      </c>
      <c r="L1169" s="1" t="s">
        <v>25</v>
      </c>
      <c r="M1169" s="1" t="s">
        <v>25</v>
      </c>
      <c r="N1169" s="1" t="s">
        <v>26</v>
      </c>
      <c r="O1169" s="1" t="s">
        <v>25</v>
      </c>
      <c r="P1169" s="1" t="s">
        <v>25</v>
      </c>
      <c r="Q1169" s="1" t="s">
        <v>26</v>
      </c>
      <c r="R1169" s="1" t="s">
        <v>26</v>
      </c>
      <c r="S1169" s="2">
        <v>0</v>
      </c>
    </row>
    <row r="1170" spans="1:19" x14ac:dyDescent="0.3">
      <c r="A1170" t="s">
        <v>2349</v>
      </c>
      <c r="B1170" s="5" t="e" cm="1">
        <f t="array" ref="B1170">MAX(#REF!,MIN(#REF!,#REF!+SUMPRODUCT(--(FoodData[[#This Row],[Healthy]:[Refined]]="Yes"),#REF!)+FoodData[[#This Row],[Adjust]]))</f>
        <v>#REF!</v>
      </c>
      <c r="C1170" s="1" t="e">
        <f>LOOKUP(FoodData[[#This Row],[Score]],#REF!,#REF!)</f>
        <v>#REF!</v>
      </c>
      <c r="D1170" t="s">
        <v>2280</v>
      </c>
      <c r="E1170" t="s">
        <v>63</v>
      </c>
      <c r="F1170" t="s">
        <v>22</v>
      </c>
      <c r="G1170" t="s">
        <v>23</v>
      </c>
      <c r="H1170" t="s">
        <v>2350</v>
      </c>
      <c r="I1170" s="1" t="s">
        <v>25</v>
      </c>
      <c r="J1170" s="1" t="s">
        <v>25</v>
      </c>
      <c r="K1170" s="1" t="s">
        <v>26</v>
      </c>
      <c r="L1170" s="1" t="s">
        <v>26</v>
      </c>
      <c r="M1170" s="1" t="s">
        <v>25</v>
      </c>
      <c r="N1170" s="1" t="s">
        <v>25</v>
      </c>
      <c r="O1170" s="1" t="s">
        <v>25</v>
      </c>
      <c r="P1170" s="1" t="s">
        <v>25</v>
      </c>
      <c r="Q1170" s="1" t="s">
        <v>25</v>
      </c>
      <c r="R1170" s="1" t="s">
        <v>26</v>
      </c>
      <c r="S1170" s="2">
        <v>0</v>
      </c>
    </row>
    <row r="1171" spans="1:19" x14ac:dyDescent="0.3">
      <c r="A1171" t="s">
        <v>2351</v>
      </c>
      <c r="B1171" s="5" t="e" cm="1">
        <f t="array" ref="B1171">MAX(#REF!,MIN(#REF!,#REF!+SUMPRODUCT(--(FoodData[[#This Row],[Healthy]:[Refined]]="Yes"),#REF!)+FoodData[[#This Row],[Adjust]]))</f>
        <v>#REF!</v>
      </c>
      <c r="C1171" s="1" t="e">
        <f>LOOKUP(FoodData[[#This Row],[Score]],#REF!,#REF!)</f>
        <v>#REF!</v>
      </c>
      <c r="D1171" t="s">
        <v>2280</v>
      </c>
      <c r="E1171" t="s">
        <v>63</v>
      </c>
      <c r="F1171" t="s">
        <v>22</v>
      </c>
      <c r="G1171" t="s">
        <v>23</v>
      </c>
      <c r="H1171" t="s">
        <v>2352</v>
      </c>
      <c r="I1171" s="1" t="s">
        <v>25</v>
      </c>
      <c r="J1171" s="1" t="s">
        <v>25</v>
      </c>
      <c r="K1171" s="1" t="s">
        <v>25</v>
      </c>
      <c r="L1171" s="1" t="s">
        <v>26</v>
      </c>
      <c r="M1171" s="1" t="s">
        <v>25</v>
      </c>
      <c r="N1171" s="1" t="s">
        <v>26</v>
      </c>
      <c r="O1171" s="1" t="s">
        <v>25</v>
      </c>
      <c r="P1171" s="1" t="s">
        <v>25</v>
      </c>
      <c r="Q1171" s="1" t="s">
        <v>25</v>
      </c>
      <c r="R1171" s="1" t="s">
        <v>26</v>
      </c>
      <c r="S1171" s="2">
        <v>0</v>
      </c>
    </row>
    <row r="1172" spans="1:19" x14ac:dyDescent="0.3">
      <c r="A1172" t="s">
        <v>2353</v>
      </c>
      <c r="B1172" s="5" t="e" cm="1">
        <f t="array" ref="B1172">MAX(#REF!,MIN(#REF!,#REF!+SUMPRODUCT(--(FoodData[[#This Row],[Healthy]:[Refined]]="Yes"),#REF!)+FoodData[[#This Row],[Adjust]]))</f>
        <v>#REF!</v>
      </c>
      <c r="C1172" s="1" t="e">
        <f>LOOKUP(FoodData[[#This Row],[Score]],#REF!,#REF!)</f>
        <v>#REF!</v>
      </c>
      <c r="D1172" t="s">
        <v>2280</v>
      </c>
      <c r="E1172" t="s">
        <v>63</v>
      </c>
      <c r="F1172" t="s">
        <v>60</v>
      </c>
      <c r="G1172" t="s">
        <v>23</v>
      </c>
      <c r="H1172" t="s">
        <v>2354</v>
      </c>
      <c r="I1172" s="1" t="s">
        <v>25</v>
      </c>
      <c r="J1172" s="1" t="s">
        <v>25</v>
      </c>
      <c r="K1172" s="1" t="s">
        <v>26</v>
      </c>
      <c r="L1172" s="1" t="s">
        <v>25</v>
      </c>
      <c r="M1172" s="1" t="s">
        <v>25</v>
      </c>
      <c r="N1172" s="1" t="s">
        <v>26</v>
      </c>
      <c r="O1172" s="1" t="s">
        <v>25</v>
      </c>
      <c r="P1172" s="1" t="s">
        <v>25</v>
      </c>
      <c r="Q1172" s="1" t="s">
        <v>25</v>
      </c>
      <c r="R1172" s="1" t="s">
        <v>26</v>
      </c>
      <c r="S1172" s="2">
        <v>0</v>
      </c>
    </row>
    <row r="1173" spans="1:19" x14ac:dyDescent="0.3">
      <c r="A1173" t="s">
        <v>2355</v>
      </c>
      <c r="B1173" s="5" t="e" cm="1">
        <f t="array" ref="B1173">MAX(#REF!,MIN(#REF!,#REF!+SUMPRODUCT(--(FoodData[[#This Row],[Healthy]:[Refined]]="Yes"),#REF!)+FoodData[[#This Row],[Adjust]]))</f>
        <v>#REF!</v>
      </c>
      <c r="C1173" s="1" t="e">
        <f>LOOKUP(FoodData[[#This Row],[Score]],#REF!,#REF!)</f>
        <v>#REF!</v>
      </c>
      <c r="D1173" t="s">
        <v>2280</v>
      </c>
      <c r="E1173" t="s">
        <v>63</v>
      </c>
      <c r="F1173" t="s">
        <v>60</v>
      </c>
      <c r="G1173" t="s">
        <v>23</v>
      </c>
      <c r="H1173" t="s">
        <v>2356</v>
      </c>
      <c r="I1173" s="1" t="s">
        <v>25</v>
      </c>
      <c r="J1173" s="1" t="s">
        <v>25</v>
      </c>
      <c r="K1173" s="1" t="s">
        <v>26</v>
      </c>
      <c r="L1173" s="1" t="s">
        <v>25</v>
      </c>
      <c r="M1173" s="1" t="s">
        <v>25</v>
      </c>
      <c r="N1173" s="1" t="s">
        <v>26</v>
      </c>
      <c r="O1173" s="1" t="s">
        <v>25</v>
      </c>
      <c r="P1173" s="1" t="s">
        <v>25</v>
      </c>
      <c r="Q1173" s="1" t="s">
        <v>25</v>
      </c>
      <c r="R1173" s="1" t="s">
        <v>26</v>
      </c>
      <c r="S1173" s="2">
        <v>0</v>
      </c>
    </row>
    <row r="1174" spans="1:19" x14ac:dyDescent="0.3">
      <c r="A1174" t="s">
        <v>2357</v>
      </c>
      <c r="B1174" s="5" t="e" cm="1">
        <f t="array" ref="B1174">MAX(#REF!,MIN(#REF!,#REF!+SUMPRODUCT(--(FoodData[[#This Row],[Healthy]:[Refined]]="Yes"),#REF!)+FoodData[[#This Row],[Adjust]]))</f>
        <v>#REF!</v>
      </c>
      <c r="C1174" s="1" t="e">
        <f>LOOKUP(FoodData[[#This Row],[Score]],#REF!,#REF!)</f>
        <v>#REF!</v>
      </c>
      <c r="D1174" t="s">
        <v>2280</v>
      </c>
      <c r="E1174" t="s">
        <v>63</v>
      </c>
      <c r="F1174" t="s">
        <v>22</v>
      </c>
      <c r="G1174" t="s">
        <v>23</v>
      </c>
      <c r="H1174" t="s">
        <v>2358</v>
      </c>
      <c r="I1174" s="1" t="s">
        <v>25</v>
      </c>
      <c r="J1174" s="1" t="s">
        <v>25</v>
      </c>
      <c r="K1174" s="1" t="s">
        <v>26</v>
      </c>
      <c r="L1174" s="1" t="s">
        <v>25</v>
      </c>
      <c r="M1174" s="1" t="s">
        <v>25</v>
      </c>
      <c r="N1174" s="1" t="s">
        <v>26</v>
      </c>
      <c r="O1174" s="1" t="s">
        <v>25</v>
      </c>
      <c r="P1174" s="1" t="s">
        <v>25</v>
      </c>
      <c r="Q1174" s="1" t="s">
        <v>25</v>
      </c>
      <c r="R1174" s="1" t="s">
        <v>26</v>
      </c>
      <c r="S1174" s="2">
        <v>0</v>
      </c>
    </row>
    <row r="1175" spans="1:19" x14ac:dyDescent="0.3">
      <c r="A1175" t="s">
        <v>2359</v>
      </c>
      <c r="B1175" s="5" t="e" cm="1">
        <f t="array" ref="B1175">MAX(#REF!,MIN(#REF!,#REF!+SUMPRODUCT(--(FoodData[[#This Row],[Healthy]:[Refined]]="Yes"),#REF!)+FoodData[[#This Row],[Adjust]]))</f>
        <v>#REF!</v>
      </c>
      <c r="C1175" s="1" t="e">
        <f>LOOKUP(FoodData[[#This Row],[Score]],#REF!,#REF!)</f>
        <v>#REF!</v>
      </c>
      <c r="D1175" t="s">
        <v>2280</v>
      </c>
      <c r="E1175" t="s">
        <v>63</v>
      </c>
      <c r="F1175" t="s">
        <v>22</v>
      </c>
      <c r="G1175" t="s">
        <v>23</v>
      </c>
      <c r="H1175" t="s">
        <v>2360</v>
      </c>
      <c r="I1175" s="1" t="s">
        <v>25</v>
      </c>
      <c r="J1175" s="1" t="s">
        <v>25</v>
      </c>
      <c r="K1175" s="1" t="s">
        <v>26</v>
      </c>
      <c r="L1175" s="1" t="s">
        <v>25</v>
      </c>
      <c r="M1175" s="1" t="s">
        <v>25</v>
      </c>
      <c r="N1175" s="1" t="s">
        <v>26</v>
      </c>
      <c r="O1175" s="1" t="s">
        <v>25</v>
      </c>
      <c r="P1175" s="1" t="s">
        <v>25</v>
      </c>
      <c r="Q1175" s="1" t="s">
        <v>25</v>
      </c>
      <c r="R1175" s="1" t="s">
        <v>26</v>
      </c>
      <c r="S1175" s="2">
        <v>0</v>
      </c>
    </row>
    <row r="1176" spans="1:19" x14ac:dyDescent="0.3">
      <c r="A1176" t="s">
        <v>2361</v>
      </c>
      <c r="B1176" s="5" t="e" cm="1">
        <f t="array" ref="B1176">MAX(#REF!,MIN(#REF!,#REF!+SUMPRODUCT(--(FoodData[[#This Row],[Healthy]:[Refined]]="Yes"),#REF!)+FoodData[[#This Row],[Adjust]]))</f>
        <v>#REF!</v>
      </c>
      <c r="C1176" s="1" t="e">
        <f>LOOKUP(FoodData[[#This Row],[Score]],#REF!,#REF!)</f>
        <v>#REF!</v>
      </c>
      <c r="D1176" t="s">
        <v>2280</v>
      </c>
      <c r="E1176" t="s">
        <v>63</v>
      </c>
      <c r="F1176" t="s">
        <v>22</v>
      </c>
      <c r="G1176" t="s">
        <v>23</v>
      </c>
      <c r="H1176" t="s">
        <v>2362</v>
      </c>
      <c r="I1176" s="1" t="s">
        <v>25</v>
      </c>
      <c r="J1176" s="1" t="s">
        <v>25</v>
      </c>
      <c r="K1176" s="1" t="s">
        <v>26</v>
      </c>
      <c r="L1176" s="1" t="s">
        <v>25</v>
      </c>
      <c r="M1176" s="1" t="s">
        <v>25</v>
      </c>
      <c r="N1176" s="1" t="s">
        <v>25</v>
      </c>
      <c r="O1176" s="1" t="s">
        <v>25</v>
      </c>
      <c r="P1176" s="1" t="s">
        <v>25</v>
      </c>
      <c r="Q1176" s="1" t="s">
        <v>25</v>
      </c>
      <c r="R1176" s="1" t="s">
        <v>26</v>
      </c>
      <c r="S1176" s="2">
        <v>0</v>
      </c>
    </row>
    <row r="1177" spans="1:19" x14ac:dyDescent="0.3">
      <c r="A1177" t="s">
        <v>2363</v>
      </c>
      <c r="B1177" s="5" t="e" cm="1">
        <f t="array" ref="B1177">MAX(#REF!,MIN(#REF!,#REF!+SUMPRODUCT(--(FoodData[[#This Row],[Healthy]:[Refined]]="Yes"),#REF!)+FoodData[[#This Row],[Adjust]]))</f>
        <v>#REF!</v>
      </c>
      <c r="C1177" s="1" t="e">
        <f>LOOKUP(FoodData[[#This Row],[Score]],#REF!,#REF!)</f>
        <v>#REF!</v>
      </c>
      <c r="D1177" t="s">
        <v>2280</v>
      </c>
      <c r="E1177" t="s">
        <v>63</v>
      </c>
      <c r="F1177" t="s">
        <v>22</v>
      </c>
      <c r="G1177" t="s">
        <v>23</v>
      </c>
      <c r="H1177" t="s">
        <v>2364</v>
      </c>
      <c r="I1177" s="1" t="s">
        <v>25</v>
      </c>
      <c r="J1177" s="1" t="s">
        <v>25</v>
      </c>
      <c r="K1177" s="1" t="s">
        <v>26</v>
      </c>
      <c r="L1177" s="1" t="s">
        <v>25</v>
      </c>
      <c r="M1177" s="1" t="s">
        <v>25</v>
      </c>
      <c r="N1177" s="1" t="s">
        <v>25</v>
      </c>
      <c r="O1177" s="1" t="s">
        <v>25</v>
      </c>
      <c r="P1177" s="1" t="s">
        <v>26</v>
      </c>
      <c r="Q1177" s="1" t="s">
        <v>26</v>
      </c>
      <c r="R1177" s="1" t="s">
        <v>26</v>
      </c>
      <c r="S1177" s="2">
        <v>0</v>
      </c>
    </row>
    <row r="1178" spans="1:19" x14ac:dyDescent="0.3">
      <c r="A1178" t="s">
        <v>2365</v>
      </c>
      <c r="B1178" s="5" t="e" cm="1">
        <f t="array" ref="B1178">MAX(#REF!,MIN(#REF!,#REF!+SUMPRODUCT(--(FoodData[[#This Row],[Healthy]:[Refined]]="Yes"),#REF!)+FoodData[[#This Row],[Adjust]]))</f>
        <v>#REF!</v>
      </c>
      <c r="C1178" s="1" t="e">
        <f>LOOKUP(FoodData[[#This Row],[Score]],#REF!,#REF!)</f>
        <v>#REF!</v>
      </c>
      <c r="D1178" t="s">
        <v>2280</v>
      </c>
      <c r="E1178" t="s">
        <v>28</v>
      </c>
      <c r="F1178" t="s">
        <v>22</v>
      </c>
      <c r="G1178" t="s">
        <v>23</v>
      </c>
      <c r="H1178" t="s">
        <v>2366</v>
      </c>
      <c r="I1178" s="1" t="s">
        <v>26</v>
      </c>
      <c r="J1178" s="1" t="s">
        <v>26</v>
      </c>
      <c r="K1178" s="1" t="s">
        <v>26</v>
      </c>
      <c r="L1178" s="1" t="s">
        <v>26</v>
      </c>
      <c r="M1178" s="1" t="s">
        <v>25</v>
      </c>
      <c r="N1178" s="1" t="s">
        <v>25</v>
      </c>
      <c r="O1178" s="1" t="s">
        <v>25</v>
      </c>
      <c r="P1178" s="1" t="s">
        <v>25</v>
      </c>
      <c r="Q1178" s="1" t="s">
        <v>25</v>
      </c>
      <c r="R1178" s="1" t="s">
        <v>25</v>
      </c>
      <c r="S1178" s="2">
        <v>0</v>
      </c>
    </row>
    <row r="1179" spans="1:19" x14ac:dyDescent="0.3">
      <c r="A1179" t="s">
        <v>2367</v>
      </c>
      <c r="B1179" s="5" t="e" cm="1">
        <f t="array" ref="B1179">MAX(#REF!,MIN(#REF!,#REF!+SUMPRODUCT(--(FoodData[[#This Row],[Healthy]:[Refined]]="Yes"),#REF!)+FoodData[[#This Row],[Adjust]]))</f>
        <v>#REF!</v>
      </c>
      <c r="C1179" s="1" t="e">
        <f>LOOKUP(FoodData[[#This Row],[Score]],#REF!,#REF!)</f>
        <v>#REF!</v>
      </c>
      <c r="D1179" t="s">
        <v>2280</v>
      </c>
      <c r="E1179" t="s">
        <v>63</v>
      </c>
      <c r="F1179" t="s">
        <v>22</v>
      </c>
      <c r="G1179" t="s">
        <v>23</v>
      </c>
      <c r="H1179" t="s">
        <v>2368</v>
      </c>
      <c r="I1179" s="1" t="s">
        <v>25</v>
      </c>
      <c r="J1179" s="1" t="s">
        <v>25</v>
      </c>
      <c r="K1179" s="1" t="s">
        <v>26</v>
      </c>
      <c r="L1179" s="1" t="s">
        <v>26</v>
      </c>
      <c r="M1179" s="1" t="s">
        <v>25</v>
      </c>
      <c r="N1179" s="1" t="s">
        <v>25</v>
      </c>
      <c r="O1179" s="1" t="s">
        <v>25</v>
      </c>
      <c r="P1179" s="1" t="s">
        <v>25</v>
      </c>
      <c r="Q1179" s="1" t="s">
        <v>25</v>
      </c>
      <c r="R1179" s="1" t="s">
        <v>25</v>
      </c>
      <c r="S1179" s="2">
        <v>0</v>
      </c>
    </row>
    <row r="1180" spans="1:19" x14ac:dyDescent="0.3">
      <c r="A1180" t="s">
        <v>2369</v>
      </c>
      <c r="B1180" s="5" t="e" cm="1">
        <f t="array" ref="B1180">MAX(#REF!,MIN(#REF!,#REF!+SUMPRODUCT(--(FoodData[[#This Row],[Healthy]:[Refined]]="Yes"),#REF!)+FoodData[[#This Row],[Adjust]]))</f>
        <v>#REF!</v>
      </c>
      <c r="C1180" s="1" t="e">
        <f>LOOKUP(FoodData[[#This Row],[Score]],#REF!,#REF!)</f>
        <v>#REF!</v>
      </c>
      <c r="D1180" t="s">
        <v>2280</v>
      </c>
      <c r="E1180" t="s">
        <v>21</v>
      </c>
      <c r="F1180" t="s">
        <v>22</v>
      </c>
      <c r="G1180" t="s">
        <v>29</v>
      </c>
      <c r="H1180" t="s">
        <v>2370</v>
      </c>
      <c r="I1180" s="1" t="s">
        <v>25</v>
      </c>
      <c r="J1180" s="1" t="s">
        <v>25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26</v>
      </c>
      <c r="P1180" s="1" t="s">
        <v>25</v>
      </c>
      <c r="Q1180" s="1" t="s">
        <v>25</v>
      </c>
      <c r="R1180" s="1" t="s">
        <v>26</v>
      </c>
      <c r="S1180" s="2">
        <v>0</v>
      </c>
    </row>
    <row r="1181" spans="1:19" x14ac:dyDescent="0.3">
      <c r="A1181" t="s">
        <v>2371</v>
      </c>
      <c r="B1181" s="5" t="e" cm="1">
        <f t="array" ref="B1181">MAX(#REF!,MIN(#REF!,#REF!+SUMPRODUCT(--(FoodData[[#This Row],[Healthy]:[Refined]]="Yes"),#REF!)+FoodData[[#This Row],[Adjust]]))</f>
        <v>#REF!</v>
      </c>
      <c r="C1181" s="1" t="e">
        <f>LOOKUP(FoodData[[#This Row],[Score]],#REF!,#REF!)</f>
        <v>#REF!</v>
      </c>
      <c r="D1181" t="s">
        <v>2280</v>
      </c>
      <c r="E1181" t="s">
        <v>63</v>
      </c>
      <c r="F1181" t="s">
        <v>22</v>
      </c>
      <c r="G1181" t="s">
        <v>23</v>
      </c>
      <c r="H1181" t="s">
        <v>2372</v>
      </c>
      <c r="I1181" s="1" t="s">
        <v>25</v>
      </c>
      <c r="J1181" s="1" t="s">
        <v>25</v>
      </c>
      <c r="K1181" s="1" t="s">
        <v>26</v>
      </c>
      <c r="L1181" s="1" t="s">
        <v>25</v>
      </c>
      <c r="M1181" s="1" t="s">
        <v>25</v>
      </c>
      <c r="N1181" s="1" t="s">
        <v>25</v>
      </c>
      <c r="O1181" s="1" t="s">
        <v>26</v>
      </c>
      <c r="P1181" s="1" t="s">
        <v>25</v>
      </c>
      <c r="Q1181" s="1" t="s">
        <v>25</v>
      </c>
      <c r="R1181" s="1" t="s">
        <v>26</v>
      </c>
      <c r="S1181" s="2">
        <v>0</v>
      </c>
    </row>
    <row r="1182" spans="1:19" x14ac:dyDescent="0.3">
      <c r="A1182" t="s">
        <v>2373</v>
      </c>
      <c r="B1182" s="5" t="e" cm="1">
        <f t="array" ref="B1182">MAX(#REF!,MIN(#REF!,#REF!+SUMPRODUCT(--(FoodData[[#This Row],[Healthy]:[Refined]]="Yes"),#REF!)+FoodData[[#This Row],[Adjust]]))</f>
        <v>#REF!</v>
      </c>
      <c r="C1182" s="1" t="e">
        <f>LOOKUP(FoodData[[#This Row],[Score]],#REF!,#REF!)</f>
        <v>#REF!</v>
      </c>
      <c r="D1182" t="s">
        <v>2280</v>
      </c>
      <c r="E1182" t="s">
        <v>63</v>
      </c>
      <c r="F1182" t="s">
        <v>22</v>
      </c>
      <c r="G1182" t="s">
        <v>23</v>
      </c>
      <c r="H1182" t="s">
        <v>2374</v>
      </c>
      <c r="I1182" s="1" t="s">
        <v>25</v>
      </c>
      <c r="J1182" s="1" t="s">
        <v>25</v>
      </c>
      <c r="K1182" s="1" t="s">
        <v>26</v>
      </c>
      <c r="L1182" s="1" t="s">
        <v>25</v>
      </c>
      <c r="M1182" s="1" t="s">
        <v>25</v>
      </c>
      <c r="N1182" s="1" t="s">
        <v>26</v>
      </c>
      <c r="O1182" s="1" t="s">
        <v>25</v>
      </c>
      <c r="P1182" s="1" t="s">
        <v>25</v>
      </c>
      <c r="Q1182" s="1" t="s">
        <v>26</v>
      </c>
      <c r="R1182" s="1" t="s">
        <v>26</v>
      </c>
      <c r="S1182" s="2">
        <v>0</v>
      </c>
    </row>
    <row r="1183" spans="1:19" x14ac:dyDescent="0.3">
      <c r="A1183" t="s">
        <v>2375</v>
      </c>
      <c r="B1183" s="5" t="e" cm="1">
        <f t="array" ref="B1183">MAX(#REF!,MIN(#REF!,#REF!+SUMPRODUCT(--(FoodData[[#This Row],[Healthy]:[Refined]]="Yes"),#REF!)+FoodData[[#This Row],[Adjust]]))</f>
        <v>#REF!</v>
      </c>
      <c r="C1183" s="1" t="e">
        <f>LOOKUP(FoodData[[#This Row],[Score]],#REF!,#REF!)</f>
        <v>#REF!</v>
      </c>
      <c r="D1183" t="s">
        <v>2280</v>
      </c>
      <c r="E1183" t="s">
        <v>63</v>
      </c>
      <c r="F1183" t="s">
        <v>22</v>
      </c>
      <c r="G1183" t="s">
        <v>23</v>
      </c>
      <c r="H1183" t="s">
        <v>2376</v>
      </c>
      <c r="I1183" s="1" t="s">
        <v>25</v>
      </c>
      <c r="J1183" s="1" t="s">
        <v>25</v>
      </c>
      <c r="K1183" s="1" t="s">
        <v>26</v>
      </c>
      <c r="L1183" s="1" t="s">
        <v>26</v>
      </c>
      <c r="M1183" s="1" t="s">
        <v>25</v>
      </c>
      <c r="N1183" s="1" t="s">
        <v>25</v>
      </c>
      <c r="O1183" s="1" t="s">
        <v>25</v>
      </c>
      <c r="P1183" s="1" t="s">
        <v>25</v>
      </c>
      <c r="Q1183" s="1" t="s">
        <v>25</v>
      </c>
      <c r="R1183" s="1" t="s">
        <v>25</v>
      </c>
      <c r="S1183" s="2">
        <v>0</v>
      </c>
    </row>
    <row r="1184" spans="1:19" x14ac:dyDescent="0.3">
      <c r="A1184" t="s">
        <v>2377</v>
      </c>
      <c r="B1184" s="5" t="e" cm="1">
        <f t="array" ref="B1184">MAX(#REF!,MIN(#REF!,#REF!+SUMPRODUCT(--(FoodData[[#This Row],[Healthy]:[Refined]]="Yes"),#REF!)+FoodData[[#This Row],[Adjust]]))</f>
        <v>#REF!</v>
      </c>
      <c r="C1184" s="1" t="e">
        <f>LOOKUP(FoodData[[#This Row],[Score]],#REF!,#REF!)</f>
        <v>#REF!</v>
      </c>
      <c r="D1184" t="s">
        <v>2280</v>
      </c>
      <c r="E1184" t="s">
        <v>63</v>
      </c>
      <c r="F1184" t="s">
        <v>22</v>
      </c>
      <c r="G1184" t="s">
        <v>23</v>
      </c>
      <c r="H1184" t="s">
        <v>2378</v>
      </c>
      <c r="I1184" s="1" t="s">
        <v>25</v>
      </c>
      <c r="J1184" s="1" t="s">
        <v>25</v>
      </c>
      <c r="K1184" s="1" t="s">
        <v>25</v>
      </c>
      <c r="L1184" s="1" t="s">
        <v>25</v>
      </c>
      <c r="M1184" s="1" t="s">
        <v>25</v>
      </c>
      <c r="N1184" s="1" t="s">
        <v>25</v>
      </c>
      <c r="O1184" s="1" t="s">
        <v>25</v>
      </c>
      <c r="P1184" s="1" t="s">
        <v>26</v>
      </c>
      <c r="Q1184" s="1" t="s">
        <v>26</v>
      </c>
      <c r="R1184" s="1" t="s">
        <v>26</v>
      </c>
      <c r="S1184" s="2">
        <v>0</v>
      </c>
    </row>
    <row r="1185" spans="1:19" x14ac:dyDescent="0.3">
      <c r="A1185" t="s">
        <v>2379</v>
      </c>
      <c r="B1185" s="5" t="e" cm="1">
        <f t="array" ref="B1185">MAX(#REF!,MIN(#REF!,#REF!+SUMPRODUCT(--(FoodData[[#This Row],[Healthy]:[Refined]]="Yes"),#REF!)+FoodData[[#This Row],[Adjust]]))</f>
        <v>#REF!</v>
      </c>
      <c r="C1185" s="1" t="e">
        <f>LOOKUP(FoodData[[#This Row],[Score]],#REF!,#REF!)</f>
        <v>#REF!</v>
      </c>
      <c r="D1185" t="s">
        <v>2280</v>
      </c>
      <c r="E1185" t="s">
        <v>63</v>
      </c>
      <c r="F1185" t="s">
        <v>60</v>
      </c>
      <c r="G1185" t="s">
        <v>23</v>
      </c>
      <c r="H1185" t="s">
        <v>2380</v>
      </c>
      <c r="I1185" s="1" t="s">
        <v>25</v>
      </c>
      <c r="J1185" s="1" t="s">
        <v>25</v>
      </c>
      <c r="K1185" s="1" t="s">
        <v>26</v>
      </c>
      <c r="L1185" s="1" t="s">
        <v>25</v>
      </c>
      <c r="M1185" s="1" t="s">
        <v>25</v>
      </c>
      <c r="N1185" s="1" t="s">
        <v>25</v>
      </c>
      <c r="O1185" s="1" t="s">
        <v>25</v>
      </c>
      <c r="P1185" s="1" t="s">
        <v>25</v>
      </c>
      <c r="Q1185" s="1" t="s">
        <v>25</v>
      </c>
      <c r="R1185" s="1" t="s">
        <v>26</v>
      </c>
      <c r="S1185" s="2">
        <v>0</v>
      </c>
    </row>
    <row r="1186" spans="1:19" x14ac:dyDescent="0.3">
      <c r="A1186" t="s">
        <v>2381</v>
      </c>
      <c r="B1186" s="5" t="e" cm="1">
        <f t="array" ref="B1186">MAX(#REF!,MIN(#REF!,#REF!+SUMPRODUCT(--(FoodData[[#This Row],[Healthy]:[Refined]]="Yes"),#REF!)+FoodData[[#This Row],[Adjust]]))</f>
        <v>#REF!</v>
      </c>
      <c r="C1186" s="1" t="e">
        <f>LOOKUP(FoodData[[#This Row],[Score]],#REF!,#REF!)</f>
        <v>#REF!</v>
      </c>
      <c r="D1186" t="s">
        <v>2280</v>
      </c>
      <c r="E1186" t="s">
        <v>63</v>
      </c>
      <c r="F1186" t="s">
        <v>22</v>
      </c>
      <c r="G1186" t="s">
        <v>23</v>
      </c>
      <c r="H1186" t="s">
        <v>2382</v>
      </c>
      <c r="I1186" s="1" t="s">
        <v>25</v>
      </c>
      <c r="J1186" s="1" t="s">
        <v>25</v>
      </c>
      <c r="K1186" s="1" t="s">
        <v>25</v>
      </c>
      <c r="L1186" s="1" t="s">
        <v>26</v>
      </c>
      <c r="M1186" s="1" t="s">
        <v>25</v>
      </c>
      <c r="N1186" s="1" t="s">
        <v>25</v>
      </c>
      <c r="O1186" s="1" t="s">
        <v>25</v>
      </c>
      <c r="P1186" s="1" t="s">
        <v>25</v>
      </c>
      <c r="Q1186" s="1" t="s">
        <v>25</v>
      </c>
      <c r="R1186" s="1" t="s">
        <v>26</v>
      </c>
      <c r="S1186" s="2">
        <v>0</v>
      </c>
    </row>
    <row r="1187" spans="1:19" x14ac:dyDescent="0.3">
      <c r="A1187" t="s">
        <v>2383</v>
      </c>
      <c r="B1187" s="5" t="e" cm="1">
        <f t="array" ref="B1187">MAX(#REF!,MIN(#REF!,#REF!+SUMPRODUCT(--(FoodData[[#This Row],[Healthy]:[Refined]]="Yes"),#REF!)+FoodData[[#This Row],[Adjust]]))</f>
        <v>#REF!</v>
      </c>
      <c r="C1187" s="1" t="e">
        <f>LOOKUP(FoodData[[#This Row],[Score]],#REF!,#REF!)</f>
        <v>#REF!</v>
      </c>
      <c r="D1187" t="s">
        <v>2280</v>
      </c>
      <c r="E1187" t="s">
        <v>63</v>
      </c>
      <c r="F1187" t="s">
        <v>60</v>
      </c>
      <c r="G1187" t="s">
        <v>23</v>
      </c>
      <c r="H1187" t="s">
        <v>2384</v>
      </c>
      <c r="I1187" s="1" t="s">
        <v>25</v>
      </c>
      <c r="J1187" s="1" t="s">
        <v>25</v>
      </c>
      <c r="K1187" s="1" t="s">
        <v>26</v>
      </c>
      <c r="L1187" s="1" t="s">
        <v>25</v>
      </c>
      <c r="M1187" s="1" t="s">
        <v>25</v>
      </c>
      <c r="N1187" s="1" t="s">
        <v>26</v>
      </c>
      <c r="O1187" s="1" t="s">
        <v>25</v>
      </c>
      <c r="P1187" s="1" t="s">
        <v>25</v>
      </c>
      <c r="Q1187" s="1" t="s">
        <v>25</v>
      </c>
      <c r="R1187" s="1" t="s">
        <v>26</v>
      </c>
      <c r="S1187" s="2">
        <v>0</v>
      </c>
    </row>
    <row r="1188" spans="1:19" x14ac:dyDescent="0.3">
      <c r="A1188" t="s">
        <v>2385</v>
      </c>
      <c r="B1188" s="5" t="e" cm="1">
        <f t="array" ref="B1188">MAX(#REF!,MIN(#REF!,#REF!+SUMPRODUCT(--(FoodData[[#This Row],[Healthy]:[Refined]]="Yes"),#REF!)+FoodData[[#This Row],[Adjust]]))</f>
        <v>#REF!</v>
      </c>
      <c r="C1188" s="1" t="e">
        <f>LOOKUP(FoodData[[#This Row],[Score]],#REF!,#REF!)</f>
        <v>#REF!</v>
      </c>
      <c r="D1188" t="s">
        <v>2280</v>
      </c>
      <c r="E1188" t="s">
        <v>63</v>
      </c>
      <c r="F1188" t="s">
        <v>22</v>
      </c>
      <c r="G1188" t="s">
        <v>23</v>
      </c>
      <c r="H1188" t="s">
        <v>2386</v>
      </c>
      <c r="I1188" s="1" t="s">
        <v>25</v>
      </c>
      <c r="J1188" s="1" t="s">
        <v>25</v>
      </c>
      <c r="K1188" s="1" t="s">
        <v>26</v>
      </c>
      <c r="L1188" s="1" t="s">
        <v>25</v>
      </c>
      <c r="M1188" s="1" t="s">
        <v>25</v>
      </c>
      <c r="N1188" s="1" t="s">
        <v>25</v>
      </c>
      <c r="O1188" s="1" t="s">
        <v>25</v>
      </c>
      <c r="P1188" s="1" t="s">
        <v>25</v>
      </c>
      <c r="Q1188" s="1" t="s">
        <v>25</v>
      </c>
      <c r="R1188" s="1" t="s">
        <v>26</v>
      </c>
      <c r="S1188" s="2">
        <v>0</v>
      </c>
    </row>
    <row r="1189" spans="1:19" x14ac:dyDescent="0.3">
      <c r="A1189" t="s">
        <v>2387</v>
      </c>
      <c r="B1189" s="5" t="e" cm="1">
        <f t="array" ref="B1189">MAX(#REF!,MIN(#REF!,#REF!+SUMPRODUCT(--(FoodData[[#This Row],[Healthy]:[Refined]]="Yes"),#REF!)+FoodData[[#This Row],[Adjust]]))</f>
        <v>#REF!</v>
      </c>
      <c r="C1189" s="1" t="e">
        <f>LOOKUP(FoodData[[#This Row],[Score]],#REF!,#REF!)</f>
        <v>#REF!</v>
      </c>
      <c r="D1189" t="s">
        <v>2280</v>
      </c>
      <c r="E1189" t="s">
        <v>63</v>
      </c>
      <c r="F1189" t="s">
        <v>22</v>
      </c>
      <c r="G1189" t="s">
        <v>23</v>
      </c>
      <c r="H1189" t="s">
        <v>2388</v>
      </c>
      <c r="I1189" s="1" t="s">
        <v>26</v>
      </c>
      <c r="J1189" s="1" t="s">
        <v>25</v>
      </c>
      <c r="K1189" s="1" t="s">
        <v>25</v>
      </c>
      <c r="L1189" s="1" t="s">
        <v>26</v>
      </c>
      <c r="M1189" s="1" t="s">
        <v>25</v>
      </c>
      <c r="N1189" s="1" t="s">
        <v>25</v>
      </c>
      <c r="O1189" s="1" t="s">
        <v>25</v>
      </c>
      <c r="P1189" s="1" t="s">
        <v>25</v>
      </c>
      <c r="Q1189" s="1" t="s">
        <v>25</v>
      </c>
      <c r="R1189" s="1" t="s">
        <v>25</v>
      </c>
      <c r="S1189" s="2">
        <v>0</v>
      </c>
    </row>
    <row r="1190" spans="1:19" x14ac:dyDescent="0.3">
      <c r="A1190" t="s">
        <v>2389</v>
      </c>
      <c r="B1190" s="5" t="e" cm="1">
        <f t="array" ref="B1190">MAX(#REF!,MIN(#REF!,#REF!+SUMPRODUCT(--(FoodData[[#This Row],[Healthy]:[Refined]]="Yes"),#REF!)+FoodData[[#This Row],[Adjust]]))</f>
        <v>#REF!</v>
      </c>
      <c r="C1190" s="1" t="e">
        <f>LOOKUP(FoodData[[#This Row],[Score]],#REF!,#REF!)</f>
        <v>#REF!</v>
      </c>
      <c r="D1190" t="s">
        <v>2280</v>
      </c>
      <c r="E1190" t="s">
        <v>63</v>
      </c>
      <c r="F1190" t="s">
        <v>60</v>
      </c>
      <c r="G1190" t="s">
        <v>23</v>
      </c>
      <c r="H1190" t="s">
        <v>2390</v>
      </c>
      <c r="I1190" s="1" t="s">
        <v>25</v>
      </c>
      <c r="J1190" s="1" t="s">
        <v>25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25</v>
      </c>
      <c r="Q1190" s="1" t="s">
        <v>26</v>
      </c>
      <c r="R1190" s="1" t="s">
        <v>26</v>
      </c>
      <c r="S1190" s="2">
        <v>0</v>
      </c>
    </row>
    <row r="1191" spans="1:19" x14ac:dyDescent="0.3">
      <c r="A1191" t="s">
        <v>2391</v>
      </c>
      <c r="B1191" s="5" t="e" cm="1">
        <f t="array" ref="B1191">MAX(#REF!,MIN(#REF!,#REF!+SUMPRODUCT(--(FoodData[[#This Row],[Healthy]:[Refined]]="Yes"),#REF!)+FoodData[[#This Row],[Adjust]]))</f>
        <v>#REF!</v>
      </c>
      <c r="C1191" s="1" t="e">
        <f>LOOKUP(FoodData[[#This Row],[Score]],#REF!,#REF!)</f>
        <v>#REF!</v>
      </c>
      <c r="D1191" t="s">
        <v>2280</v>
      </c>
      <c r="E1191" t="s">
        <v>63</v>
      </c>
      <c r="F1191" t="s">
        <v>60</v>
      </c>
      <c r="G1191" t="s">
        <v>29</v>
      </c>
      <c r="H1191" t="s">
        <v>2392</v>
      </c>
      <c r="I1191" s="1" t="s">
        <v>25</v>
      </c>
      <c r="J1191" s="1" t="s">
        <v>25</v>
      </c>
      <c r="K1191" s="1" t="s">
        <v>26</v>
      </c>
      <c r="L1191" s="1" t="s">
        <v>25</v>
      </c>
      <c r="M1191" s="1" t="s">
        <v>25</v>
      </c>
      <c r="N1191" s="1" t="s">
        <v>25</v>
      </c>
      <c r="O1191" s="1" t="s">
        <v>25</v>
      </c>
      <c r="P1191" s="1" t="s">
        <v>25</v>
      </c>
      <c r="Q1191" s="1" t="s">
        <v>26</v>
      </c>
      <c r="R1191" s="1" t="s">
        <v>26</v>
      </c>
      <c r="S1191" s="2">
        <v>0</v>
      </c>
    </row>
    <row r="1192" spans="1:19" x14ac:dyDescent="0.3">
      <c r="A1192" t="s">
        <v>2393</v>
      </c>
      <c r="B1192" s="5" t="e" cm="1">
        <f t="array" ref="B1192">MAX(#REF!,MIN(#REF!,#REF!+SUMPRODUCT(--(FoodData[[#This Row],[Healthy]:[Refined]]="Yes"),#REF!)+FoodData[[#This Row],[Adjust]]))</f>
        <v>#REF!</v>
      </c>
      <c r="C1192" s="1" t="e">
        <f>LOOKUP(FoodData[[#This Row],[Score]],#REF!,#REF!)</f>
        <v>#REF!</v>
      </c>
      <c r="D1192" t="s">
        <v>2280</v>
      </c>
      <c r="E1192" t="s">
        <v>63</v>
      </c>
      <c r="F1192" t="s">
        <v>22</v>
      </c>
      <c r="G1192" t="s">
        <v>23</v>
      </c>
      <c r="H1192" t="s">
        <v>2394</v>
      </c>
      <c r="I1192" s="1" t="s">
        <v>25</v>
      </c>
      <c r="J1192" s="1" t="s">
        <v>25</v>
      </c>
      <c r="K1192" s="1" t="s">
        <v>25</v>
      </c>
      <c r="L1192" s="1" t="s">
        <v>26</v>
      </c>
      <c r="M1192" s="1" t="s">
        <v>25</v>
      </c>
      <c r="N1192" s="1" t="s">
        <v>26</v>
      </c>
      <c r="O1192" s="1" t="s">
        <v>25</v>
      </c>
      <c r="P1192" s="1" t="s">
        <v>25</v>
      </c>
      <c r="Q1192" s="1" t="s">
        <v>25</v>
      </c>
      <c r="R1192" s="1" t="s">
        <v>26</v>
      </c>
      <c r="S1192" s="2">
        <v>0</v>
      </c>
    </row>
    <row r="1193" spans="1:19" x14ac:dyDescent="0.3">
      <c r="A1193" t="s">
        <v>2395</v>
      </c>
      <c r="B1193" s="5" t="e" cm="1">
        <f t="array" ref="B1193">MAX(#REF!,MIN(#REF!,#REF!+SUMPRODUCT(--(FoodData[[#This Row],[Healthy]:[Refined]]="Yes"),#REF!)+FoodData[[#This Row],[Adjust]]))</f>
        <v>#REF!</v>
      </c>
      <c r="C1193" s="1" t="e">
        <f>LOOKUP(FoodData[[#This Row],[Score]],#REF!,#REF!)</f>
        <v>#REF!</v>
      </c>
      <c r="D1193" t="s">
        <v>2280</v>
      </c>
      <c r="E1193" t="s">
        <v>63</v>
      </c>
      <c r="F1193" t="s">
        <v>22</v>
      </c>
      <c r="G1193" t="s">
        <v>23</v>
      </c>
      <c r="H1193" t="s">
        <v>2396</v>
      </c>
      <c r="I1193" s="1" t="s">
        <v>25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25</v>
      </c>
      <c r="O1193" s="1" t="s">
        <v>26</v>
      </c>
      <c r="P1193" s="1" t="s">
        <v>25</v>
      </c>
      <c r="Q1193" s="1" t="s">
        <v>25</v>
      </c>
      <c r="R1193" s="1" t="s">
        <v>26</v>
      </c>
      <c r="S1193" s="2">
        <v>0</v>
      </c>
    </row>
    <row r="1194" spans="1:19" x14ac:dyDescent="0.3">
      <c r="A1194" t="s">
        <v>2397</v>
      </c>
      <c r="B1194" s="5" t="e" cm="1">
        <f t="array" ref="B1194">MAX(#REF!,MIN(#REF!,#REF!+SUMPRODUCT(--(FoodData[[#This Row],[Healthy]:[Refined]]="Yes"),#REF!)+FoodData[[#This Row],[Adjust]]))</f>
        <v>#REF!</v>
      </c>
      <c r="C1194" s="1" t="e">
        <f>LOOKUP(FoodData[[#This Row],[Score]],#REF!,#REF!)</f>
        <v>#REF!</v>
      </c>
      <c r="D1194" t="s">
        <v>2280</v>
      </c>
      <c r="E1194" t="s">
        <v>63</v>
      </c>
      <c r="F1194" t="s">
        <v>22</v>
      </c>
      <c r="G1194" t="s">
        <v>23</v>
      </c>
      <c r="H1194" t="s">
        <v>2398</v>
      </c>
      <c r="I1194" s="1" t="s">
        <v>25</v>
      </c>
      <c r="J1194" s="1" t="s">
        <v>25</v>
      </c>
      <c r="K1194" s="1" t="s">
        <v>25</v>
      </c>
      <c r="L1194" s="1" t="s">
        <v>26</v>
      </c>
      <c r="M1194" s="1" t="s">
        <v>25</v>
      </c>
      <c r="N1194" s="1" t="s">
        <v>26</v>
      </c>
      <c r="O1194" s="1" t="s">
        <v>25</v>
      </c>
      <c r="P1194" s="1" t="s">
        <v>25</v>
      </c>
      <c r="Q1194" s="1" t="s">
        <v>25</v>
      </c>
      <c r="R1194" s="1" t="s">
        <v>26</v>
      </c>
      <c r="S1194" s="2">
        <v>0</v>
      </c>
    </row>
    <row r="1195" spans="1:19" x14ac:dyDescent="0.3">
      <c r="A1195" t="s">
        <v>2399</v>
      </c>
      <c r="B1195" s="5" t="e" cm="1">
        <f t="array" ref="B1195">MAX(#REF!,MIN(#REF!,#REF!+SUMPRODUCT(--(FoodData[[#This Row],[Healthy]:[Refined]]="Yes"),#REF!)+FoodData[[#This Row],[Adjust]]))</f>
        <v>#REF!</v>
      </c>
      <c r="C1195" s="1" t="e">
        <f>LOOKUP(FoodData[[#This Row],[Score]],#REF!,#REF!)</f>
        <v>#REF!</v>
      </c>
      <c r="D1195" t="s">
        <v>2280</v>
      </c>
      <c r="E1195" t="s">
        <v>28</v>
      </c>
      <c r="F1195" t="s">
        <v>22</v>
      </c>
      <c r="G1195" t="s">
        <v>29</v>
      </c>
      <c r="H1195" t="s">
        <v>2400</v>
      </c>
      <c r="I1195" s="1" t="s">
        <v>26</v>
      </c>
      <c r="J1195" s="1" t="s">
        <v>26</v>
      </c>
      <c r="K1195" s="1" t="s">
        <v>26</v>
      </c>
      <c r="L1195" s="1" t="s">
        <v>26</v>
      </c>
      <c r="M1195" s="1" t="s">
        <v>25</v>
      </c>
      <c r="N1195" s="1" t="s">
        <v>25</v>
      </c>
      <c r="O1195" s="1" t="s">
        <v>25</v>
      </c>
      <c r="P1195" s="1" t="s">
        <v>25</v>
      </c>
      <c r="Q1195" s="1" t="s">
        <v>25</v>
      </c>
      <c r="R1195" s="1" t="s">
        <v>25</v>
      </c>
      <c r="S1195" s="2">
        <v>0</v>
      </c>
    </row>
    <row r="1196" spans="1:19" x14ac:dyDescent="0.3">
      <c r="A1196" t="s">
        <v>2401</v>
      </c>
      <c r="B1196" s="5" t="e" cm="1">
        <f t="array" ref="B1196">MAX(#REF!,MIN(#REF!,#REF!+SUMPRODUCT(--(FoodData[[#This Row],[Healthy]:[Refined]]="Yes"),#REF!)+FoodData[[#This Row],[Adjust]]))</f>
        <v>#REF!</v>
      </c>
      <c r="C1196" s="1" t="e">
        <f>LOOKUP(FoodData[[#This Row],[Score]],#REF!,#REF!)</f>
        <v>#REF!</v>
      </c>
      <c r="D1196" t="s">
        <v>2280</v>
      </c>
      <c r="E1196" t="s">
        <v>63</v>
      </c>
      <c r="F1196" t="s">
        <v>22</v>
      </c>
      <c r="G1196" t="s">
        <v>29</v>
      </c>
      <c r="H1196" t="s">
        <v>2402</v>
      </c>
      <c r="I1196" s="1" t="s">
        <v>25</v>
      </c>
      <c r="J1196" s="1" t="s">
        <v>25</v>
      </c>
      <c r="K1196" s="1" t="s">
        <v>25</v>
      </c>
      <c r="L1196" s="1" t="s">
        <v>26</v>
      </c>
      <c r="M1196" s="1" t="s">
        <v>25</v>
      </c>
      <c r="N1196" s="1" t="s">
        <v>25</v>
      </c>
      <c r="O1196" s="1" t="s">
        <v>26</v>
      </c>
      <c r="P1196" s="1" t="s">
        <v>25</v>
      </c>
      <c r="Q1196" s="1" t="s">
        <v>25</v>
      </c>
      <c r="R1196" s="1" t="s">
        <v>26</v>
      </c>
      <c r="S1196" s="2">
        <v>0</v>
      </c>
    </row>
    <row r="1197" spans="1:19" x14ac:dyDescent="0.3">
      <c r="A1197" t="s">
        <v>2403</v>
      </c>
      <c r="B1197" s="5" t="e" cm="1">
        <f t="array" ref="B1197">MAX(#REF!,MIN(#REF!,#REF!+SUMPRODUCT(--(FoodData[[#This Row],[Healthy]:[Refined]]="Yes"),#REF!)+FoodData[[#This Row],[Adjust]]))</f>
        <v>#REF!</v>
      </c>
      <c r="C1197" s="1" t="e">
        <f>LOOKUP(FoodData[[#This Row],[Score]],#REF!,#REF!)</f>
        <v>#REF!</v>
      </c>
      <c r="D1197" t="s">
        <v>2280</v>
      </c>
      <c r="E1197" t="s">
        <v>63</v>
      </c>
      <c r="F1197" t="s">
        <v>22</v>
      </c>
      <c r="G1197" t="s">
        <v>23</v>
      </c>
      <c r="H1197" t="s">
        <v>2404</v>
      </c>
      <c r="I1197" s="1" t="s">
        <v>26</v>
      </c>
      <c r="J1197" s="1" t="s">
        <v>25</v>
      </c>
      <c r="K1197" s="1" t="s">
        <v>25</v>
      </c>
      <c r="L1197" s="1" t="s">
        <v>26</v>
      </c>
      <c r="M1197" s="1" t="s">
        <v>25</v>
      </c>
      <c r="N1197" s="1" t="s">
        <v>25</v>
      </c>
      <c r="O1197" s="1" t="s">
        <v>25</v>
      </c>
      <c r="P1197" s="1" t="s">
        <v>25</v>
      </c>
      <c r="Q1197" s="1" t="s">
        <v>25</v>
      </c>
      <c r="R1197" s="1" t="s">
        <v>25</v>
      </c>
      <c r="S1197" s="2">
        <v>0</v>
      </c>
    </row>
    <row r="1198" spans="1:19" x14ac:dyDescent="0.3">
      <c r="A1198" t="s">
        <v>2405</v>
      </c>
      <c r="B1198" s="5" t="e" cm="1">
        <f t="array" ref="B1198">MAX(#REF!,MIN(#REF!,#REF!+SUMPRODUCT(--(FoodData[[#This Row],[Healthy]:[Refined]]="Yes"),#REF!)+FoodData[[#This Row],[Adjust]]))</f>
        <v>#REF!</v>
      </c>
      <c r="C1198" s="1" t="e">
        <f>LOOKUP(FoodData[[#This Row],[Score]],#REF!,#REF!)</f>
        <v>#REF!</v>
      </c>
      <c r="D1198" t="s">
        <v>2406</v>
      </c>
      <c r="E1198" t="s">
        <v>63</v>
      </c>
      <c r="F1198" t="s">
        <v>22</v>
      </c>
      <c r="G1198" t="s">
        <v>23</v>
      </c>
      <c r="H1198" t="s">
        <v>2407</v>
      </c>
      <c r="I1198" s="1" t="s">
        <v>25</v>
      </c>
      <c r="J1198" s="1" t="s">
        <v>25</v>
      </c>
      <c r="K1198" s="1" t="s">
        <v>25</v>
      </c>
      <c r="L1198" s="1" t="s">
        <v>25</v>
      </c>
      <c r="M1198" s="1" t="s">
        <v>25</v>
      </c>
      <c r="N1198" s="1" t="s">
        <v>25</v>
      </c>
      <c r="O1198" s="1" t="s">
        <v>25</v>
      </c>
      <c r="P1198" s="1" t="s">
        <v>26</v>
      </c>
      <c r="Q1198" s="1" t="s">
        <v>26</v>
      </c>
      <c r="R1198" s="1" t="s">
        <v>26</v>
      </c>
      <c r="S1198" s="2">
        <v>0</v>
      </c>
    </row>
    <row r="1199" spans="1:19" x14ac:dyDescent="0.3">
      <c r="A1199" t="s">
        <v>2408</v>
      </c>
      <c r="B1199" s="5" t="e" cm="1">
        <f t="array" ref="B1199">MAX(#REF!,MIN(#REF!,#REF!+SUMPRODUCT(--(FoodData[[#This Row],[Healthy]:[Refined]]="Yes"),#REF!)+FoodData[[#This Row],[Adjust]]))</f>
        <v>#REF!</v>
      </c>
      <c r="C1199" s="1" t="e">
        <f>LOOKUP(FoodData[[#This Row],[Score]],#REF!,#REF!)</f>
        <v>#REF!</v>
      </c>
      <c r="D1199" t="s">
        <v>2406</v>
      </c>
      <c r="E1199" t="s">
        <v>63</v>
      </c>
      <c r="F1199" t="s">
        <v>22</v>
      </c>
      <c r="G1199" t="s">
        <v>23</v>
      </c>
      <c r="H1199" t="s">
        <v>2409</v>
      </c>
      <c r="I1199" s="1" t="s">
        <v>25</v>
      </c>
      <c r="J1199" s="1" t="s">
        <v>25</v>
      </c>
      <c r="K1199" s="1" t="s">
        <v>26</v>
      </c>
      <c r="L1199" s="1" t="s">
        <v>26</v>
      </c>
      <c r="M1199" s="1" t="s">
        <v>26</v>
      </c>
      <c r="N1199" s="1" t="s">
        <v>26</v>
      </c>
      <c r="O1199" s="1" t="s">
        <v>25</v>
      </c>
      <c r="P1199" s="1" t="s">
        <v>26</v>
      </c>
      <c r="Q1199" s="1" t="s">
        <v>26</v>
      </c>
      <c r="R1199" s="1" t="s">
        <v>25</v>
      </c>
      <c r="S1199" s="2">
        <v>0</v>
      </c>
    </row>
    <row r="1200" spans="1:19" x14ac:dyDescent="0.3">
      <c r="A1200" t="s">
        <v>2410</v>
      </c>
      <c r="B1200" s="5" t="e" cm="1">
        <f t="array" ref="B1200">MAX(#REF!,MIN(#REF!,#REF!+SUMPRODUCT(--(FoodData[[#This Row],[Healthy]:[Refined]]="Yes"),#REF!)+FoodData[[#This Row],[Adjust]]))</f>
        <v>#REF!</v>
      </c>
      <c r="C1200" s="1" t="e">
        <f>LOOKUP(FoodData[[#This Row],[Score]],#REF!,#REF!)</f>
        <v>#REF!</v>
      </c>
      <c r="D1200" t="s">
        <v>2406</v>
      </c>
      <c r="E1200" t="s">
        <v>63</v>
      </c>
      <c r="F1200" t="s">
        <v>22</v>
      </c>
      <c r="G1200" t="s">
        <v>23</v>
      </c>
      <c r="H1200" t="s">
        <v>2411</v>
      </c>
      <c r="I1200" s="1" t="s">
        <v>25</v>
      </c>
      <c r="J1200" s="1" t="s">
        <v>25</v>
      </c>
      <c r="K1200" s="1" t="s">
        <v>26</v>
      </c>
      <c r="L1200" s="1" t="s">
        <v>26</v>
      </c>
      <c r="M1200" s="1" t="s">
        <v>25</v>
      </c>
      <c r="N1200" s="1" t="s">
        <v>25</v>
      </c>
      <c r="O1200" s="1" t="s">
        <v>25</v>
      </c>
      <c r="P1200" s="1" t="s">
        <v>26</v>
      </c>
      <c r="Q1200" s="1" t="s">
        <v>26</v>
      </c>
      <c r="R1200" s="1" t="s">
        <v>25</v>
      </c>
      <c r="S1200" s="2">
        <v>0</v>
      </c>
    </row>
    <row r="1201" spans="1:19" x14ac:dyDescent="0.3">
      <c r="A1201" t="s">
        <v>2412</v>
      </c>
      <c r="B1201" s="5" t="e" cm="1">
        <f t="array" ref="B1201">MAX(#REF!,MIN(#REF!,#REF!+SUMPRODUCT(--(FoodData[[#This Row],[Healthy]:[Refined]]="Yes"),#REF!)+FoodData[[#This Row],[Adjust]]))</f>
        <v>#REF!</v>
      </c>
      <c r="C1201" s="1" t="e">
        <f>LOOKUP(FoodData[[#This Row],[Score]],#REF!,#REF!)</f>
        <v>#REF!</v>
      </c>
      <c r="D1201" t="s">
        <v>2406</v>
      </c>
      <c r="E1201" t="s">
        <v>63</v>
      </c>
      <c r="F1201" t="s">
        <v>22</v>
      </c>
      <c r="G1201" t="s">
        <v>23</v>
      </c>
      <c r="H1201" t="s">
        <v>2413</v>
      </c>
      <c r="I1201" s="1" t="s">
        <v>26</v>
      </c>
      <c r="J1201" s="1" t="s">
        <v>26</v>
      </c>
      <c r="K1201" s="1" t="s">
        <v>26</v>
      </c>
      <c r="L1201" s="1" t="s">
        <v>26</v>
      </c>
      <c r="M1201" s="1" t="s">
        <v>25</v>
      </c>
      <c r="N1201" s="1" t="s">
        <v>25</v>
      </c>
      <c r="O1201" s="1" t="s">
        <v>25</v>
      </c>
      <c r="P1201" s="1" t="s">
        <v>25</v>
      </c>
      <c r="Q1201" s="1" t="s">
        <v>25</v>
      </c>
      <c r="R1201" s="1" t="s">
        <v>25</v>
      </c>
      <c r="S1201" s="2">
        <v>0</v>
      </c>
    </row>
    <row r="1202" spans="1:19" x14ac:dyDescent="0.3">
      <c r="A1202" t="s">
        <v>2414</v>
      </c>
      <c r="B1202" s="5" t="e" cm="1">
        <f t="array" ref="B1202">MAX(#REF!,MIN(#REF!,#REF!+SUMPRODUCT(--(FoodData[[#This Row],[Healthy]:[Refined]]="Yes"),#REF!)+FoodData[[#This Row],[Adjust]]))</f>
        <v>#REF!</v>
      </c>
      <c r="C1202" s="1" t="e">
        <f>LOOKUP(FoodData[[#This Row],[Score]],#REF!,#REF!)</f>
        <v>#REF!</v>
      </c>
      <c r="D1202" t="s">
        <v>2406</v>
      </c>
      <c r="E1202" t="s">
        <v>63</v>
      </c>
      <c r="F1202" t="s">
        <v>22</v>
      </c>
      <c r="G1202" t="s">
        <v>23</v>
      </c>
      <c r="H1202" t="s">
        <v>2415</v>
      </c>
      <c r="I1202" s="1" t="s">
        <v>25</v>
      </c>
      <c r="J1202" s="1" t="s">
        <v>25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25</v>
      </c>
      <c r="Q1202" s="1" t="s">
        <v>25</v>
      </c>
      <c r="R1202" s="1" t="s">
        <v>25</v>
      </c>
      <c r="S1202" s="2">
        <v>0</v>
      </c>
    </row>
    <row r="1203" spans="1:19" x14ac:dyDescent="0.3">
      <c r="A1203" t="s">
        <v>2416</v>
      </c>
      <c r="B1203" s="5" t="e" cm="1">
        <f t="array" ref="B1203">MAX(#REF!,MIN(#REF!,#REF!+SUMPRODUCT(--(FoodData[[#This Row],[Healthy]:[Refined]]="Yes"),#REF!)+FoodData[[#This Row],[Adjust]]))</f>
        <v>#REF!</v>
      </c>
      <c r="C1203" s="1" t="e">
        <f>LOOKUP(FoodData[[#This Row],[Score]],#REF!,#REF!)</f>
        <v>#REF!</v>
      </c>
      <c r="D1203" t="s">
        <v>2406</v>
      </c>
      <c r="E1203" t="s">
        <v>63</v>
      </c>
      <c r="F1203" t="s">
        <v>22</v>
      </c>
      <c r="G1203" t="s">
        <v>23</v>
      </c>
      <c r="H1203" t="s">
        <v>2417</v>
      </c>
      <c r="I1203" s="1" t="s">
        <v>26</v>
      </c>
      <c r="J1203" s="1" t="s">
        <v>26</v>
      </c>
      <c r="K1203" s="1" t="s">
        <v>26</v>
      </c>
      <c r="L1203" s="1" t="s">
        <v>26</v>
      </c>
      <c r="M1203" s="1" t="s">
        <v>25</v>
      </c>
      <c r="N1203" s="1" t="s">
        <v>25</v>
      </c>
      <c r="O1203" s="1" t="s">
        <v>25</v>
      </c>
      <c r="P1203" s="1" t="s">
        <v>25</v>
      </c>
      <c r="Q1203" s="1" t="s">
        <v>25</v>
      </c>
      <c r="R1203" s="1" t="s">
        <v>25</v>
      </c>
      <c r="S1203" s="2">
        <v>0</v>
      </c>
    </row>
    <row r="1204" spans="1:19" x14ac:dyDescent="0.3">
      <c r="A1204" t="s">
        <v>2418</v>
      </c>
      <c r="B1204" s="5" t="e" cm="1">
        <f t="array" ref="B1204">MAX(#REF!,MIN(#REF!,#REF!+SUMPRODUCT(--(FoodData[[#This Row],[Healthy]:[Refined]]="Yes"),#REF!)+FoodData[[#This Row],[Adjust]]))</f>
        <v>#REF!</v>
      </c>
      <c r="C1204" s="1" t="e">
        <f>LOOKUP(FoodData[[#This Row],[Score]],#REF!,#REF!)</f>
        <v>#REF!</v>
      </c>
      <c r="D1204" t="s">
        <v>2406</v>
      </c>
      <c r="E1204" t="s">
        <v>63</v>
      </c>
      <c r="F1204" t="s">
        <v>22</v>
      </c>
      <c r="G1204" t="s">
        <v>23</v>
      </c>
      <c r="H1204" t="s">
        <v>2419</v>
      </c>
      <c r="I1204" s="1" t="s">
        <v>26</v>
      </c>
      <c r="J1204" s="1" t="s">
        <v>25</v>
      </c>
      <c r="K1204" s="1" t="s">
        <v>26</v>
      </c>
      <c r="L1204" s="1" t="s">
        <v>25</v>
      </c>
      <c r="M1204" s="1" t="s">
        <v>25</v>
      </c>
      <c r="N1204" s="1" t="s">
        <v>25</v>
      </c>
      <c r="O1204" s="1" t="s">
        <v>25</v>
      </c>
      <c r="P1204" s="1" t="s">
        <v>25</v>
      </c>
      <c r="Q1204" s="1" t="s">
        <v>25</v>
      </c>
      <c r="R1204" s="1" t="s">
        <v>25</v>
      </c>
      <c r="S1204" s="2">
        <v>0</v>
      </c>
    </row>
    <row r="1205" spans="1:19" x14ac:dyDescent="0.3">
      <c r="A1205" t="s">
        <v>2420</v>
      </c>
      <c r="B1205" s="5" t="e" cm="1">
        <f t="array" ref="B1205">MAX(#REF!,MIN(#REF!,#REF!+SUMPRODUCT(--(FoodData[[#This Row],[Healthy]:[Refined]]="Yes"),#REF!)+FoodData[[#This Row],[Adjust]]))</f>
        <v>#REF!</v>
      </c>
      <c r="C1205" s="1" t="e">
        <f>LOOKUP(FoodData[[#This Row],[Score]],#REF!,#REF!)</f>
        <v>#REF!</v>
      </c>
      <c r="D1205" t="s">
        <v>2406</v>
      </c>
      <c r="E1205" t="s">
        <v>63</v>
      </c>
      <c r="F1205" t="s">
        <v>22</v>
      </c>
      <c r="G1205" t="s">
        <v>23</v>
      </c>
      <c r="H1205" t="s">
        <v>2421</v>
      </c>
      <c r="I1205" s="1" t="s">
        <v>26</v>
      </c>
      <c r="J1205" s="1" t="s">
        <v>25</v>
      </c>
      <c r="K1205" s="1" t="s">
        <v>26</v>
      </c>
      <c r="L1205" s="1" t="s">
        <v>25</v>
      </c>
      <c r="M1205" s="1" t="s">
        <v>25</v>
      </c>
      <c r="N1205" s="1" t="s">
        <v>25</v>
      </c>
      <c r="O1205" s="1" t="s">
        <v>25</v>
      </c>
      <c r="P1205" s="1" t="s">
        <v>25</v>
      </c>
      <c r="Q1205" s="1" t="s">
        <v>25</v>
      </c>
      <c r="R1205" s="1" t="s">
        <v>25</v>
      </c>
      <c r="S1205" s="2">
        <v>0</v>
      </c>
    </row>
    <row r="1206" spans="1:19" x14ac:dyDescent="0.3">
      <c r="A1206" t="s">
        <v>2422</v>
      </c>
      <c r="B1206" s="5" t="e" cm="1">
        <f t="array" ref="B1206">MAX(#REF!,MIN(#REF!,#REF!+SUMPRODUCT(--(FoodData[[#This Row],[Healthy]:[Refined]]="Yes"),#REF!)+FoodData[[#This Row],[Adjust]]))</f>
        <v>#REF!</v>
      </c>
      <c r="C1206" s="1" t="e">
        <f>LOOKUP(FoodData[[#This Row],[Score]],#REF!,#REF!)</f>
        <v>#REF!</v>
      </c>
      <c r="D1206" t="s">
        <v>2406</v>
      </c>
      <c r="E1206" t="s">
        <v>63</v>
      </c>
      <c r="F1206" t="s">
        <v>22</v>
      </c>
      <c r="G1206" t="s">
        <v>23</v>
      </c>
      <c r="H1206" t="s">
        <v>2423</v>
      </c>
      <c r="I1206" s="1" t="s">
        <v>25</v>
      </c>
      <c r="J1206" s="1" t="s">
        <v>25</v>
      </c>
      <c r="K1206" s="1" t="s">
        <v>26</v>
      </c>
      <c r="L1206" s="1" t="s">
        <v>26</v>
      </c>
      <c r="M1206" s="1" t="s">
        <v>25</v>
      </c>
      <c r="N1206" s="1" t="s">
        <v>25</v>
      </c>
      <c r="O1206" s="1" t="s">
        <v>25</v>
      </c>
      <c r="P1206" s="1" t="s">
        <v>26</v>
      </c>
      <c r="Q1206" s="1" t="s">
        <v>26</v>
      </c>
      <c r="R1206" s="1" t="s">
        <v>25</v>
      </c>
      <c r="S1206" s="2">
        <v>0</v>
      </c>
    </row>
    <row r="1207" spans="1:19" x14ac:dyDescent="0.3">
      <c r="A1207" t="s">
        <v>2424</v>
      </c>
      <c r="B1207" s="5" t="e" cm="1">
        <f t="array" ref="B1207">MAX(#REF!,MIN(#REF!,#REF!+SUMPRODUCT(--(FoodData[[#This Row],[Healthy]:[Refined]]="Yes"),#REF!)+FoodData[[#This Row],[Adjust]]))</f>
        <v>#REF!</v>
      </c>
      <c r="C1207" s="1" t="e">
        <f>LOOKUP(FoodData[[#This Row],[Score]],#REF!,#REF!)</f>
        <v>#REF!</v>
      </c>
      <c r="D1207" t="s">
        <v>2406</v>
      </c>
      <c r="E1207" t="s">
        <v>63</v>
      </c>
      <c r="F1207" t="s">
        <v>22</v>
      </c>
      <c r="G1207" t="s">
        <v>23</v>
      </c>
      <c r="H1207" t="s">
        <v>2425</v>
      </c>
      <c r="I1207" s="1" t="s">
        <v>25</v>
      </c>
      <c r="J1207" s="1" t="s">
        <v>25</v>
      </c>
      <c r="K1207" s="1" t="s">
        <v>26</v>
      </c>
      <c r="L1207" s="1" t="s">
        <v>25</v>
      </c>
      <c r="M1207" s="1" t="s">
        <v>25</v>
      </c>
      <c r="N1207" s="1" t="s">
        <v>25</v>
      </c>
      <c r="O1207" s="1" t="s">
        <v>25</v>
      </c>
      <c r="P1207" s="1" t="s">
        <v>25</v>
      </c>
      <c r="Q1207" s="1" t="s">
        <v>25</v>
      </c>
      <c r="R1207" s="1" t="s">
        <v>25</v>
      </c>
      <c r="S1207" s="2">
        <v>0</v>
      </c>
    </row>
    <row r="1208" spans="1:19" x14ac:dyDescent="0.3">
      <c r="A1208" t="s">
        <v>2426</v>
      </c>
      <c r="B1208" s="5" t="e" cm="1">
        <f t="array" ref="B1208">MAX(#REF!,MIN(#REF!,#REF!+SUMPRODUCT(--(FoodData[[#This Row],[Healthy]:[Refined]]="Yes"),#REF!)+FoodData[[#This Row],[Adjust]]))</f>
        <v>#REF!</v>
      </c>
      <c r="C1208" s="1" t="e">
        <f>LOOKUP(FoodData[[#This Row],[Score]],#REF!,#REF!)</f>
        <v>#REF!</v>
      </c>
      <c r="D1208" t="s">
        <v>2406</v>
      </c>
      <c r="E1208" t="s">
        <v>63</v>
      </c>
      <c r="F1208" t="s">
        <v>22</v>
      </c>
      <c r="G1208" t="s">
        <v>23</v>
      </c>
      <c r="H1208" t="s">
        <v>2427</v>
      </c>
      <c r="I1208" s="1" t="s">
        <v>25</v>
      </c>
      <c r="J1208" s="1" t="s">
        <v>25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25</v>
      </c>
      <c r="P1208" s="1" t="s">
        <v>25</v>
      </c>
      <c r="Q1208" s="1" t="s">
        <v>26</v>
      </c>
      <c r="R1208" s="1" t="s">
        <v>25</v>
      </c>
      <c r="S1208" s="2">
        <v>0</v>
      </c>
    </row>
    <row r="1209" spans="1:19" x14ac:dyDescent="0.3">
      <c r="A1209" t="s">
        <v>2428</v>
      </c>
      <c r="B1209" s="5" t="e" cm="1">
        <f t="array" ref="B1209">MAX(#REF!,MIN(#REF!,#REF!+SUMPRODUCT(--(FoodData[[#This Row],[Healthy]:[Refined]]="Yes"),#REF!)+FoodData[[#This Row],[Adjust]]))</f>
        <v>#REF!</v>
      </c>
      <c r="C1209" s="1" t="e">
        <f>LOOKUP(FoodData[[#This Row],[Score]],#REF!,#REF!)</f>
        <v>#REF!</v>
      </c>
      <c r="D1209" t="s">
        <v>2406</v>
      </c>
      <c r="E1209" t="s">
        <v>63</v>
      </c>
      <c r="F1209" t="s">
        <v>22</v>
      </c>
      <c r="G1209" t="s">
        <v>349</v>
      </c>
      <c r="H1209" t="s">
        <v>2429</v>
      </c>
      <c r="I1209" s="1" t="s">
        <v>26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25</v>
      </c>
      <c r="Q1209" s="1" t="s">
        <v>25</v>
      </c>
      <c r="R1209" s="1" t="s">
        <v>25</v>
      </c>
      <c r="S1209" s="2">
        <v>0</v>
      </c>
    </row>
    <row r="1210" spans="1:19" x14ac:dyDescent="0.3">
      <c r="A1210" t="s">
        <v>2430</v>
      </c>
      <c r="B1210" s="5" t="e" cm="1">
        <f t="array" ref="B1210">MAX(#REF!,MIN(#REF!,#REF!+SUMPRODUCT(--(FoodData[[#This Row],[Healthy]:[Refined]]="Yes"),#REF!)+FoodData[[#This Row],[Adjust]]))</f>
        <v>#REF!</v>
      </c>
      <c r="C1210" s="1" t="e">
        <f>LOOKUP(FoodData[[#This Row],[Score]],#REF!,#REF!)</f>
        <v>#REF!</v>
      </c>
      <c r="D1210" t="s">
        <v>2406</v>
      </c>
      <c r="E1210" t="s">
        <v>63</v>
      </c>
      <c r="F1210" t="s">
        <v>22</v>
      </c>
      <c r="G1210" t="s">
        <v>23</v>
      </c>
      <c r="H1210" t="s">
        <v>2431</v>
      </c>
      <c r="I1210" s="1" t="s">
        <v>25</v>
      </c>
      <c r="J1210" s="1" t="s">
        <v>25</v>
      </c>
      <c r="K1210" s="1" t="s">
        <v>25</v>
      </c>
      <c r="L1210" s="1" t="s">
        <v>26</v>
      </c>
      <c r="M1210" s="1" t="s">
        <v>25</v>
      </c>
      <c r="N1210" s="1" t="s">
        <v>26</v>
      </c>
      <c r="O1210" s="1" t="s">
        <v>25</v>
      </c>
      <c r="P1210" s="1" t="s">
        <v>26</v>
      </c>
      <c r="Q1210" s="1" t="s">
        <v>26</v>
      </c>
      <c r="R1210" s="1" t="s">
        <v>25</v>
      </c>
      <c r="S1210" s="2">
        <v>0</v>
      </c>
    </row>
    <row r="1211" spans="1:19" x14ac:dyDescent="0.3">
      <c r="A1211" t="s">
        <v>2432</v>
      </c>
      <c r="B1211" s="5" t="e" cm="1">
        <f t="array" ref="B1211">MAX(#REF!,MIN(#REF!,#REF!+SUMPRODUCT(--(FoodData[[#This Row],[Healthy]:[Refined]]="Yes"),#REF!)+FoodData[[#This Row],[Adjust]]))</f>
        <v>#REF!</v>
      </c>
      <c r="C1211" s="1" t="e">
        <f>LOOKUP(FoodData[[#This Row],[Score]],#REF!,#REF!)</f>
        <v>#REF!</v>
      </c>
      <c r="D1211" t="s">
        <v>2406</v>
      </c>
      <c r="E1211" t="s">
        <v>199</v>
      </c>
      <c r="F1211" t="s">
        <v>22</v>
      </c>
      <c r="G1211" t="s">
        <v>23</v>
      </c>
      <c r="H1211" t="s">
        <v>2433</v>
      </c>
      <c r="I1211" s="1" t="s">
        <v>26</v>
      </c>
      <c r="J1211" s="1" t="s">
        <v>26</v>
      </c>
      <c r="K1211" s="1" t="s">
        <v>26</v>
      </c>
      <c r="L1211" s="1" t="s">
        <v>25</v>
      </c>
      <c r="M1211" s="1" t="s">
        <v>25</v>
      </c>
      <c r="N1211" s="1" t="s">
        <v>25</v>
      </c>
      <c r="O1211" s="1" t="s">
        <v>25</v>
      </c>
      <c r="P1211" s="1" t="s">
        <v>25</v>
      </c>
      <c r="Q1211" s="1" t="s">
        <v>25</v>
      </c>
      <c r="R1211" s="1" t="s">
        <v>25</v>
      </c>
      <c r="S1211" s="2">
        <v>0</v>
      </c>
    </row>
    <row r="1212" spans="1:19" x14ac:dyDescent="0.3">
      <c r="A1212" t="s">
        <v>2434</v>
      </c>
      <c r="B1212" s="5" t="e" cm="1">
        <f t="array" ref="B1212">MAX(#REF!,MIN(#REF!,#REF!+SUMPRODUCT(--(FoodData[[#This Row],[Healthy]:[Refined]]="Yes"),#REF!)+FoodData[[#This Row],[Adjust]]))</f>
        <v>#REF!</v>
      </c>
      <c r="C1212" s="1" t="e">
        <f>LOOKUP(FoodData[[#This Row],[Score]],#REF!,#REF!)</f>
        <v>#REF!</v>
      </c>
      <c r="D1212" t="s">
        <v>2406</v>
      </c>
      <c r="E1212" t="s">
        <v>63</v>
      </c>
      <c r="F1212" t="s">
        <v>22</v>
      </c>
      <c r="G1212" t="s">
        <v>23</v>
      </c>
      <c r="H1212" t="s">
        <v>2435</v>
      </c>
      <c r="I1212" s="1" t="s">
        <v>26</v>
      </c>
      <c r="J1212" s="1" t="s">
        <v>26</v>
      </c>
      <c r="K1212" s="1" t="s">
        <v>26</v>
      </c>
      <c r="L1212" s="1" t="s">
        <v>26</v>
      </c>
      <c r="M1212" s="1" t="s">
        <v>25</v>
      </c>
      <c r="N1212" s="1" t="s">
        <v>25</v>
      </c>
      <c r="O1212" s="1" t="s">
        <v>25</v>
      </c>
      <c r="P1212" s="1" t="s">
        <v>25</v>
      </c>
      <c r="Q1212" s="1" t="s">
        <v>25</v>
      </c>
      <c r="R1212" s="1" t="s">
        <v>25</v>
      </c>
      <c r="S1212" s="2">
        <v>0</v>
      </c>
    </row>
    <row r="1213" spans="1:19" x14ac:dyDescent="0.3">
      <c r="A1213" t="s">
        <v>2436</v>
      </c>
      <c r="B1213" s="5" t="e" cm="1">
        <f t="array" ref="B1213">MAX(#REF!,MIN(#REF!,#REF!+SUMPRODUCT(--(FoodData[[#This Row],[Healthy]:[Refined]]="Yes"),#REF!)+FoodData[[#This Row],[Adjust]]))</f>
        <v>#REF!</v>
      </c>
      <c r="C1213" s="1" t="e">
        <f>LOOKUP(FoodData[[#This Row],[Score]],#REF!,#REF!)</f>
        <v>#REF!</v>
      </c>
      <c r="D1213" t="s">
        <v>2406</v>
      </c>
      <c r="E1213" t="s">
        <v>63</v>
      </c>
      <c r="F1213" t="s">
        <v>22</v>
      </c>
      <c r="G1213" t="s">
        <v>23</v>
      </c>
      <c r="H1213" t="s">
        <v>2437</v>
      </c>
      <c r="I1213" s="1" t="s">
        <v>25</v>
      </c>
      <c r="J1213" s="1" t="s">
        <v>25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26</v>
      </c>
      <c r="Q1213" s="1" t="s">
        <v>26</v>
      </c>
      <c r="R1213" s="1" t="s">
        <v>25</v>
      </c>
      <c r="S1213" s="2">
        <v>0</v>
      </c>
    </row>
    <row r="1214" spans="1:19" x14ac:dyDescent="0.3">
      <c r="A1214" t="s">
        <v>2438</v>
      </c>
      <c r="B1214" s="5" t="e" cm="1">
        <f t="array" ref="B1214">MAX(#REF!,MIN(#REF!,#REF!+SUMPRODUCT(--(FoodData[[#This Row],[Healthy]:[Refined]]="Yes"),#REF!)+FoodData[[#This Row],[Adjust]]))</f>
        <v>#REF!</v>
      </c>
      <c r="C1214" s="1" t="e">
        <f>LOOKUP(FoodData[[#This Row],[Score]],#REF!,#REF!)</f>
        <v>#REF!</v>
      </c>
      <c r="D1214" t="s">
        <v>2406</v>
      </c>
      <c r="E1214" t="s">
        <v>63</v>
      </c>
      <c r="F1214" t="s">
        <v>22</v>
      </c>
      <c r="G1214" t="s">
        <v>23</v>
      </c>
      <c r="H1214" t="s">
        <v>727</v>
      </c>
      <c r="I1214" s="1" t="s">
        <v>25</v>
      </c>
      <c r="J1214" s="1" t="s">
        <v>25</v>
      </c>
      <c r="K1214" s="1" t="s">
        <v>26</v>
      </c>
      <c r="L1214" s="1" t="s">
        <v>25</v>
      </c>
      <c r="M1214" s="1" t="s">
        <v>26</v>
      </c>
      <c r="N1214" s="1" t="s">
        <v>25</v>
      </c>
      <c r="O1214" s="1" t="s">
        <v>25</v>
      </c>
      <c r="P1214" s="1" t="s">
        <v>25</v>
      </c>
      <c r="Q1214" s="1" t="s">
        <v>25</v>
      </c>
      <c r="R1214" s="1" t="s">
        <v>25</v>
      </c>
      <c r="S1214" s="2">
        <v>0</v>
      </c>
    </row>
    <row r="1215" spans="1:19" x14ac:dyDescent="0.3">
      <c r="A1215" t="s">
        <v>2439</v>
      </c>
      <c r="B1215" s="5" t="e" cm="1">
        <f t="array" ref="B1215">MAX(#REF!,MIN(#REF!,#REF!+SUMPRODUCT(--(FoodData[[#This Row],[Healthy]:[Refined]]="Yes"),#REF!)+FoodData[[#This Row],[Adjust]]))</f>
        <v>#REF!</v>
      </c>
      <c r="C1215" s="1" t="e">
        <f>LOOKUP(FoodData[[#This Row],[Score]],#REF!,#REF!)</f>
        <v>#REF!</v>
      </c>
      <c r="D1215" t="s">
        <v>2406</v>
      </c>
      <c r="E1215" t="s">
        <v>63</v>
      </c>
      <c r="F1215" t="s">
        <v>22</v>
      </c>
      <c r="G1215" t="s">
        <v>29</v>
      </c>
      <c r="H1215" t="s">
        <v>2440</v>
      </c>
      <c r="I1215" s="1" t="s">
        <v>26</v>
      </c>
      <c r="J1215" s="1" t="s">
        <v>26</v>
      </c>
      <c r="K1215" s="1" t="s">
        <v>25</v>
      </c>
      <c r="L1215" s="1" t="s">
        <v>25</v>
      </c>
      <c r="M1215" s="1" t="s">
        <v>25</v>
      </c>
      <c r="N1215" s="1" t="s">
        <v>25</v>
      </c>
      <c r="O1215" s="1" t="s">
        <v>25</v>
      </c>
      <c r="P1215" s="1" t="s">
        <v>25</v>
      </c>
      <c r="Q1215" s="1" t="s">
        <v>25</v>
      </c>
      <c r="R1215" s="1" t="s">
        <v>25</v>
      </c>
      <c r="S1215" s="2">
        <v>0</v>
      </c>
    </row>
    <row r="1216" spans="1:19" x14ac:dyDescent="0.3">
      <c r="A1216" t="s">
        <v>2441</v>
      </c>
      <c r="B1216" s="5" t="e" cm="1">
        <f t="array" ref="B1216">MAX(#REF!,MIN(#REF!,#REF!+SUMPRODUCT(--(FoodData[[#This Row],[Healthy]:[Refined]]="Yes"),#REF!)+FoodData[[#This Row],[Adjust]]))</f>
        <v>#REF!</v>
      </c>
      <c r="C1216" s="1" t="e">
        <f>LOOKUP(FoodData[[#This Row],[Score]],#REF!,#REF!)</f>
        <v>#REF!</v>
      </c>
      <c r="D1216" t="s">
        <v>2406</v>
      </c>
      <c r="E1216" t="s">
        <v>63</v>
      </c>
      <c r="F1216" t="s">
        <v>22</v>
      </c>
      <c r="G1216" t="s">
        <v>23</v>
      </c>
      <c r="H1216" t="s">
        <v>2442</v>
      </c>
      <c r="I1216" s="1" t="s">
        <v>25</v>
      </c>
      <c r="J1216" s="1" t="s">
        <v>25</v>
      </c>
      <c r="K1216" s="1" t="s">
        <v>26</v>
      </c>
      <c r="L1216" s="1" t="s">
        <v>25</v>
      </c>
      <c r="M1216" s="1" t="s">
        <v>26</v>
      </c>
      <c r="N1216" s="1" t="s">
        <v>25</v>
      </c>
      <c r="O1216" s="1" t="s">
        <v>25</v>
      </c>
      <c r="P1216" s="1" t="s">
        <v>25</v>
      </c>
      <c r="Q1216" s="1" t="s">
        <v>25</v>
      </c>
      <c r="R1216" s="1" t="s">
        <v>25</v>
      </c>
      <c r="S1216" s="2">
        <v>0</v>
      </c>
    </row>
    <row r="1217" spans="1:19" x14ac:dyDescent="0.3">
      <c r="A1217" t="s">
        <v>2443</v>
      </c>
      <c r="B1217" s="5" t="e" cm="1">
        <f t="array" ref="B1217">MAX(#REF!,MIN(#REF!,#REF!+SUMPRODUCT(--(FoodData[[#This Row],[Healthy]:[Refined]]="Yes"),#REF!)+FoodData[[#This Row],[Adjust]]))</f>
        <v>#REF!</v>
      </c>
      <c r="C1217" s="1" t="e">
        <f>LOOKUP(FoodData[[#This Row],[Score]],#REF!,#REF!)</f>
        <v>#REF!</v>
      </c>
      <c r="D1217" t="s">
        <v>2406</v>
      </c>
      <c r="E1217" t="s">
        <v>63</v>
      </c>
      <c r="F1217" t="s">
        <v>22</v>
      </c>
      <c r="G1217" t="s">
        <v>489</v>
      </c>
      <c r="H1217" t="s">
        <v>2444</v>
      </c>
      <c r="I1217" s="1" t="s">
        <v>26</v>
      </c>
      <c r="J1217" s="1" t="s">
        <v>26</v>
      </c>
      <c r="K1217" s="1" t="s">
        <v>25</v>
      </c>
      <c r="L1217" s="1" t="s">
        <v>25</v>
      </c>
      <c r="M1217" s="1" t="s">
        <v>25</v>
      </c>
      <c r="N1217" s="1" t="s">
        <v>25</v>
      </c>
      <c r="O1217" s="1" t="s">
        <v>25</v>
      </c>
      <c r="P1217" s="1" t="s">
        <v>25</v>
      </c>
      <c r="Q1217" s="1" t="s">
        <v>25</v>
      </c>
      <c r="R1217" s="1" t="s">
        <v>25</v>
      </c>
      <c r="S1217" s="2">
        <v>0</v>
      </c>
    </row>
    <row r="1218" spans="1:19" x14ac:dyDescent="0.3">
      <c r="A1218" t="s">
        <v>2445</v>
      </c>
      <c r="B1218" s="5" t="e" cm="1">
        <f t="array" ref="B1218">MAX(#REF!,MIN(#REF!,#REF!+SUMPRODUCT(--(FoodData[[#This Row],[Healthy]:[Refined]]="Yes"),#REF!)+FoodData[[#This Row],[Adjust]]))</f>
        <v>#REF!</v>
      </c>
      <c r="C1218" s="1" t="e">
        <f>LOOKUP(FoodData[[#This Row],[Score]],#REF!,#REF!)</f>
        <v>#REF!</v>
      </c>
      <c r="D1218" t="s">
        <v>2446</v>
      </c>
      <c r="E1218" t="s">
        <v>556</v>
      </c>
      <c r="F1218" t="s">
        <v>22</v>
      </c>
      <c r="G1218" t="s">
        <v>489</v>
      </c>
      <c r="H1218" t="s">
        <v>2447</v>
      </c>
      <c r="I1218" s="1" t="s">
        <v>25</v>
      </c>
      <c r="J1218" s="1" t="s">
        <v>25</v>
      </c>
      <c r="K1218" s="1" t="s">
        <v>25</v>
      </c>
      <c r="L1218" s="1" t="s">
        <v>25</v>
      </c>
      <c r="M1218" s="1" t="s">
        <v>26</v>
      </c>
      <c r="N1218" s="1" t="s">
        <v>25</v>
      </c>
      <c r="O1218" s="1" t="s">
        <v>26</v>
      </c>
      <c r="P1218" s="1" t="s">
        <v>25</v>
      </c>
      <c r="Q1218" s="1" t="s">
        <v>25</v>
      </c>
      <c r="R1218" s="1" t="s">
        <v>25</v>
      </c>
      <c r="S1218" s="2">
        <v>0</v>
      </c>
    </row>
    <row r="1219" spans="1:19" x14ac:dyDescent="0.3">
      <c r="A1219" t="s">
        <v>2448</v>
      </c>
      <c r="B1219" s="5" t="e" cm="1">
        <f t="array" ref="B1219">MAX(#REF!,MIN(#REF!,#REF!+SUMPRODUCT(--(FoodData[[#This Row],[Healthy]:[Refined]]="Yes"),#REF!)+FoodData[[#This Row],[Adjust]]))</f>
        <v>#REF!</v>
      </c>
      <c r="C1219" s="1" t="e">
        <f>LOOKUP(FoodData[[#This Row],[Score]],#REF!,#REF!)</f>
        <v>#REF!</v>
      </c>
      <c r="D1219" t="s">
        <v>2446</v>
      </c>
      <c r="E1219" t="s">
        <v>556</v>
      </c>
      <c r="F1219" t="s">
        <v>22</v>
      </c>
      <c r="G1219" t="s">
        <v>489</v>
      </c>
      <c r="H1219" t="s">
        <v>2449</v>
      </c>
      <c r="I1219" s="1" t="s">
        <v>25</v>
      </c>
      <c r="J1219" s="1" t="s">
        <v>25</v>
      </c>
      <c r="K1219" s="1" t="s">
        <v>25</v>
      </c>
      <c r="L1219" s="1" t="s">
        <v>26</v>
      </c>
      <c r="M1219" s="1" t="s">
        <v>26</v>
      </c>
      <c r="N1219" s="1" t="s">
        <v>26</v>
      </c>
      <c r="O1219" s="1" t="s">
        <v>26</v>
      </c>
      <c r="P1219" s="1" t="s">
        <v>26</v>
      </c>
      <c r="Q1219" s="1" t="s">
        <v>26</v>
      </c>
      <c r="R1219" s="1" t="s">
        <v>25</v>
      </c>
      <c r="S1219" s="2">
        <v>2</v>
      </c>
    </row>
    <row r="1220" spans="1:19" x14ac:dyDescent="0.3">
      <c r="A1220" t="s">
        <v>2450</v>
      </c>
      <c r="B1220" s="5" t="e" cm="1">
        <f t="array" ref="B1220">MAX(#REF!,MIN(#REF!,#REF!+SUMPRODUCT(--(FoodData[[#This Row],[Healthy]:[Refined]]="Yes"),#REF!)+FoodData[[#This Row],[Adjust]]))</f>
        <v>#REF!</v>
      </c>
      <c r="C1220" s="1" t="e">
        <f>LOOKUP(FoodData[[#This Row],[Score]],#REF!,#REF!)</f>
        <v>#REF!</v>
      </c>
      <c r="D1220" t="s">
        <v>2446</v>
      </c>
      <c r="E1220" t="s">
        <v>556</v>
      </c>
      <c r="F1220" t="s">
        <v>22</v>
      </c>
      <c r="G1220" t="s">
        <v>489</v>
      </c>
      <c r="H1220" t="s">
        <v>2451</v>
      </c>
      <c r="I1220" s="1" t="s">
        <v>25</v>
      </c>
      <c r="J1220" s="1" t="s">
        <v>25</v>
      </c>
      <c r="K1220" s="1" t="s">
        <v>26</v>
      </c>
      <c r="L1220" s="1" t="s">
        <v>25</v>
      </c>
      <c r="M1220" s="1" t="s">
        <v>26</v>
      </c>
      <c r="N1220" s="1" t="s">
        <v>25</v>
      </c>
      <c r="O1220" s="1" t="s">
        <v>25</v>
      </c>
      <c r="P1220" s="1" t="s">
        <v>25</v>
      </c>
      <c r="Q1220" s="1" t="s">
        <v>25</v>
      </c>
      <c r="R1220" s="1" t="s">
        <v>25</v>
      </c>
      <c r="S1220" s="2">
        <v>0</v>
      </c>
    </row>
    <row r="1221" spans="1:19" x14ac:dyDescent="0.3">
      <c r="A1221" t="s">
        <v>2452</v>
      </c>
      <c r="B1221" s="5" t="e" cm="1">
        <f t="array" ref="B1221">MAX(#REF!,MIN(#REF!,#REF!+SUMPRODUCT(--(FoodData[[#This Row],[Healthy]:[Refined]]="Yes"),#REF!)+FoodData[[#This Row],[Adjust]]))</f>
        <v>#REF!</v>
      </c>
      <c r="C1221" s="1" t="e">
        <f>LOOKUP(FoodData[[#This Row],[Score]],#REF!,#REF!)</f>
        <v>#REF!</v>
      </c>
      <c r="D1221" t="s">
        <v>2446</v>
      </c>
      <c r="E1221" t="s">
        <v>556</v>
      </c>
      <c r="F1221" t="s">
        <v>22</v>
      </c>
      <c r="G1221" t="s">
        <v>489</v>
      </c>
      <c r="H1221" t="s">
        <v>2453</v>
      </c>
      <c r="I1221" s="1" t="s">
        <v>25</v>
      </c>
      <c r="J1221" s="1" t="s">
        <v>25</v>
      </c>
      <c r="K1221" s="1" t="s">
        <v>25</v>
      </c>
      <c r="L1221" s="1" t="s">
        <v>25</v>
      </c>
      <c r="M1221" s="1" t="s">
        <v>26</v>
      </c>
      <c r="N1221" s="1" t="s">
        <v>25</v>
      </c>
      <c r="O1221" s="1" t="s">
        <v>25</v>
      </c>
      <c r="P1221" s="1" t="s">
        <v>25</v>
      </c>
      <c r="Q1221" s="1" t="s">
        <v>25</v>
      </c>
      <c r="R1221" s="1" t="s">
        <v>25</v>
      </c>
      <c r="S1221" s="2">
        <v>0</v>
      </c>
    </row>
    <row r="1222" spans="1:19" x14ac:dyDescent="0.3">
      <c r="A1222" t="s">
        <v>2454</v>
      </c>
      <c r="B1222" s="5" t="e" cm="1">
        <f t="array" ref="B1222">MAX(#REF!,MIN(#REF!,#REF!+SUMPRODUCT(--(FoodData[[#This Row],[Healthy]:[Refined]]="Yes"),#REF!)+FoodData[[#This Row],[Adjust]]))</f>
        <v>#REF!</v>
      </c>
      <c r="C1222" s="1" t="e">
        <f>LOOKUP(FoodData[[#This Row],[Score]],#REF!,#REF!)</f>
        <v>#REF!</v>
      </c>
      <c r="D1222" t="s">
        <v>2446</v>
      </c>
      <c r="E1222" t="s">
        <v>556</v>
      </c>
      <c r="F1222" t="s">
        <v>22</v>
      </c>
      <c r="G1222" t="s">
        <v>489</v>
      </c>
      <c r="H1222" t="s">
        <v>2455</v>
      </c>
      <c r="I1222" s="1" t="s">
        <v>25</v>
      </c>
      <c r="J1222" s="1" t="s">
        <v>25</v>
      </c>
      <c r="K1222" s="1" t="s">
        <v>25</v>
      </c>
      <c r="L1222" s="1" t="s">
        <v>25</v>
      </c>
      <c r="M1222" s="1" t="s">
        <v>26</v>
      </c>
      <c r="N1222" s="1" t="s">
        <v>25</v>
      </c>
      <c r="O1222" s="1" t="s">
        <v>25</v>
      </c>
      <c r="P1222" s="1" t="s">
        <v>26</v>
      </c>
      <c r="Q1222" s="1" t="s">
        <v>25</v>
      </c>
      <c r="R1222" s="1" t="s">
        <v>25</v>
      </c>
      <c r="S1222" s="2">
        <v>0</v>
      </c>
    </row>
    <row r="1223" spans="1:19" x14ac:dyDescent="0.3">
      <c r="A1223" t="s">
        <v>2456</v>
      </c>
      <c r="B1223" s="5" t="e" cm="1">
        <f t="array" ref="B1223">MAX(#REF!,MIN(#REF!,#REF!+SUMPRODUCT(--(FoodData[[#This Row],[Healthy]:[Refined]]="Yes"),#REF!)+FoodData[[#This Row],[Adjust]]))</f>
        <v>#REF!</v>
      </c>
      <c r="C1223" s="1" t="e">
        <f>LOOKUP(FoodData[[#This Row],[Score]],#REF!,#REF!)</f>
        <v>#REF!</v>
      </c>
      <c r="D1223" t="s">
        <v>2446</v>
      </c>
      <c r="E1223" t="s">
        <v>556</v>
      </c>
      <c r="F1223" t="s">
        <v>22</v>
      </c>
      <c r="G1223" t="s">
        <v>489</v>
      </c>
      <c r="H1223" t="s">
        <v>2457</v>
      </c>
      <c r="I1223" s="1" t="s">
        <v>26</v>
      </c>
      <c r="J1223" s="1" t="s">
        <v>25</v>
      </c>
      <c r="K1223" s="1" t="s">
        <v>25</v>
      </c>
      <c r="L1223" s="1" t="s">
        <v>25</v>
      </c>
      <c r="M1223" s="1" t="s">
        <v>26</v>
      </c>
      <c r="N1223" s="1" t="s">
        <v>25</v>
      </c>
      <c r="O1223" s="1" t="s">
        <v>25</v>
      </c>
      <c r="P1223" s="1" t="s">
        <v>25</v>
      </c>
      <c r="Q1223" s="1" t="s">
        <v>25</v>
      </c>
      <c r="R1223" s="1" t="s">
        <v>25</v>
      </c>
      <c r="S1223" s="2">
        <v>0</v>
      </c>
    </row>
    <row r="1224" spans="1:19" x14ac:dyDescent="0.3">
      <c r="A1224" t="s">
        <v>2458</v>
      </c>
      <c r="B1224" s="5" t="e" cm="1">
        <f t="array" ref="B1224">MAX(#REF!,MIN(#REF!,#REF!+SUMPRODUCT(--(FoodData[[#This Row],[Healthy]:[Refined]]="Yes"),#REF!)+FoodData[[#This Row],[Adjust]]))</f>
        <v>#REF!</v>
      </c>
      <c r="C1224" s="1" t="e">
        <f>LOOKUP(FoodData[[#This Row],[Score]],#REF!,#REF!)</f>
        <v>#REF!</v>
      </c>
      <c r="D1224" t="s">
        <v>2446</v>
      </c>
      <c r="E1224" t="s">
        <v>556</v>
      </c>
      <c r="F1224" t="s">
        <v>22</v>
      </c>
      <c r="G1224" t="s">
        <v>489</v>
      </c>
      <c r="H1224" t="s">
        <v>2459</v>
      </c>
      <c r="I1224" s="1" t="s">
        <v>25</v>
      </c>
      <c r="J1224" s="1" t="s">
        <v>25</v>
      </c>
      <c r="K1224" s="1" t="s">
        <v>25</v>
      </c>
      <c r="L1224" s="1" t="s">
        <v>25</v>
      </c>
      <c r="M1224" s="1" t="s">
        <v>26</v>
      </c>
      <c r="N1224" s="1" t="s">
        <v>25</v>
      </c>
      <c r="O1224" s="1" t="s">
        <v>26</v>
      </c>
      <c r="P1224" s="1" t="s">
        <v>26</v>
      </c>
      <c r="Q1224" s="1" t="s">
        <v>26</v>
      </c>
      <c r="R1224" s="1" t="s">
        <v>25</v>
      </c>
      <c r="S1224" s="2">
        <v>2</v>
      </c>
    </row>
    <row r="1225" spans="1:19" x14ac:dyDescent="0.3">
      <c r="A1225" t="s">
        <v>2460</v>
      </c>
      <c r="B1225" s="5" t="e" cm="1">
        <f t="array" ref="B1225">MAX(#REF!,MIN(#REF!,#REF!+SUMPRODUCT(--(FoodData[[#This Row],[Healthy]:[Refined]]="Yes"),#REF!)+FoodData[[#This Row],[Adjust]]))</f>
        <v>#REF!</v>
      </c>
      <c r="C1225" s="1" t="e">
        <f>LOOKUP(FoodData[[#This Row],[Score]],#REF!,#REF!)</f>
        <v>#REF!</v>
      </c>
      <c r="D1225" t="s">
        <v>2446</v>
      </c>
      <c r="E1225" t="s">
        <v>556</v>
      </c>
      <c r="F1225" t="s">
        <v>22</v>
      </c>
      <c r="G1225" t="s">
        <v>489</v>
      </c>
      <c r="H1225" t="s">
        <v>2461</v>
      </c>
      <c r="I1225" s="1" t="s">
        <v>25</v>
      </c>
      <c r="J1225" s="1" t="s">
        <v>25</v>
      </c>
      <c r="K1225" s="1" t="s">
        <v>25</v>
      </c>
      <c r="L1225" s="1" t="s">
        <v>25</v>
      </c>
      <c r="M1225" s="1" t="s">
        <v>26</v>
      </c>
      <c r="N1225" s="1" t="s">
        <v>25</v>
      </c>
      <c r="O1225" s="1" t="s">
        <v>26</v>
      </c>
      <c r="P1225" s="1" t="s">
        <v>25</v>
      </c>
      <c r="Q1225" s="1" t="s">
        <v>25</v>
      </c>
      <c r="R1225" s="1" t="s">
        <v>25</v>
      </c>
      <c r="S1225" s="2">
        <v>0</v>
      </c>
    </row>
    <row r="1226" spans="1:19" x14ac:dyDescent="0.3">
      <c r="A1226" t="s">
        <v>2462</v>
      </c>
      <c r="B1226" s="5" t="e" cm="1">
        <f t="array" ref="B1226">MAX(#REF!,MIN(#REF!,#REF!+SUMPRODUCT(--(FoodData[[#This Row],[Healthy]:[Refined]]="Yes"),#REF!)+FoodData[[#This Row],[Adjust]]))</f>
        <v>#REF!</v>
      </c>
      <c r="C1226" s="1" t="e">
        <f>LOOKUP(FoodData[[#This Row],[Score]],#REF!,#REF!)</f>
        <v>#REF!</v>
      </c>
      <c r="D1226" t="s">
        <v>2446</v>
      </c>
      <c r="E1226" t="s">
        <v>556</v>
      </c>
      <c r="F1226" t="s">
        <v>22</v>
      </c>
      <c r="G1226" t="s">
        <v>489</v>
      </c>
      <c r="H1226" t="s">
        <v>2463</v>
      </c>
      <c r="I1226" s="1" t="s">
        <v>25</v>
      </c>
      <c r="J1226" s="1" t="s">
        <v>25</v>
      </c>
      <c r="K1226" s="1" t="s">
        <v>25</v>
      </c>
      <c r="L1226" s="1" t="s">
        <v>26</v>
      </c>
      <c r="M1226" s="1" t="s">
        <v>26</v>
      </c>
      <c r="N1226" s="1" t="s">
        <v>25</v>
      </c>
      <c r="O1226" s="1" t="s">
        <v>26</v>
      </c>
      <c r="P1226" s="1" t="s">
        <v>25</v>
      </c>
      <c r="Q1226" s="1" t="s">
        <v>25</v>
      </c>
      <c r="R1226" s="1" t="s">
        <v>25</v>
      </c>
      <c r="S1226" s="2">
        <v>0</v>
      </c>
    </row>
    <row r="1227" spans="1:19" x14ac:dyDescent="0.3">
      <c r="A1227" t="s">
        <v>2464</v>
      </c>
      <c r="B1227" s="5" t="e" cm="1">
        <f t="array" ref="B1227">MAX(#REF!,MIN(#REF!,#REF!+SUMPRODUCT(--(FoodData[[#This Row],[Healthy]:[Refined]]="Yes"),#REF!)+FoodData[[#This Row],[Adjust]]))</f>
        <v>#REF!</v>
      </c>
      <c r="C1227" s="1" t="e">
        <f>LOOKUP(FoodData[[#This Row],[Score]],#REF!,#REF!)</f>
        <v>#REF!</v>
      </c>
      <c r="D1227" t="s">
        <v>2446</v>
      </c>
      <c r="E1227" t="s">
        <v>556</v>
      </c>
      <c r="F1227" t="s">
        <v>22</v>
      </c>
      <c r="G1227" t="s">
        <v>489</v>
      </c>
      <c r="H1227" t="s">
        <v>2465</v>
      </c>
      <c r="I1227" s="1" t="s">
        <v>25</v>
      </c>
      <c r="J1227" s="1" t="s">
        <v>25</v>
      </c>
      <c r="K1227" s="1" t="s">
        <v>25</v>
      </c>
      <c r="L1227" s="1" t="s">
        <v>25</v>
      </c>
      <c r="M1227" s="1" t="s">
        <v>26</v>
      </c>
      <c r="N1227" s="1" t="s">
        <v>25</v>
      </c>
      <c r="O1227" s="1" t="s">
        <v>26</v>
      </c>
      <c r="P1227" s="1" t="s">
        <v>25</v>
      </c>
      <c r="Q1227" s="1" t="s">
        <v>25</v>
      </c>
      <c r="R1227" s="1" t="s">
        <v>25</v>
      </c>
      <c r="S1227" s="2">
        <v>0</v>
      </c>
    </row>
    <row r="1228" spans="1:19" x14ac:dyDescent="0.3">
      <c r="A1228" t="s">
        <v>2466</v>
      </c>
      <c r="B1228" s="5" t="e" cm="1">
        <f t="array" ref="B1228">MAX(#REF!,MIN(#REF!,#REF!+SUMPRODUCT(--(FoodData[[#This Row],[Healthy]:[Refined]]="Yes"),#REF!)+FoodData[[#This Row],[Adjust]]))</f>
        <v>#REF!</v>
      </c>
      <c r="C1228" s="1" t="e">
        <f>LOOKUP(FoodData[[#This Row],[Score]],#REF!,#REF!)</f>
        <v>#REF!</v>
      </c>
      <c r="D1228" t="s">
        <v>2446</v>
      </c>
      <c r="E1228" t="s">
        <v>556</v>
      </c>
      <c r="F1228" t="s">
        <v>22</v>
      </c>
      <c r="G1228" t="s">
        <v>489</v>
      </c>
      <c r="H1228" t="s">
        <v>2467</v>
      </c>
      <c r="I1228" s="1" t="s">
        <v>25</v>
      </c>
      <c r="J1228" s="1" t="s">
        <v>25</v>
      </c>
      <c r="K1228" s="1" t="s">
        <v>26</v>
      </c>
      <c r="L1228" s="1" t="s">
        <v>25</v>
      </c>
      <c r="M1228" s="1" t="s">
        <v>26</v>
      </c>
      <c r="N1228" s="1" t="s">
        <v>26</v>
      </c>
      <c r="O1228" s="1" t="s">
        <v>25</v>
      </c>
      <c r="P1228" s="1" t="s">
        <v>26</v>
      </c>
      <c r="Q1228" s="1" t="s">
        <v>26</v>
      </c>
      <c r="R1228" s="1" t="s">
        <v>26</v>
      </c>
      <c r="S1228" s="2">
        <v>2</v>
      </c>
    </row>
    <row r="1229" spans="1:19" x14ac:dyDescent="0.3">
      <c r="A1229" t="s">
        <v>2468</v>
      </c>
      <c r="B1229" s="5" t="e" cm="1">
        <f t="array" ref="B1229">MAX(#REF!,MIN(#REF!,#REF!+SUMPRODUCT(--(FoodData[[#This Row],[Healthy]:[Refined]]="Yes"),#REF!)+FoodData[[#This Row],[Adjust]]))</f>
        <v>#REF!</v>
      </c>
      <c r="C1229" s="1" t="e">
        <f>LOOKUP(FoodData[[#This Row],[Score]],#REF!,#REF!)</f>
        <v>#REF!</v>
      </c>
      <c r="D1229" t="s">
        <v>2446</v>
      </c>
      <c r="E1229" t="s">
        <v>556</v>
      </c>
      <c r="F1229" t="s">
        <v>22</v>
      </c>
      <c r="G1229" t="s">
        <v>489</v>
      </c>
      <c r="H1229" t="s">
        <v>2469</v>
      </c>
      <c r="I1229" s="1" t="s">
        <v>25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25</v>
      </c>
      <c r="O1229" s="1" t="s">
        <v>25</v>
      </c>
      <c r="P1229" s="1" t="s">
        <v>26</v>
      </c>
      <c r="Q1229" s="1" t="s">
        <v>25</v>
      </c>
      <c r="R1229" s="1" t="s">
        <v>26</v>
      </c>
      <c r="S1229" s="2">
        <v>0</v>
      </c>
    </row>
    <row r="1230" spans="1:19" x14ac:dyDescent="0.3">
      <c r="A1230" t="s">
        <v>2470</v>
      </c>
      <c r="B1230" s="5" t="e" cm="1">
        <f t="array" ref="B1230">MAX(#REF!,MIN(#REF!,#REF!+SUMPRODUCT(--(FoodData[[#This Row],[Healthy]:[Refined]]="Yes"),#REF!)+FoodData[[#This Row],[Adjust]]))</f>
        <v>#REF!</v>
      </c>
      <c r="C1230" s="1" t="e">
        <f>LOOKUP(FoodData[[#This Row],[Score]],#REF!,#REF!)</f>
        <v>#REF!</v>
      </c>
      <c r="D1230" t="s">
        <v>2446</v>
      </c>
      <c r="E1230" t="s">
        <v>556</v>
      </c>
      <c r="F1230" t="s">
        <v>22</v>
      </c>
      <c r="G1230" t="s">
        <v>489</v>
      </c>
      <c r="H1230" t="s">
        <v>2471</v>
      </c>
      <c r="I1230" s="1" t="s">
        <v>25</v>
      </c>
      <c r="J1230" s="1" t="s">
        <v>25</v>
      </c>
      <c r="K1230" s="1" t="s">
        <v>26</v>
      </c>
      <c r="L1230" s="1" t="s">
        <v>25</v>
      </c>
      <c r="M1230" s="1" t="s">
        <v>26</v>
      </c>
      <c r="N1230" s="1" t="s">
        <v>25</v>
      </c>
      <c r="O1230" s="1" t="s">
        <v>26</v>
      </c>
      <c r="P1230" s="1" t="s">
        <v>25</v>
      </c>
      <c r="Q1230" s="1" t="s">
        <v>26</v>
      </c>
      <c r="R1230" s="1" t="s">
        <v>25</v>
      </c>
      <c r="S1230" s="2">
        <v>0</v>
      </c>
    </row>
    <row r="1231" spans="1:19" x14ac:dyDescent="0.3">
      <c r="A1231" t="s">
        <v>2472</v>
      </c>
      <c r="B1231" s="5" t="e" cm="1">
        <f t="array" ref="B1231">MAX(#REF!,MIN(#REF!,#REF!+SUMPRODUCT(--(FoodData[[#This Row],[Healthy]:[Refined]]="Yes"),#REF!)+FoodData[[#This Row],[Adjust]]))</f>
        <v>#REF!</v>
      </c>
      <c r="C1231" s="1" t="e">
        <f>LOOKUP(FoodData[[#This Row],[Score]],#REF!,#REF!)</f>
        <v>#REF!</v>
      </c>
      <c r="D1231" t="s">
        <v>2446</v>
      </c>
      <c r="E1231" t="s">
        <v>556</v>
      </c>
      <c r="F1231" t="s">
        <v>22</v>
      </c>
      <c r="G1231" t="s">
        <v>489</v>
      </c>
      <c r="H1231" t="s">
        <v>2473</v>
      </c>
      <c r="I1231" s="1" t="s">
        <v>25</v>
      </c>
      <c r="J1231" s="1" t="s">
        <v>25</v>
      </c>
      <c r="K1231" s="1" t="s">
        <v>26</v>
      </c>
      <c r="L1231" s="1" t="s">
        <v>26</v>
      </c>
      <c r="M1231" s="1" t="s">
        <v>26</v>
      </c>
      <c r="N1231" s="1" t="s">
        <v>25</v>
      </c>
      <c r="O1231" s="1" t="s">
        <v>25</v>
      </c>
      <c r="P1231" s="1" t="s">
        <v>25</v>
      </c>
      <c r="Q1231" s="1" t="s">
        <v>25</v>
      </c>
      <c r="R1231" s="1" t="s">
        <v>25</v>
      </c>
      <c r="S1231" s="2">
        <v>0</v>
      </c>
    </row>
    <row r="1232" spans="1:19" x14ac:dyDescent="0.3">
      <c r="A1232" t="s">
        <v>2474</v>
      </c>
      <c r="B1232" s="5" t="e" cm="1">
        <f t="array" ref="B1232">MAX(#REF!,MIN(#REF!,#REF!+SUMPRODUCT(--(FoodData[[#This Row],[Healthy]:[Refined]]="Yes"),#REF!)+FoodData[[#This Row],[Adjust]]))</f>
        <v>#REF!</v>
      </c>
      <c r="C1232" s="1" t="e">
        <f>LOOKUP(FoodData[[#This Row],[Score]],#REF!,#REF!)</f>
        <v>#REF!</v>
      </c>
      <c r="D1232" t="s">
        <v>2446</v>
      </c>
      <c r="E1232" t="s">
        <v>556</v>
      </c>
      <c r="F1232" t="s">
        <v>22</v>
      </c>
      <c r="G1232" t="s">
        <v>489</v>
      </c>
      <c r="H1232" t="s">
        <v>2475</v>
      </c>
      <c r="I1232" s="1" t="s">
        <v>25</v>
      </c>
      <c r="J1232" s="1" t="s">
        <v>25</v>
      </c>
      <c r="K1232" s="1" t="s">
        <v>25</v>
      </c>
      <c r="L1232" s="1" t="s">
        <v>25</v>
      </c>
      <c r="M1232" s="1" t="s">
        <v>26</v>
      </c>
      <c r="N1232" s="1" t="s">
        <v>25</v>
      </c>
      <c r="O1232" s="1" t="s">
        <v>26</v>
      </c>
      <c r="P1232" s="1" t="s">
        <v>25</v>
      </c>
      <c r="Q1232" s="1" t="s">
        <v>25</v>
      </c>
      <c r="R1232" s="1" t="s">
        <v>25</v>
      </c>
      <c r="S1232" s="2">
        <v>0</v>
      </c>
    </row>
    <row r="1233" spans="1:19" x14ac:dyDescent="0.3">
      <c r="A1233" t="s">
        <v>2476</v>
      </c>
      <c r="B1233" s="5" t="e" cm="1">
        <f t="array" ref="B1233">MAX(#REF!,MIN(#REF!,#REF!+SUMPRODUCT(--(FoodData[[#This Row],[Healthy]:[Refined]]="Yes"),#REF!)+FoodData[[#This Row],[Adjust]]))</f>
        <v>#REF!</v>
      </c>
      <c r="C1233" s="1" t="e">
        <f>LOOKUP(FoodData[[#This Row],[Score]],#REF!,#REF!)</f>
        <v>#REF!</v>
      </c>
      <c r="D1233" t="s">
        <v>2446</v>
      </c>
      <c r="E1233" t="s">
        <v>556</v>
      </c>
      <c r="F1233" t="s">
        <v>22</v>
      </c>
      <c r="G1233" t="s">
        <v>489</v>
      </c>
      <c r="H1233" t="s">
        <v>2477</v>
      </c>
      <c r="I1233" s="1" t="s">
        <v>25</v>
      </c>
      <c r="J1233" s="1" t="s">
        <v>25</v>
      </c>
      <c r="K1233" s="1" t="s">
        <v>26</v>
      </c>
      <c r="L1233" s="1" t="s">
        <v>25</v>
      </c>
      <c r="M1233" s="1" t="s">
        <v>25</v>
      </c>
      <c r="N1233" s="1" t="s">
        <v>25</v>
      </c>
      <c r="O1233" s="1" t="s">
        <v>26</v>
      </c>
      <c r="P1233" s="1" t="s">
        <v>25</v>
      </c>
      <c r="Q1233" s="1" t="s">
        <v>26</v>
      </c>
      <c r="R1233" s="1" t="s">
        <v>25</v>
      </c>
      <c r="S1233" s="2">
        <v>0</v>
      </c>
    </row>
    <row r="1234" spans="1:19" x14ac:dyDescent="0.3">
      <c r="A1234" t="s">
        <v>2478</v>
      </c>
      <c r="B1234" s="5" t="e" cm="1">
        <f t="array" ref="B1234">MAX(#REF!,MIN(#REF!,#REF!+SUMPRODUCT(--(FoodData[[#This Row],[Healthy]:[Refined]]="Yes"),#REF!)+FoodData[[#This Row],[Adjust]]))</f>
        <v>#REF!</v>
      </c>
      <c r="C1234" s="1" t="e">
        <f>LOOKUP(FoodData[[#This Row],[Score]],#REF!,#REF!)</f>
        <v>#REF!</v>
      </c>
      <c r="D1234" t="s">
        <v>2446</v>
      </c>
      <c r="E1234" t="s">
        <v>556</v>
      </c>
      <c r="F1234" t="s">
        <v>22</v>
      </c>
      <c r="G1234" t="s">
        <v>489</v>
      </c>
      <c r="H1234" t="s">
        <v>2479</v>
      </c>
      <c r="I1234" s="1" t="s">
        <v>25</v>
      </c>
      <c r="J1234" s="1" t="s">
        <v>25</v>
      </c>
      <c r="K1234" s="1" t="s">
        <v>25</v>
      </c>
      <c r="L1234" s="1" t="s">
        <v>25</v>
      </c>
      <c r="M1234" s="1" t="s">
        <v>26</v>
      </c>
      <c r="N1234" s="1" t="s">
        <v>25</v>
      </c>
      <c r="O1234" s="1" t="s">
        <v>26</v>
      </c>
      <c r="P1234" s="1" t="s">
        <v>25</v>
      </c>
      <c r="Q1234" s="1" t="s">
        <v>25</v>
      </c>
      <c r="R1234" s="1" t="s">
        <v>25</v>
      </c>
      <c r="S1234" s="2">
        <v>0</v>
      </c>
    </row>
    <row r="1235" spans="1:19" x14ac:dyDescent="0.3">
      <c r="A1235" t="s">
        <v>2480</v>
      </c>
      <c r="B1235" s="5" t="e" cm="1">
        <f t="array" ref="B1235">MAX(#REF!,MIN(#REF!,#REF!+SUMPRODUCT(--(FoodData[[#This Row],[Healthy]:[Refined]]="Yes"),#REF!)+FoodData[[#This Row],[Adjust]]))</f>
        <v>#REF!</v>
      </c>
      <c r="C1235" s="1" t="e">
        <f>LOOKUP(FoodData[[#This Row],[Score]],#REF!,#REF!)</f>
        <v>#REF!</v>
      </c>
      <c r="D1235" t="s">
        <v>2446</v>
      </c>
      <c r="E1235" t="s">
        <v>556</v>
      </c>
      <c r="F1235" t="s">
        <v>22</v>
      </c>
      <c r="G1235" t="s">
        <v>489</v>
      </c>
      <c r="H1235" t="s">
        <v>2481</v>
      </c>
      <c r="I1235" s="1" t="s">
        <v>25</v>
      </c>
      <c r="J1235" s="1" t="s">
        <v>25</v>
      </c>
      <c r="K1235" s="1" t="s">
        <v>25</v>
      </c>
      <c r="L1235" s="1" t="s">
        <v>25</v>
      </c>
      <c r="M1235" s="1" t="s">
        <v>26</v>
      </c>
      <c r="N1235" s="1" t="s">
        <v>25</v>
      </c>
      <c r="O1235" s="1" t="s">
        <v>26</v>
      </c>
      <c r="P1235" s="1" t="s">
        <v>25</v>
      </c>
      <c r="Q1235" s="1" t="s">
        <v>25</v>
      </c>
      <c r="R1235" s="1" t="s">
        <v>25</v>
      </c>
      <c r="S1235" s="2">
        <v>0</v>
      </c>
    </row>
    <row r="1236" spans="1:19" x14ac:dyDescent="0.3">
      <c r="A1236" t="s">
        <v>2482</v>
      </c>
      <c r="B1236" s="5" t="e" cm="1">
        <f t="array" ref="B1236">MAX(#REF!,MIN(#REF!,#REF!+SUMPRODUCT(--(FoodData[[#This Row],[Healthy]:[Refined]]="Yes"),#REF!)+FoodData[[#This Row],[Adjust]]))</f>
        <v>#REF!</v>
      </c>
      <c r="C1236" s="1" t="e">
        <f>LOOKUP(FoodData[[#This Row],[Score]],#REF!,#REF!)</f>
        <v>#REF!</v>
      </c>
      <c r="D1236" t="s">
        <v>2446</v>
      </c>
      <c r="E1236" t="s">
        <v>556</v>
      </c>
      <c r="F1236" t="s">
        <v>22</v>
      </c>
      <c r="G1236" t="s">
        <v>489</v>
      </c>
      <c r="H1236" t="s">
        <v>2481</v>
      </c>
      <c r="I1236" s="1" t="s">
        <v>25</v>
      </c>
      <c r="J1236" s="1" t="s">
        <v>25</v>
      </c>
      <c r="K1236" s="1" t="s">
        <v>25</v>
      </c>
      <c r="L1236" s="1" t="s">
        <v>25</v>
      </c>
      <c r="M1236" s="1" t="s">
        <v>26</v>
      </c>
      <c r="N1236" s="1" t="s">
        <v>25</v>
      </c>
      <c r="O1236" s="1" t="s">
        <v>26</v>
      </c>
      <c r="P1236" s="1" t="s">
        <v>25</v>
      </c>
      <c r="Q1236" s="1" t="s">
        <v>25</v>
      </c>
      <c r="R1236" s="1" t="s">
        <v>25</v>
      </c>
      <c r="S1236" s="2">
        <v>0</v>
      </c>
    </row>
    <row r="1237" spans="1:19" x14ac:dyDescent="0.3">
      <c r="A1237" t="s">
        <v>2483</v>
      </c>
      <c r="B1237" s="5" t="e" cm="1">
        <f t="array" ref="B1237">MAX(#REF!,MIN(#REF!,#REF!+SUMPRODUCT(--(FoodData[[#This Row],[Healthy]:[Refined]]="Yes"),#REF!)+FoodData[[#This Row],[Adjust]]))</f>
        <v>#REF!</v>
      </c>
      <c r="C1237" s="1" t="e">
        <f>LOOKUP(FoodData[[#This Row],[Score]],#REF!,#REF!)</f>
        <v>#REF!</v>
      </c>
      <c r="D1237" t="s">
        <v>2446</v>
      </c>
      <c r="E1237" t="s">
        <v>556</v>
      </c>
      <c r="F1237" t="s">
        <v>22</v>
      </c>
      <c r="G1237" t="s">
        <v>489</v>
      </c>
      <c r="H1237" t="s">
        <v>2481</v>
      </c>
      <c r="I1237" s="1" t="s">
        <v>25</v>
      </c>
      <c r="J1237" s="1" t="s">
        <v>25</v>
      </c>
      <c r="K1237" s="1" t="s">
        <v>26</v>
      </c>
      <c r="L1237" s="1" t="s">
        <v>25</v>
      </c>
      <c r="M1237" s="1" t="s">
        <v>26</v>
      </c>
      <c r="N1237" s="1" t="s">
        <v>25</v>
      </c>
      <c r="O1237" s="1" t="s">
        <v>26</v>
      </c>
      <c r="P1237" s="1" t="s">
        <v>26</v>
      </c>
      <c r="Q1237" s="1" t="s">
        <v>26</v>
      </c>
      <c r="R1237" s="1" t="s">
        <v>25</v>
      </c>
      <c r="S1237" s="2">
        <v>2</v>
      </c>
    </row>
    <row r="1238" spans="1:19" x14ac:dyDescent="0.3">
      <c r="A1238" t="s">
        <v>2484</v>
      </c>
      <c r="B1238" s="5" t="e" cm="1">
        <f t="array" ref="B1238">MAX(#REF!,MIN(#REF!,#REF!+SUMPRODUCT(--(FoodData[[#This Row],[Healthy]:[Refined]]="Yes"),#REF!)+FoodData[[#This Row],[Adjust]]))</f>
        <v>#REF!</v>
      </c>
      <c r="C1238" s="1" t="e">
        <f>LOOKUP(FoodData[[#This Row],[Score]],#REF!,#REF!)</f>
        <v>#REF!</v>
      </c>
      <c r="D1238" t="s">
        <v>2446</v>
      </c>
      <c r="E1238" t="s">
        <v>556</v>
      </c>
      <c r="F1238" t="s">
        <v>22</v>
      </c>
      <c r="G1238" t="s">
        <v>489</v>
      </c>
      <c r="H1238" t="s">
        <v>2485</v>
      </c>
      <c r="I1238" s="1" t="s">
        <v>25</v>
      </c>
      <c r="J1238" s="1" t="s">
        <v>25</v>
      </c>
      <c r="K1238" s="1" t="s">
        <v>25</v>
      </c>
      <c r="L1238" s="1" t="s">
        <v>25</v>
      </c>
      <c r="M1238" s="1" t="s">
        <v>26</v>
      </c>
      <c r="N1238" s="1" t="s">
        <v>25</v>
      </c>
      <c r="O1238" s="1" t="s">
        <v>25</v>
      </c>
      <c r="P1238" s="1" t="s">
        <v>26</v>
      </c>
      <c r="Q1238" s="1" t="s">
        <v>25</v>
      </c>
      <c r="R1238" s="1" t="s">
        <v>25</v>
      </c>
      <c r="S1238" s="2">
        <v>0</v>
      </c>
    </row>
    <row r="1239" spans="1:19" x14ac:dyDescent="0.3">
      <c r="A1239" t="s">
        <v>2486</v>
      </c>
      <c r="B1239" s="5" t="e" cm="1">
        <f t="array" ref="B1239">MAX(#REF!,MIN(#REF!,#REF!+SUMPRODUCT(--(FoodData[[#This Row],[Healthy]:[Refined]]="Yes"),#REF!)+FoodData[[#This Row],[Adjust]]))</f>
        <v>#REF!</v>
      </c>
      <c r="C1239" s="1" t="e">
        <f>LOOKUP(FoodData[[#This Row],[Score]],#REF!,#REF!)</f>
        <v>#REF!</v>
      </c>
      <c r="D1239" t="s">
        <v>2446</v>
      </c>
      <c r="E1239" t="s">
        <v>556</v>
      </c>
      <c r="F1239" t="s">
        <v>22</v>
      </c>
      <c r="G1239" t="s">
        <v>489</v>
      </c>
      <c r="H1239" t="s">
        <v>2487</v>
      </c>
      <c r="I1239" s="1" t="s">
        <v>25</v>
      </c>
      <c r="J1239" s="1" t="s">
        <v>25</v>
      </c>
      <c r="K1239" s="1" t="s">
        <v>25</v>
      </c>
      <c r="L1239" s="1" t="s">
        <v>25</v>
      </c>
      <c r="M1239" s="1" t="s">
        <v>26</v>
      </c>
      <c r="N1239" s="1" t="s">
        <v>25</v>
      </c>
      <c r="O1239" s="1" t="s">
        <v>26</v>
      </c>
      <c r="P1239" s="1" t="s">
        <v>25</v>
      </c>
      <c r="Q1239" s="1" t="s">
        <v>25</v>
      </c>
      <c r="R1239" s="1" t="s">
        <v>26</v>
      </c>
      <c r="S1239" s="2">
        <v>0</v>
      </c>
    </row>
    <row r="1240" spans="1:19" x14ac:dyDescent="0.3">
      <c r="A1240" t="s">
        <v>2488</v>
      </c>
      <c r="B1240" s="5" t="e" cm="1">
        <f t="array" ref="B1240">MAX(#REF!,MIN(#REF!,#REF!+SUMPRODUCT(--(FoodData[[#This Row],[Healthy]:[Refined]]="Yes"),#REF!)+FoodData[[#This Row],[Adjust]]))</f>
        <v>#REF!</v>
      </c>
      <c r="C1240" s="1" t="e">
        <f>LOOKUP(FoodData[[#This Row],[Score]],#REF!,#REF!)</f>
        <v>#REF!</v>
      </c>
      <c r="D1240" t="s">
        <v>2446</v>
      </c>
      <c r="E1240" t="s">
        <v>556</v>
      </c>
      <c r="F1240" t="s">
        <v>22</v>
      </c>
      <c r="G1240" t="s">
        <v>489</v>
      </c>
      <c r="H1240" t="s">
        <v>2489</v>
      </c>
      <c r="I1240" s="1" t="s">
        <v>25</v>
      </c>
      <c r="J1240" s="1" t="s">
        <v>25</v>
      </c>
      <c r="K1240" s="1" t="s">
        <v>25</v>
      </c>
      <c r="L1240" s="1" t="s">
        <v>25</v>
      </c>
      <c r="M1240" s="1" t="s">
        <v>26</v>
      </c>
      <c r="N1240" s="1" t="s">
        <v>25</v>
      </c>
      <c r="O1240" s="1" t="s">
        <v>26</v>
      </c>
      <c r="P1240" s="1" t="s">
        <v>25</v>
      </c>
      <c r="Q1240" s="1" t="s">
        <v>26</v>
      </c>
      <c r="R1240" s="1" t="s">
        <v>25</v>
      </c>
      <c r="S1240" s="2">
        <v>0</v>
      </c>
    </row>
    <row r="1241" spans="1:19" x14ac:dyDescent="0.3">
      <c r="A1241" t="s">
        <v>2490</v>
      </c>
      <c r="B1241" s="5" t="e" cm="1">
        <f t="array" ref="B1241">MAX(#REF!,MIN(#REF!,#REF!+SUMPRODUCT(--(FoodData[[#This Row],[Healthy]:[Refined]]="Yes"),#REF!)+FoodData[[#This Row],[Adjust]]))</f>
        <v>#REF!</v>
      </c>
      <c r="C1241" s="1" t="e">
        <f>LOOKUP(FoodData[[#This Row],[Score]],#REF!,#REF!)</f>
        <v>#REF!</v>
      </c>
      <c r="D1241" t="s">
        <v>2446</v>
      </c>
      <c r="E1241" t="s">
        <v>556</v>
      </c>
      <c r="F1241" t="s">
        <v>60</v>
      </c>
      <c r="G1241" t="s">
        <v>489</v>
      </c>
      <c r="H1241" t="s">
        <v>2491</v>
      </c>
      <c r="I1241" s="1" t="s">
        <v>25</v>
      </c>
      <c r="J1241" s="1" t="s">
        <v>25</v>
      </c>
      <c r="K1241" s="1" t="s">
        <v>26</v>
      </c>
      <c r="L1241" s="1" t="s">
        <v>25</v>
      </c>
      <c r="M1241" s="1" t="s">
        <v>26</v>
      </c>
      <c r="N1241" s="1" t="s">
        <v>25</v>
      </c>
      <c r="O1241" s="1" t="s">
        <v>26</v>
      </c>
      <c r="P1241" s="1" t="s">
        <v>25</v>
      </c>
      <c r="Q1241" s="1" t="s">
        <v>26</v>
      </c>
      <c r="R1241" s="1" t="s">
        <v>26</v>
      </c>
      <c r="S1241" s="2">
        <v>0</v>
      </c>
    </row>
    <row r="1242" spans="1:19" x14ac:dyDescent="0.3">
      <c r="A1242" t="s">
        <v>2492</v>
      </c>
      <c r="B1242" s="5" t="e" cm="1">
        <f t="array" ref="B1242">MAX(#REF!,MIN(#REF!,#REF!+SUMPRODUCT(--(FoodData[[#This Row],[Healthy]:[Refined]]="Yes"),#REF!)+FoodData[[#This Row],[Adjust]]))</f>
        <v>#REF!</v>
      </c>
      <c r="C1242" s="1" t="e">
        <f>LOOKUP(FoodData[[#This Row],[Score]],#REF!,#REF!)</f>
        <v>#REF!</v>
      </c>
      <c r="D1242" t="s">
        <v>2446</v>
      </c>
      <c r="E1242" t="s">
        <v>556</v>
      </c>
      <c r="F1242" t="s">
        <v>60</v>
      </c>
      <c r="G1242" t="s">
        <v>489</v>
      </c>
      <c r="H1242" t="s">
        <v>2493</v>
      </c>
      <c r="I1242" s="1" t="s">
        <v>25</v>
      </c>
      <c r="J1242" s="1" t="s">
        <v>25</v>
      </c>
      <c r="K1242" s="1" t="s">
        <v>26</v>
      </c>
      <c r="L1242" s="1" t="s">
        <v>25</v>
      </c>
      <c r="M1242" s="1" t="s">
        <v>26</v>
      </c>
      <c r="N1242" s="1" t="s">
        <v>25</v>
      </c>
      <c r="O1242" s="1" t="s">
        <v>25</v>
      </c>
      <c r="P1242" s="1" t="s">
        <v>25</v>
      </c>
      <c r="Q1242" s="1" t="s">
        <v>25</v>
      </c>
      <c r="R1242" s="1" t="s">
        <v>25</v>
      </c>
      <c r="S1242" s="2">
        <v>0</v>
      </c>
    </row>
    <row r="1243" spans="1:19" x14ac:dyDescent="0.3">
      <c r="A1243" t="s">
        <v>2494</v>
      </c>
      <c r="B1243" s="5" t="e" cm="1">
        <f t="array" ref="B1243">MAX(#REF!,MIN(#REF!,#REF!+SUMPRODUCT(--(FoodData[[#This Row],[Healthy]:[Refined]]="Yes"),#REF!)+FoodData[[#This Row],[Adjust]]))</f>
        <v>#REF!</v>
      </c>
      <c r="C1243" s="1" t="e">
        <f>LOOKUP(FoodData[[#This Row],[Score]],#REF!,#REF!)</f>
        <v>#REF!</v>
      </c>
      <c r="D1243" t="s">
        <v>2446</v>
      </c>
      <c r="E1243" t="s">
        <v>556</v>
      </c>
      <c r="F1243" t="s">
        <v>22</v>
      </c>
      <c r="G1243" t="s">
        <v>489</v>
      </c>
      <c r="H1243" t="s">
        <v>2495</v>
      </c>
      <c r="I1243" s="1" t="s">
        <v>25</v>
      </c>
      <c r="J1243" s="1" t="s">
        <v>25</v>
      </c>
      <c r="K1243" s="1" t="s">
        <v>25</v>
      </c>
      <c r="L1243" s="1" t="s">
        <v>25</v>
      </c>
      <c r="M1243" s="1" t="s">
        <v>26</v>
      </c>
      <c r="N1243" s="1" t="s">
        <v>25</v>
      </c>
      <c r="O1243" s="1" t="s">
        <v>25</v>
      </c>
      <c r="P1243" s="1" t="s">
        <v>25</v>
      </c>
      <c r="Q1243" s="1" t="s">
        <v>25</v>
      </c>
      <c r="R1243" s="1" t="s">
        <v>25</v>
      </c>
      <c r="S1243" s="2">
        <v>0</v>
      </c>
    </row>
    <row r="1244" spans="1:19" x14ac:dyDescent="0.3">
      <c r="A1244" t="s">
        <v>2496</v>
      </c>
      <c r="B1244" s="5" t="e" cm="1">
        <f t="array" ref="B1244">MAX(#REF!,MIN(#REF!,#REF!+SUMPRODUCT(--(FoodData[[#This Row],[Healthy]:[Refined]]="Yes"),#REF!)+FoodData[[#This Row],[Adjust]]))</f>
        <v>#REF!</v>
      </c>
      <c r="C1244" s="1" t="e">
        <f>LOOKUP(FoodData[[#This Row],[Score]],#REF!,#REF!)</f>
        <v>#REF!</v>
      </c>
      <c r="D1244" t="s">
        <v>2446</v>
      </c>
      <c r="E1244" t="s">
        <v>556</v>
      </c>
      <c r="F1244" t="s">
        <v>22</v>
      </c>
      <c r="G1244" t="s">
        <v>489</v>
      </c>
      <c r="H1244" t="s">
        <v>2497</v>
      </c>
      <c r="I1244" s="1" t="s">
        <v>25</v>
      </c>
      <c r="J1244" s="1" t="s">
        <v>25</v>
      </c>
      <c r="K1244" s="1" t="s">
        <v>26</v>
      </c>
      <c r="L1244" s="1" t="s">
        <v>25</v>
      </c>
      <c r="M1244" s="1" t="s">
        <v>26</v>
      </c>
      <c r="N1244" s="1" t="s">
        <v>25</v>
      </c>
      <c r="O1244" s="1" t="s">
        <v>25</v>
      </c>
      <c r="P1244" s="1" t="s">
        <v>25</v>
      </c>
      <c r="Q1244" s="1" t="s">
        <v>25</v>
      </c>
      <c r="R1244" s="1" t="s">
        <v>25</v>
      </c>
      <c r="S1244" s="2">
        <v>0</v>
      </c>
    </row>
    <row r="1245" spans="1:19" x14ac:dyDescent="0.3">
      <c r="A1245" t="s">
        <v>2498</v>
      </c>
      <c r="B1245" s="5" t="e" cm="1">
        <f t="array" ref="B1245">MAX(#REF!,MIN(#REF!,#REF!+SUMPRODUCT(--(FoodData[[#This Row],[Healthy]:[Refined]]="Yes"),#REF!)+FoodData[[#This Row],[Adjust]]))</f>
        <v>#REF!</v>
      </c>
      <c r="C1245" s="1" t="e">
        <f>LOOKUP(FoodData[[#This Row],[Score]],#REF!,#REF!)</f>
        <v>#REF!</v>
      </c>
      <c r="D1245" t="s">
        <v>2446</v>
      </c>
      <c r="E1245" t="s">
        <v>556</v>
      </c>
      <c r="F1245" t="s">
        <v>22</v>
      </c>
      <c r="G1245" t="s">
        <v>489</v>
      </c>
      <c r="H1245" t="s">
        <v>2499</v>
      </c>
      <c r="I1245" s="1" t="s">
        <v>25</v>
      </c>
      <c r="J1245" s="1" t="s">
        <v>25</v>
      </c>
      <c r="K1245" s="1" t="s">
        <v>25</v>
      </c>
      <c r="L1245" s="1" t="s">
        <v>25</v>
      </c>
      <c r="M1245" s="1" t="s">
        <v>26</v>
      </c>
      <c r="N1245" s="1" t="s">
        <v>25</v>
      </c>
      <c r="O1245" s="1" t="s">
        <v>25</v>
      </c>
      <c r="P1245" s="1" t="s">
        <v>25</v>
      </c>
      <c r="Q1245" s="1" t="s">
        <v>25</v>
      </c>
      <c r="R1245" s="1" t="s">
        <v>25</v>
      </c>
      <c r="S1245" s="2">
        <v>0</v>
      </c>
    </row>
    <row r="1246" spans="1:19" x14ac:dyDescent="0.3">
      <c r="A1246" t="s">
        <v>2500</v>
      </c>
      <c r="B1246" s="5" t="e" cm="1">
        <f t="array" ref="B1246">MAX(#REF!,MIN(#REF!,#REF!+SUMPRODUCT(--(FoodData[[#This Row],[Healthy]:[Refined]]="Yes"),#REF!)+FoodData[[#This Row],[Adjust]]))</f>
        <v>#REF!</v>
      </c>
      <c r="C1246" s="1" t="e">
        <f>LOOKUP(FoodData[[#This Row],[Score]],#REF!,#REF!)</f>
        <v>#REF!</v>
      </c>
      <c r="D1246" t="s">
        <v>2446</v>
      </c>
      <c r="E1246" t="s">
        <v>556</v>
      </c>
      <c r="F1246" t="s">
        <v>22</v>
      </c>
      <c r="G1246" t="s">
        <v>489</v>
      </c>
      <c r="H1246" t="s">
        <v>2501</v>
      </c>
      <c r="I1246" s="1" t="s">
        <v>25</v>
      </c>
      <c r="J1246" s="1" t="s">
        <v>25</v>
      </c>
      <c r="K1246" s="1" t="s">
        <v>26</v>
      </c>
      <c r="L1246" s="1" t="s">
        <v>25</v>
      </c>
      <c r="M1246" s="1" t="s">
        <v>25</v>
      </c>
      <c r="N1246" s="1" t="s">
        <v>25</v>
      </c>
      <c r="O1246" s="1" t="s">
        <v>25</v>
      </c>
      <c r="P1246" s="1" t="s">
        <v>25</v>
      </c>
      <c r="Q1246" s="1" t="s">
        <v>25</v>
      </c>
      <c r="R1246" s="1" t="s">
        <v>25</v>
      </c>
      <c r="S1246" s="2">
        <v>0</v>
      </c>
    </row>
    <row r="1247" spans="1:19" x14ac:dyDescent="0.3">
      <c r="A1247" t="s">
        <v>2502</v>
      </c>
      <c r="B1247" s="5" t="e" cm="1">
        <f t="array" ref="B1247">MAX(#REF!,MIN(#REF!,#REF!+SUMPRODUCT(--(FoodData[[#This Row],[Healthy]:[Refined]]="Yes"),#REF!)+FoodData[[#This Row],[Adjust]]))</f>
        <v>#REF!</v>
      </c>
      <c r="C1247" s="1" t="e">
        <f>LOOKUP(FoodData[[#This Row],[Score]],#REF!,#REF!)</f>
        <v>#REF!</v>
      </c>
      <c r="D1247" t="s">
        <v>2446</v>
      </c>
      <c r="E1247" t="s">
        <v>556</v>
      </c>
      <c r="F1247" t="s">
        <v>22</v>
      </c>
      <c r="G1247" t="s">
        <v>489</v>
      </c>
      <c r="H1247" t="s">
        <v>2503</v>
      </c>
      <c r="I1247" s="1" t="s">
        <v>25</v>
      </c>
      <c r="J1247" s="1" t="s">
        <v>25</v>
      </c>
      <c r="K1247" s="1" t="s">
        <v>26</v>
      </c>
      <c r="L1247" s="1" t="s">
        <v>25</v>
      </c>
      <c r="M1247" s="1" t="s">
        <v>26</v>
      </c>
      <c r="N1247" s="1" t="s">
        <v>25</v>
      </c>
      <c r="O1247" s="1" t="s">
        <v>26</v>
      </c>
      <c r="P1247" s="1" t="s">
        <v>26</v>
      </c>
      <c r="Q1247" s="1" t="s">
        <v>26</v>
      </c>
      <c r="R1247" s="1" t="s">
        <v>25</v>
      </c>
      <c r="S1247" s="2">
        <v>2</v>
      </c>
    </row>
    <row r="1248" spans="1:19" x14ac:dyDescent="0.3">
      <c r="A1248" t="s">
        <v>2504</v>
      </c>
      <c r="B1248" s="5" t="e" cm="1">
        <f t="array" ref="B1248">MAX(#REF!,MIN(#REF!,#REF!+SUMPRODUCT(--(FoodData[[#This Row],[Healthy]:[Refined]]="Yes"),#REF!)+FoodData[[#This Row],[Adjust]]))</f>
        <v>#REF!</v>
      </c>
      <c r="C1248" s="1" t="e">
        <f>LOOKUP(FoodData[[#This Row],[Score]],#REF!,#REF!)</f>
        <v>#REF!</v>
      </c>
      <c r="D1248" t="s">
        <v>2446</v>
      </c>
      <c r="E1248" t="s">
        <v>556</v>
      </c>
      <c r="F1248" t="s">
        <v>22</v>
      </c>
      <c r="G1248" t="s">
        <v>489</v>
      </c>
      <c r="H1248" t="s">
        <v>2505</v>
      </c>
      <c r="I1248" s="1" t="s">
        <v>25</v>
      </c>
      <c r="J1248" s="1" t="s">
        <v>25</v>
      </c>
      <c r="K1248" s="1" t="s">
        <v>26</v>
      </c>
      <c r="L1248" s="1" t="s">
        <v>25</v>
      </c>
      <c r="M1248" s="1" t="s">
        <v>26</v>
      </c>
      <c r="N1248" s="1" t="s">
        <v>25</v>
      </c>
      <c r="O1248" s="1" t="s">
        <v>25</v>
      </c>
      <c r="P1248" s="1" t="s">
        <v>25</v>
      </c>
      <c r="Q1248" s="1" t="s">
        <v>25</v>
      </c>
      <c r="R1248" s="1" t="s">
        <v>25</v>
      </c>
      <c r="S1248" s="2">
        <v>0</v>
      </c>
    </row>
    <row r="1249" spans="1:19" x14ac:dyDescent="0.3">
      <c r="A1249" t="s">
        <v>2506</v>
      </c>
      <c r="B1249" s="5" t="e" cm="1">
        <f t="array" ref="B1249">MAX(#REF!,MIN(#REF!,#REF!+SUMPRODUCT(--(FoodData[[#This Row],[Healthy]:[Refined]]="Yes"),#REF!)+FoodData[[#This Row],[Adjust]]))</f>
        <v>#REF!</v>
      </c>
      <c r="C1249" s="1" t="e">
        <f>LOOKUP(FoodData[[#This Row],[Score]],#REF!,#REF!)</f>
        <v>#REF!</v>
      </c>
      <c r="D1249" t="s">
        <v>2446</v>
      </c>
      <c r="E1249" t="s">
        <v>556</v>
      </c>
      <c r="F1249" t="s">
        <v>22</v>
      </c>
      <c r="G1249" t="s">
        <v>489</v>
      </c>
      <c r="H1249" t="s">
        <v>2507</v>
      </c>
      <c r="I1249" s="1" t="s">
        <v>25</v>
      </c>
      <c r="J1249" s="1" t="s">
        <v>25</v>
      </c>
      <c r="K1249" s="1" t="s">
        <v>26</v>
      </c>
      <c r="L1249" s="1" t="s">
        <v>25</v>
      </c>
      <c r="M1249" s="1" t="s">
        <v>26</v>
      </c>
      <c r="N1249" s="1" t="s">
        <v>25</v>
      </c>
      <c r="O1249" s="1" t="s">
        <v>25</v>
      </c>
      <c r="P1249" s="1" t="s">
        <v>25</v>
      </c>
      <c r="Q1249" s="1" t="s">
        <v>25</v>
      </c>
      <c r="R1249" s="1" t="s">
        <v>25</v>
      </c>
      <c r="S1249" s="2">
        <v>0</v>
      </c>
    </row>
    <row r="1250" spans="1:19" x14ac:dyDescent="0.3">
      <c r="A1250" t="s">
        <v>2508</v>
      </c>
      <c r="B1250" s="5" t="e" cm="1">
        <f t="array" ref="B1250">MAX(#REF!,MIN(#REF!,#REF!+SUMPRODUCT(--(FoodData[[#This Row],[Healthy]:[Refined]]="Yes"),#REF!)+FoodData[[#This Row],[Adjust]]))</f>
        <v>#REF!</v>
      </c>
      <c r="C1250" s="1" t="e">
        <f>LOOKUP(FoodData[[#This Row],[Score]],#REF!,#REF!)</f>
        <v>#REF!</v>
      </c>
      <c r="D1250" t="s">
        <v>2446</v>
      </c>
      <c r="E1250" t="s">
        <v>556</v>
      </c>
      <c r="F1250" t="s">
        <v>22</v>
      </c>
      <c r="G1250" t="s">
        <v>489</v>
      </c>
      <c r="H1250" t="s">
        <v>2054</v>
      </c>
      <c r="I1250" s="1" t="s">
        <v>25</v>
      </c>
      <c r="J1250" s="1" t="s">
        <v>25</v>
      </c>
      <c r="K1250" s="1" t="s">
        <v>26</v>
      </c>
      <c r="L1250" s="1" t="s">
        <v>26</v>
      </c>
      <c r="M1250" s="1" t="s">
        <v>26</v>
      </c>
      <c r="N1250" s="1" t="s">
        <v>25</v>
      </c>
      <c r="O1250" s="1" t="s">
        <v>25</v>
      </c>
      <c r="P1250" s="1" t="s">
        <v>25</v>
      </c>
      <c r="Q1250" s="1" t="s">
        <v>25</v>
      </c>
      <c r="R1250" s="1" t="s">
        <v>25</v>
      </c>
      <c r="S1250" s="2">
        <v>0</v>
      </c>
    </row>
    <row r="1251" spans="1:19" x14ac:dyDescent="0.3">
      <c r="A1251" t="s">
        <v>2509</v>
      </c>
      <c r="B1251" s="5" t="e" cm="1">
        <f t="array" ref="B1251">MAX(#REF!,MIN(#REF!,#REF!+SUMPRODUCT(--(FoodData[[#This Row],[Healthy]:[Refined]]="Yes"),#REF!)+FoodData[[#This Row],[Adjust]]))</f>
        <v>#REF!</v>
      </c>
      <c r="C1251" s="1" t="e">
        <f>LOOKUP(FoodData[[#This Row],[Score]],#REF!,#REF!)</f>
        <v>#REF!</v>
      </c>
      <c r="D1251" t="s">
        <v>2446</v>
      </c>
      <c r="E1251" t="s">
        <v>556</v>
      </c>
      <c r="F1251" t="s">
        <v>22</v>
      </c>
      <c r="G1251" t="s">
        <v>489</v>
      </c>
      <c r="H1251" t="s">
        <v>2510</v>
      </c>
      <c r="I1251" s="1" t="s">
        <v>25</v>
      </c>
      <c r="J1251" s="1" t="s">
        <v>25</v>
      </c>
      <c r="K1251" s="1" t="s">
        <v>26</v>
      </c>
      <c r="L1251" s="1" t="s">
        <v>25</v>
      </c>
      <c r="M1251" s="1" t="s">
        <v>26</v>
      </c>
      <c r="N1251" s="1" t="s">
        <v>25</v>
      </c>
      <c r="O1251" s="1" t="s">
        <v>25</v>
      </c>
      <c r="P1251" s="1" t="s">
        <v>25</v>
      </c>
      <c r="Q1251" s="1" t="s">
        <v>25</v>
      </c>
      <c r="R1251" s="1" t="s">
        <v>25</v>
      </c>
      <c r="S1251" s="2">
        <v>0</v>
      </c>
    </row>
    <row r="1252" spans="1:19" x14ac:dyDescent="0.3">
      <c r="A1252" t="s">
        <v>2511</v>
      </c>
      <c r="B1252" s="5" t="e" cm="1">
        <f t="array" ref="B1252">MAX(#REF!,MIN(#REF!,#REF!+SUMPRODUCT(--(FoodData[[#This Row],[Healthy]:[Refined]]="Yes"),#REF!)+FoodData[[#This Row],[Adjust]]))</f>
        <v>#REF!</v>
      </c>
      <c r="C1252" s="1" t="e">
        <f>LOOKUP(FoodData[[#This Row],[Score]],#REF!,#REF!)</f>
        <v>#REF!</v>
      </c>
      <c r="D1252" t="s">
        <v>2446</v>
      </c>
      <c r="E1252" t="s">
        <v>556</v>
      </c>
      <c r="F1252" t="s">
        <v>22</v>
      </c>
      <c r="G1252" t="s">
        <v>489</v>
      </c>
      <c r="H1252" t="s">
        <v>2512</v>
      </c>
      <c r="I1252" s="1" t="s">
        <v>25</v>
      </c>
      <c r="J1252" s="1" t="s">
        <v>25</v>
      </c>
      <c r="K1252" s="1" t="s">
        <v>26</v>
      </c>
      <c r="L1252" s="1" t="s">
        <v>25</v>
      </c>
      <c r="M1252" s="1" t="s">
        <v>26</v>
      </c>
      <c r="N1252" s="1" t="s">
        <v>25</v>
      </c>
      <c r="O1252" s="1" t="s">
        <v>26</v>
      </c>
      <c r="P1252" s="1" t="s">
        <v>25</v>
      </c>
      <c r="Q1252" s="1" t="s">
        <v>26</v>
      </c>
      <c r="R1252" s="1" t="s">
        <v>25</v>
      </c>
      <c r="S1252" s="2">
        <v>0</v>
      </c>
    </row>
    <row r="1253" spans="1:19" x14ac:dyDescent="0.3">
      <c r="A1253" t="s">
        <v>2513</v>
      </c>
      <c r="B1253" s="5" t="e" cm="1">
        <f t="array" ref="B1253">MAX(#REF!,MIN(#REF!,#REF!+SUMPRODUCT(--(FoodData[[#This Row],[Healthy]:[Refined]]="Yes"),#REF!)+FoodData[[#This Row],[Adjust]]))</f>
        <v>#REF!</v>
      </c>
      <c r="C1253" s="1" t="e">
        <f>LOOKUP(FoodData[[#This Row],[Score]],#REF!,#REF!)</f>
        <v>#REF!</v>
      </c>
      <c r="D1253" t="s">
        <v>2446</v>
      </c>
      <c r="E1253" t="s">
        <v>556</v>
      </c>
      <c r="F1253" t="s">
        <v>22</v>
      </c>
      <c r="G1253" t="s">
        <v>489</v>
      </c>
      <c r="H1253" t="s">
        <v>2514</v>
      </c>
      <c r="I1253" s="1" t="s">
        <v>25</v>
      </c>
      <c r="J1253" s="1" t="s">
        <v>25</v>
      </c>
      <c r="K1253" s="1" t="s">
        <v>25</v>
      </c>
      <c r="L1253" s="1" t="s">
        <v>25</v>
      </c>
      <c r="M1253" s="1" t="s">
        <v>26</v>
      </c>
      <c r="N1253" s="1" t="s">
        <v>25</v>
      </c>
      <c r="O1253" s="1" t="s">
        <v>25</v>
      </c>
      <c r="P1253" s="1" t="s">
        <v>25</v>
      </c>
      <c r="Q1253" s="1" t="s">
        <v>26</v>
      </c>
      <c r="R1253" s="1" t="s">
        <v>25</v>
      </c>
      <c r="S1253" s="2">
        <v>0</v>
      </c>
    </row>
    <row r="1254" spans="1:19" x14ac:dyDescent="0.3">
      <c r="A1254" t="s">
        <v>2515</v>
      </c>
      <c r="B1254" s="5" t="e" cm="1">
        <f t="array" ref="B1254">MAX(#REF!,MIN(#REF!,#REF!+SUMPRODUCT(--(FoodData[[#This Row],[Healthy]:[Refined]]="Yes"),#REF!)+FoodData[[#This Row],[Adjust]]))</f>
        <v>#REF!</v>
      </c>
      <c r="C1254" s="1" t="e">
        <f>LOOKUP(FoodData[[#This Row],[Score]],#REF!,#REF!)</f>
        <v>#REF!</v>
      </c>
      <c r="D1254" t="s">
        <v>2446</v>
      </c>
      <c r="E1254" t="s">
        <v>556</v>
      </c>
      <c r="F1254" t="s">
        <v>22</v>
      </c>
      <c r="G1254" t="s">
        <v>489</v>
      </c>
      <c r="H1254" t="s">
        <v>2516</v>
      </c>
      <c r="I1254" s="1" t="s">
        <v>25</v>
      </c>
      <c r="J1254" s="1" t="s">
        <v>25</v>
      </c>
      <c r="K1254" s="1" t="s">
        <v>25</v>
      </c>
      <c r="L1254" s="1" t="s">
        <v>25</v>
      </c>
      <c r="M1254" s="1" t="s">
        <v>26</v>
      </c>
      <c r="N1254" s="1" t="s">
        <v>25</v>
      </c>
      <c r="O1254" s="1" t="s">
        <v>26</v>
      </c>
      <c r="P1254" s="1" t="s">
        <v>25</v>
      </c>
      <c r="Q1254" s="1" t="s">
        <v>26</v>
      </c>
      <c r="R1254" s="1" t="s">
        <v>25</v>
      </c>
      <c r="S1254" s="2">
        <v>0</v>
      </c>
    </row>
    <row r="1255" spans="1:19" x14ac:dyDescent="0.3">
      <c r="A1255" t="s">
        <v>2517</v>
      </c>
      <c r="B1255" s="5" t="e" cm="1">
        <f t="array" ref="B1255">MAX(#REF!,MIN(#REF!,#REF!+SUMPRODUCT(--(FoodData[[#This Row],[Healthy]:[Refined]]="Yes"),#REF!)+FoodData[[#This Row],[Adjust]]))</f>
        <v>#REF!</v>
      </c>
      <c r="C1255" s="1" t="e">
        <f>LOOKUP(FoodData[[#This Row],[Score]],#REF!,#REF!)</f>
        <v>#REF!</v>
      </c>
      <c r="D1255" t="s">
        <v>2446</v>
      </c>
      <c r="E1255" t="s">
        <v>556</v>
      </c>
      <c r="F1255" t="s">
        <v>22</v>
      </c>
      <c r="G1255" t="s">
        <v>489</v>
      </c>
      <c r="H1255" t="s">
        <v>2518</v>
      </c>
      <c r="I1255" s="1" t="s">
        <v>25</v>
      </c>
      <c r="J1255" s="1" t="s">
        <v>25</v>
      </c>
      <c r="K1255" s="1" t="s">
        <v>25</v>
      </c>
      <c r="L1255" s="1" t="s">
        <v>25</v>
      </c>
      <c r="M1255" s="1" t="s">
        <v>26</v>
      </c>
      <c r="N1255" s="1" t="s">
        <v>25</v>
      </c>
      <c r="O1255" s="1" t="s">
        <v>25</v>
      </c>
      <c r="P1255" s="1" t="s">
        <v>25</v>
      </c>
      <c r="Q1255" s="1" t="s">
        <v>25</v>
      </c>
      <c r="R1255" s="1" t="s">
        <v>25</v>
      </c>
      <c r="S1255" s="2">
        <v>0</v>
      </c>
    </row>
    <row r="1256" spans="1:19" x14ac:dyDescent="0.3">
      <c r="A1256" t="s">
        <v>2519</v>
      </c>
      <c r="B1256" s="5" t="e" cm="1">
        <f t="array" ref="B1256">MAX(#REF!,MIN(#REF!,#REF!+SUMPRODUCT(--(FoodData[[#This Row],[Healthy]:[Refined]]="Yes"),#REF!)+FoodData[[#This Row],[Adjust]]))</f>
        <v>#REF!</v>
      </c>
      <c r="C1256" s="1" t="e">
        <f>LOOKUP(FoodData[[#This Row],[Score]],#REF!,#REF!)</f>
        <v>#REF!</v>
      </c>
      <c r="D1256" t="s">
        <v>2446</v>
      </c>
      <c r="E1256" t="s">
        <v>556</v>
      </c>
      <c r="F1256" t="s">
        <v>22</v>
      </c>
      <c r="G1256" t="s">
        <v>489</v>
      </c>
      <c r="H1256" t="s">
        <v>2520</v>
      </c>
      <c r="I1256" s="1" t="s">
        <v>25</v>
      </c>
      <c r="J1256" s="1" t="s">
        <v>25</v>
      </c>
      <c r="K1256" s="1" t="s">
        <v>25</v>
      </c>
      <c r="L1256" s="1" t="s">
        <v>25</v>
      </c>
      <c r="M1256" s="1" t="s">
        <v>26</v>
      </c>
      <c r="N1256" s="1" t="s">
        <v>25</v>
      </c>
      <c r="O1256" s="1" t="s">
        <v>26</v>
      </c>
      <c r="P1256" s="1" t="s">
        <v>25</v>
      </c>
      <c r="Q1256" s="1" t="s">
        <v>25</v>
      </c>
      <c r="R1256" s="1" t="s">
        <v>25</v>
      </c>
      <c r="S1256" s="2">
        <v>0</v>
      </c>
    </row>
    <row r="1257" spans="1:19" x14ac:dyDescent="0.3">
      <c r="A1257" t="s">
        <v>2521</v>
      </c>
      <c r="B1257" s="5" t="e" cm="1">
        <f t="array" ref="B1257">MAX(#REF!,MIN(#REF!,#REF!+SUMPRODUCT(--(FoodData[[#This Row],[Healthy]:[Refined]]="Yes"),#REF!)+FoodData[[#This Row],[Adjust]]))</f>
        <v>#REF!</v>
      </c>
      <c r="C1257" s="1" t="e">
        <f>LOOKUP(FoodData[[#This Row],[Score]],#REF!,#REF!)</f>
        <v>#REF!</v>
      </c>
      <c r="D1257" t="s">
        <v>2446</v>
      </c>
      <c r="E1257" t="s">
        <v>556</v>
      </c>
      <c r="F1257" t="s">
        <v>22</v>
      </c>
      <c r="G1257" t="s">
        <v>489</v>
      </c>
      <c r="H1257" t="s">
        <v>2522</v>
      </c>
      <c r="I1257" s="1" t="s">
        <v>25</v>
      </c>
      <c r="J1257" s="1" t="s">
        <v>25</v>
      </c>
      <c r="K1257" s="1" t="s">
        <v>25</v>
      </c>
      <c r="L1257" s="1" t="s">
        <v>26</v>
      </c>
      <c r="M1257" s="1" t="s">
        <v>26</v>
      </c>
      <c r="N1257" s="1" t="s">
        <v>25</v>
      </c>
      <c r="O1257" s="1" t="s">
        <v>25</v>
      </c>
      <c r="P1257" s="1" t="s">
        <v>25</v>
      </c>
      <c r="Q1257" s="1" t="s">
        <v>25</v>
      </c>
      <c r="R1257" s="1" t="s">
        <v>25</v>
      </c>
      <c r="S1257" s="2">
        <v>0</v>
      </c>
    </row>
    <row r="1258" spans="1:19" x14ac:dyDescent="0.3">
      <c r="A1258" t="s">
        <v>2523</v>
      </c>
      <c r="B1258" s="5" t="e" cm="1">
        <f t="array" ref="B1258">MAX(#REF!,MIN(#REF!,#REF!+SUMPRODUCT(--(FoodData[[#This Row],[Healthy]:[Refined]]="Yes"),#REF!)+FoodData[[#This Row],[Adjust]]))</f>
        <v>#REF!</v>
      </c>
      <c r="C1258" s="1" t="e">
        <f>LOOKUP(FoodData[[#This Row],[Score]],#REF!,#REF!)</f>
        <v>#REF!</v>
      </c>
      <c r="D1258" t="s">
        <v>2446</v>
      </c>
      <c r="E1258" t="s">
        <v>556</v>
      </c>
      <c r="F1258" t="s">
        <v>22</v>
      </c>
      <c r="G1258" t="s">
        <v>489</v>
      </c>
      <c r="H1258" t="s">
        <v>2524</v>
      </c>
      <c r="I1258" s="1" t="s">
        <v>25</v>
      </c>
      <c r="J1258" s="1" t="s">
        <v>25</v>
      </c>
      <c r="K1258" s="1" t="s">
        <v>25</v>
      </c>
      <c r="L1258" s="1" t="s">
        <v>25</v>
      </c>
      <c r="M1258" s="1" t="s">
        <v>26</v>
      </c>
      <c r="N1258" s="1" t="s">
        <v>25</v>
      </c>
      <c r="O1258" s="1" t="s">
        <v>25</v>
      </c>
      <c r="P1258" s="1" t="s">
        <v>25</v>
      </c>
      <c r="Q1258" s="1" t="s">
        <v>25</v>
      </c>
      <c r="R1258" s="1" t="s">
        <v>25</v>
      </c>
      <c r="S1258" s="2">
        <v>0</v>
      </c>
    </row>
    <row r="1259" spans="1:19" x14ac:dyDescent="0.3">
      <c r="A1259" t="s">
        <v>2525</v>
      </c>
      <c r="B1259" s="5" t="e" cm="1">
        <f t="array" ref="B1259">MAX(#REF!,MIN(#REF!,#REF!+SUMPRODUCT(--(FoodData[[#This Row],[Healthy]:[Refined]]="Yes"),#REF!)+FoodData[[#This Row],[Adjust]]))</f>
        <v>#REF!</v>
      </c>
      <c r="C1259" s="1" t="e">
        <f>LOOKUP(FoodData[[#This Row],[Score]],#REF!,#REF!)</f>
        <v>#REF!</v>
      </c>
      <c r="D1259" t="s">
        <v>2446</v>
      </c>
      <c r="E1259" t="s">
        <v>556</v>
      </c>
      <c r="F1259" t="s">
        <v>22</v>
      </c>
      <c r="G1259" t="s">
        <v>489</v>
      </c>
      <c r="H1259" t="s">
        <v>2526</v>
      </c>
      <c r="I1259" s="1" t="s">
        <v>25</v>
      </c>
      <c r="J1259" s="1" t="s">
        <v>25</v>
      </c>
      <c r="K1259" s="1" t="s">
        <v>25</v>
      </c>
      <c r="L1259" s="1" t="s">
        <v>25</v>
      </c>
      <c r="M1259" s="1" t="s">
        <v>26</v>
      </c>
      <c r="N1259" s="1" t="s">
        <v>25</v>
      </c>
      <c r="O1259" s="1" t="s">
        <v>25</v>
      </c>
      <c r="P1259" s="1" t="s">
        <v>25</v>
      </c>
      <c r="Q1259" s="1" t="s">
        <v>25</v>
      </c>
      <c r="R1259" s="1" t="s">
        <v>25</v>
      </c>
      <c r="S1259" s="2">
        <v>0</v>
      </c>
    </row>
    <row r="1260" spans="1:19" x14ac:dyDescent="0.3">
      <c r="A1260" t="s">
        <v>2527</v>
      </c>
      <c r="B1260" s="5" t="e" cm="1">
        <f t="array" ref="B1260">MAX(#REF!,MIN(#REF!,#REF!+SUMPRODUCT(--(FoodData[[#This Row],[Healthy]:[Refined]]="Yes"),#REF!)+FoodData[[#This Row],[Adjust]]))</f>
        <v>#REF!</v>
      </c>
      <c r="C1260" s="1" t="e">
        <f>LOOKUP(FoodData[[#This Row],[Score]],#REF!,#REF!)</f>
        <v>#REF!</v>
      </c>
      <c r="D1260" t="s">
        <v>2446</v>
      </c>
      <c r="E1260" t="s">
        <v>556</v>
      </c>
      <c r="F1260" t="s">
        <v>22</v>
      </c>
      <c r="G1260" t="s">
        <v>489</v>
      </c>
      <c r="H1260" t="s">
        <v>2528</v>
      </c>
      <c r="I1260" s="1" t="s">
        <v>25</v>
      </c>
      <c r="J1260" s="1" t="s">
        <v>25</v>
      </c>
      <c r="K1260" s="1" t="s">
        <v>26</v>
      </c>
      <c r="L1260" s="1" t="s">
        <v>25</v>
      </c>
      <c r="M1260" s="1" t="s">
        <v>26</v>
      </c>
      <c r="N1260" s="1" t="s">
        <v>25</v>
      </c>
      <c r="O1260" s="1" t="s">
        <v>25</v>
      </c>
      <c r="P1260" s="1" t="s">
        <v>25</v>
      </c>
      <c r="Q1260" s="1" t="s">
        <v>25</v>
      </c>
      <c r="R1260" s="1" t="s">
        <v>25</v>
      </c>
      <c r="S1260" s="2">
        <v>0</v>
      </c>
    </row>
    <row r="1261" spans="1:19" x14ac:dyDescent="0.3">
      <c r="A1261" t="s">
        <v>2529</v>
      </c>
      <c r="B1261" s="5" t="e" cm="1">
        <f t="array" ref="B1261">MAX(#REF!,MIN(#REF!,#REF!+SUMPRODUCT(--(FoodData[[#This Row],[Healthy]:[Refined]]="Yes"),#REF!)+FoodData[[#This Row],[Adjust]]))</f>
        <v>#REF!</v>
      </c>
      <c r="C1261" s="1" t="e">
        <f>LOOKUP(FoodData[[#This Row],[Score]],#REF!,#REF!)</f>
        <v>#REF!</v>
      </c>
      <c r="D1261" t="s">
        <v>2446</v>
      </c>
      <c r="E1261" t="s">
        <v>556</v>
      </c>
      <c r="F1261" t="s">
        <v>60</v>
      </c>
      <c r="G1261" t="s">
        <v>489</v>
      </c>
      <c r="H1261" t="s">
        <v>2530</v>
      </c>
      <c r="I1261" s="1" t="s">
        <v>25</v>
      </c>
      <c r="J1261" s="1" t="s">
        <v>25</v>
      </c>
      <c r="K1261" s="1" t="s">
        <v>26</v>
      </c>
      <c r="L1261" s="1" t="s">
        <v>25</v>
      </c>
      <c r="M1261" s="1" t="s">
        <v>26</v>
      </c>
      <c r="N1261" s="1" t="s">
        <v>25</v>
      </c>
      <c r="O1261" s="1" t="s">
        <v>25</v>
      </c>
      <c r="P1261" s="1" t="s">
        <v>25</v>
      </c>
      <c r="Q1261" s="1" t="s">
        <v>25</v>
      </c>
      <c r="R1261" s="1" t="s">
        <v>25</v>
      </c>
      <c r="S1261" s="2">
        <v>0</v>
      </c>
    </row>
    <row r="1262" spans="1:19" x14ac:dyDescent="0.3">
      <c r="A1262" t="s">
        <v>2531</v>
      </c>
      <c r="B1262" s="5" t="e" cm="1">
        <f t="array" ref="B1262">MAX(#REF!,MIN(#REF!,#REF!+SUMPRODUCT(--(FoodData[[#This Row],[Healthy]:[Refined]]="Yes"),#REF!)+FoodData[[#This Row],[Adjust]]))</f>
        <v>#REF!</v>
      </c>
      <c r="C1262" s="1" t="e">
        <f>LOOKUP(FoodData[[#This Row],[Score]],#REF!,#REF!)</f>
        <v>#REF!</v>
      </c>
      <c r="D1262" t="s">
        <v>2446</v>
      </c>
      <c r="E1262" t="s">
        <v>556</v>
      </c>
      <c r="F1262" t="s">
        <v>22</v>
      </c>
      <c r="G1262" t="s">
        <v>489</v>
      </c>
      <c r="H1262" t="s">
        <v>2532</v>
      </c>
      <c r="I1262" s="1" t="s">
        <v>26</v>
      </c>
      <c r="J1262" s="1" t="s">
        <v>26</v>
      </c>
      <c r="K1262" s="1" t="s">
        <v>25</v>
      </c>
      <c r="L1262" s="1" t="s">
        <v>25</v>
      </c>
      <c r="M1262" s="1" t="s">
        <v>26</v>
      </c>
      <c r="N1262" s="1" t="s">
        <v>25</v>
      </c>
      <c r="O1262" s="1" t="s">
        <v>25</v>
      </c>
      <c r="P1262" s="1" t="s">
        <v>25</v>
      </c>
      <c r="Q1262" s="1" t="s">
        <v>25</v>
      </c>
      <c r="R1262" s="1" t="s">
        <v>25</v>
      </c>
      <c r="S1262" s="2">
        <v>0</v>
      </c>
    </row>
    <row r="1263" spans="1:19" x14ac:dyDescent="0.3">
      <c r="A1263" t="s">
        <v>2533</v>
      </c>
      <c r="B1263" s="5" t="e" cm="1">
        <f t="array" ref="B1263">MAX(#REF!,MIN(#REF!,#REF!+SUMPRODUCT(--(FoodData[[#This Row],[Healthy]:[Refined]]="Yes"),#REF!)+FoodData[[#This Row],[Adjust]]))</f>
        <v>#REF!</v>
      </c>
      <c r="C1263" s="1" t="e">
        <f>LOOKUP(FoodData[[#This Row],[Score]],#REF!,#REF!)</f>
        <v>#REF!</v>
      </c>
      <c r="D1263" t="s">
        <v>2446</v>
      </c>
      <c r="E1263" t="s">
        <v>556</v>
      </c>
      <c r="F1263" t="s">
        <v>22</v>
      </c>
      <c r="G1263" t="s">
        <v>489</v>
      </c>
      <c r="H1263" t="s">
        <v>2534</v>
      </c>
      <c r="I1263" s="1" t="s">
        <v>25</v>
      </c>
      <c r="J1263" s="1" t="s">
        <v>25</v>
      </c>
      <c r="K1263" s="1" t="s">
        <v>26</v>
      </c>
      <c r="L1263" s="1" t="s">
        <v>25</v>
      </c>
      <c r="M1263" s="1" t="s">
        <v>26</v>
      </c>
      <c r="N1263" s="1" t="s">
        <v>25</v>
      </c>
      <c r="O1263" s="1" t="s">
        <v>25</v>
      </c>
      <c r="P1263" s="1" t="s">
        <v>25</v>
      </c>
      <c r="Q1263" s="1" t="s">
        <v>25</v>
      </c>
      <c r="R1263" s="1" t="s">
        <v>25</v>
      </c>
      <c r="S1263" s="2">
        <v>0</v>
      </c>
    </row>
    <row r="1264" spans="1:19" x14ac:dyDescent="0.3">
      <c r="A1264" t="s">
        <v>2535</v>
      </c>
      <c r="B1264" s="5" t="e" cm="1">
        <f t="array" ref="B1264">MAX(#REF!,MIN(#REF!,#REF!+SUMPRODUCT(--(FoodData[[#This Row],[Healthy]:[Refined]]="Yes"),#REF!)+FoodData[[#This Row],[Adjust]]))</f>
        <v>#REF!</v>
      </c>
      <c r="C1264" s="1" t="e">
        <f>LOOKUP(FoodData[[#This Row],[Score]],#REF!,#REF!)</f>
        <v>#REF!</v>
      </c>
      <c r="D1264" t="s">
        <v>2446</v>
      </c>
      <c r="E1264" t="s">
        <v>556</v>
      </c>
      <c r="F1264" t="s">
        <v>22</v>
      </c>
      <c r="G1264" t="s">
        <v>489</v>
      </c>
      <c r="H1264" t="s">
        <v>2536</v>
      </c>
      <c r="I1264" s="1" t="s">
        <v>25</v>
      </c>
      <c r="J1264" s="1" t="s">
        <v>25</v>
      </c>
      <c r="K1264" s="1" t="s">
        <v>25</v>
      </c>
      <c r="L1264" s="1" t="s">
        <v>25</v>
      </c>
      <c r="M1264" s="1" t="s">
        <v>25</v>
      </c>
      <c r="N1264" s="1" t="s">
        <v>25</v>
      </c>
      <c r="O1264" s="1" t="s">
        <v>25</v>
      </c>
      <c r="P1264" s="1" t="s">
        <v>25</v>
      </c>
      <c r="Q1264" s="1" t="s">
        <v>25</v>
      </c>
      <c r="R1264" s="1" t="s">
        <v>25</v>
      </c>
      <c r="S1264" s="2">
        <v>0</v>
      </c>
    </row>
    <row r="1265" spans="1:19" x14ac:dyDescent="0.3">
      <c r="A1265" t="s">
        <v>2537</v>
      </c>
      <c r="B1265" s="5" t="e" cm="1">
        <f t="array" ref="B1265">MAX(#REF!,MIN(#REF!,#REF!+SUMPRODUCT(--(FoodData[[#This Row],[Healthy]:[Refined]]="Yes"),#REF!)+FoodData[[#This Row],[Adjust]]))</f>
        <v>#REF!</v>
      </c>
      <c r="C1265" s="1" t="e">
        <f>LOOKUP(FoodData[[#This Row],[Score]],#REF!,#REF!)</f>
        <v>#REF!</v>
      </c>
      <c r="D1265" t="s">
        <v>2446</v>
      </c>
      <c r="E1265" t="s">
        <v>556</v>
      </c>
      <c r="F1265" t="s">
        <v>22</v>
      </c>
      <c r="G1265" t="s">
        <v>489</v>
      </c>
      <c r="H1265" t="s">
        <v>2538</v>
      </c>
      <c r="I1265" s="1" t="s">
        <v>25</v>
      </c>
      <c r="J1265" s="1" t="s">
        <v>25</v>
      </c>
      <c r="K1265" s="1" t="s">
        <v>25</v>
      </c>
      <c r="L1265" s="1" t="s">
        <v>25</v>
      </c>
      <c r="M1265" s="1" t="s">
        <v>26</v>
      </c>
      <c r="N1265" s="1" t="s">
        <v>26</v>
      </c>
      <c r="O1265" s="1" t="s">
        <v>25</v>
      </c>
      <c r="P1265" s="1" t="s">
        <v>26</v>
      </c>
      <c r="Q1265" s="1" t="s">
        <v>26</v>
      </c>
      <c r="R1265" s="1" t="s">
        <v>26</v>
      </c>
      <c r="S1265" s="2">
        <v>2</v>
      </c>
    </row>
    <row r="1266" spans="1:19" x14ac:dyDescent="0.3">
      <c r="A1266" t="s">
        <v>2539</v>
      </c>
      <c r="B1266" s="5" t="e" cm="1">
        <f t="array" ref="B1266">MAX(#REF!,MIN(#REF!,#REF!+SUMPRODUCT(--(FoodData[[#This Row],[Healthy]:[Refined]]="Yes"),#REF!)+FoodData[[#This Row],[Adjust]]))</f>
        <v>#REF!</v>
      </c>
      <c r="C1266" s="1" t="e">
        <f>LOOKUP(FoodData[[#This Row],[Score]],#REF!,#REF!)</f>
        <v>#REF!</v>
      </c>
      <c r="D1266" t="s">
        <v>2446</v>
      </c>
      <c r="E1266" t="s">
        <v>556</v>
      </c>
      <c r="F1266" t="s">
        <v>22</v>
      </c>
      <c r="G1266" t="s">
        <v>489</v>
      </c>
      <c r="H1266" t="s">
        <v>2540</v>
      </c>
      <c r="I1266" s="1" t="s">
        <v>25</v>
      </c>
      <c r="J1266" s="1" t="s">
        <v>25</v>
      </c>
      <c r="K1266" s="1" t="s">
        <v>26</v>
      </c>
      <c r="L1266" s="1" t="s">
        <v>26</v>
      </c>
      <c r="M1266" s="1" t="s">
        <v>26</v>
      </c>
      <c r="N1266" s="1" t="s">
        <v>25</v>
      </c>
      <c r="O1266" s="1" t="s">
        <v>25</v>
      </c>
      <c r="P1266" s="1" t="s">
        <v>25</v>
      </c>
      <c r="Q1266" s="1" t="s">
        <v>25</v>
      </c>
      <c r="R1266" s="1" t="s">
        <v>25</v>
      </c>
      <c r="S1266" s="2">
        <v>0</v>
      </c>
    </row>
    <row r="1267" spans="1:19" x14ac:dyDescent="0.3">
      <c r="A1267" t="s">
        <v>2541</v>
      </c>
      <c r="B1267" s="5" t="e" cm="1">
        <f t="array" ref="B1267">MAX(#REF!,MIN(#REF!,#REF!+SUMPRODUCT(--(FoodData[[#This Row],[Healthy]:[Refined]]="Yes"),#REF!)+FoodData[[#This Row],[Adjust]]))</f>
        <v>#REF!</v>
      </c>
      <c r="C1267" s="1" t="e">
        <f>LOOKUP(FoodData[[#This Row],[Score]],#REF!,#REF!)</f>
        <v>#REF!</v>
      </c>
      <c r="D1267" t="s">
        <v>2446</v>
      </c>
      <c r="E1267" t="s">
        <v>556</v>
      </c>
      <c r="F1267" t="s">
        <v>22</v>
      </c>
      <c r="G1267" t="s">
        <v>489</v>
      </c>
      <c r="H1267" t="s">
        <v>2542</v>
      </c>
      <c r="I1267" s="1" t="s">
        <v>25</v>
      </c>
      <c r="J1267" s="1" t="s">
        <v>25</v>
      </c>
      <c r="K1267" s="1" t="s">
        <v>26</v>
      </c>
      <c r="L1267" s="1" t="s">
        <v>25</v>
      </c>
      <c r="M1267" s="1" t="s">
        <v>25</v>
      </c>
      <c r="N1267" s="1" t="s">
        <v>25</v>
      </c>
      <c r="O1267" s="1" t="s">
        <v>25</v>
      </c>
      <c r="P1267" s="1" t="s">
        <v>25</v>
      </c>
      <c r="Q1267" s="1" t="s">
        <v>25</v>
      </c>
      <c r="R1267" s="1" t="s">
        <v>26</v>
      </c>
      <c r="S1267" s="2">
        <v>0</v>
      </c>
    </row>
    <row r="1268" spans="1:19" x14ac:dyDescent="0.3">
      <c r="A1268" t="s">
        <v>2543</v>
      </c>
      <c r="B1268" s="5" t="e" cm="1">
        <f t="array" ref="B1268">MAX(#REF!,MIN(#REF!,#REF!+SUMPRODUCT(--(FoodData[[#This Row],[Healthy]:[Refined]]="Yes"),#REF!)+FoodData[[#This Row],[Adjust]]))</f>
        <v>#REF!</v>
      </c>
      <c r="C1268" s="1" t="e">
        <f>LOOKUP(FoodData[[#This Row],[Score]],#REF!,#REF!)</f>
        <v>#REF!</v>
      </c>
      <c r="D1268" t="s">
        <v>2446</v>
      </c>
      <c r="E1268" t="s">
        <v>556</v>
      </c>
      <c r="F1268" t="s">
        <v>22</v>
      </c>
      <c r="G1268" t="s">
        <v>489</v>
      </c>
      <c r="H1268" t="s">
        <v>2544</v>
      </c>
      <c r="I1268" s="1" t="s">
        <v>25</v>
      </c>
      <c r="J1268" s="1" t="s">
        <v>25</v>
      </c>
      <c r="K1268" s="1" t="s">
        <v>25</v>
      </c>
      <c r="L1268" s="1" t="s">
        <v>25</v>
      </c>
      <c r="M1268" s="1" t="s">
        <v>26</v>
      </c>
      <c r="N1268" s="1" t="s">
        <v>25</v>
      </c>
      <c r="O1268" s="1" t="s">
        <v>26</v>
      </c>
      <c r="P1268" s="1" t="s">
        <v>26</v>
      </c>
      <c r="Q1268" s="1" t="s">
        <v>25</v>
      </c>
      <c r="R1268" s="1" t="s">
        <v>25</v>
      </c>
      <c r="S1268" s="2">
        <v>0</v>
      </c>
    </row>
    <row r="1269" spans="1:19" x14ac:dyDescent="0.3">
      <c r="A1269" t="s">
        <v>2545</v>
      </c>
      <c r="B1269" s="5" t="e" cm="1">
        <f t="array" ref="B1269">MAX(#REF!,MIN(#REF!,#REF!+SUMPRODUCT(--(FoodData[[#This Row],[Healthy]:[Refined]]="Yes"),#REF!)+FoodData[[#This Row],[Adjust]]))</f>
        <v>#REF!</v>
      </c>
      <c r="C1269" s="1" t="e">
        <f>LOOKUP(FoodData[[#This Row],[Score]],#REF!,#REF!)</f>
        <v>#REF!</v>
      </c>
      <c r="D1269" t="s">
        <v>2446</v>
      </c>
      <c r="E1269" t="s">
        <v>556</v>
      </c>
      <c r="F1269" t="s">
        <v>22</v>
      </c>
      <c r="G1269" t="s">
        <v>489</v>
      </c>
      <c r="H1269" t="s">
        <v>2546</v>
      </c>
      <c r="I1269" s="1" t="s">
        <v>26</v>
      </c>
      <c r="J1269" s="1" t="s">
        <v>26</v>
      </c>
      <c r="K1269" s="1" t="s">
        <v>25</v>
      </c>
      <c r="L1269" s="1" t="s">
        <v>25</v>
      </c>
      <c r="M1269" s="1" t="s">
        <v>26</v>
      </c>
      <c r="N1269" s="1" t="s">
        <v>25</v>
      </c>
      <c r="O1269" s="1" t="s">
        <v>26</v>
      </c>
      <c r="P1269" s="1" t="s">
        <v>25</v>
      </c>
      <c r="Q1269" s="1" t="s">
        <v>25</v>
      </c>
      <c r="R1269" s="1" t="s">
        <v>25</v>
      </c>
      <c r="S1269" s="2">
        <v>0</v>
      </c>
    </row>
    <row r="1270" spans="1:19" x14ac:dyDescent="0.3">
      <c r="A1270" t="s">
        <v>2547</v>
      </c>
      <c r="B1270" s="5" t="e" cm="1">
        <f t="array" ref="B1270">MAX(#REF!,MIN(#REF!,#REF!+SUMPRODUCT(--(FoodData[[#This Row],[Healthy]:[Refined]]="Yes"),#REF!)+FoodData[[#This Row],[Adjust]]))</f>
        <v>#REF!</v>
      </c>
      <c r="C1270" s="1" t="e">
        <f>LOOKUP(FoodData[[#This Row],[Score]],#REF!,#REF!)</f>
        <v>#REF!</v>
      </c>
      <c r="D1270" t="s">
        <v>2446</v>
      </c>
      <c r="E1270" t="s">
        <v>556</v>
      </c>
      <c r="F1270" t="s">
        <v>22</v>
      </c>
      <c r="G1270" t="s">
        <v>489</v>
      </c>
      <c r="H1270" t="s">
        <v>2548</v>
      </c>
      <c r="I1270" s="1" t="s">
        <v>25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26</v>
      </c>
      <c r="P1270" s="1" t="s">
        <v>25</v>
      </c>
      <c r="Q1270" s="1" t="s">
        <v>26</v>
      </c>
      <c r="R1270" s="1" t="s">
        <v>25</v>
      </c>
      <c r="S1270" s="2">
        <v>0</v>
      </c>
    </row>
    <row r="1271" spans="1:19" x14ac:dyDescent="0.3">
      <c r="A1271" t="s">
        <v>2549</v>
      </c>
      <c r="B1271" s="5" t="e" cm="1">
        <f t="array" ref="B1271">MAX(#REF!,MIN(#REF!,#REF!+SUMPRODUCT(--(FoodData[[#This Row],[Healthy]:[Refined]]="Yes"),#REF!)+FoodData[[#This Row],[Adjust]]))</f>
        <v>#REF!</v>
      </c>
      <c r="C1271" s="1" t="e">
        <f>LOOKUP(FoodData[[#This Row],[Score]],#REF!,#REF!)</f>
        <v>#REF!</v>
      </c>
      <c r="D1271" t="s">
        <v>2446</v>
      </c>
      <c r="E1271" t="s">
        <v>556</v>
      </c>
      <c r="F1271" t="s">
        <v>22</v>
      </c>
      <c r="G1271" t="s">
        <v>489</v>
      </c>
      <c r="H1271" t="s">
        <v>2550</v>
      </c>
      <c r="I1271" s="1" t="s">
        <v>25</v>
      </c>
      <c r="J1271" s="1" t="s">
        <v>25</v>
      </c>
      <c r="K1271" s="1" t="s">
        <v>25</v>
      </c>
      <c r="L1271" s="1" t="s">
        <v>25</v>
      </c>
      <c r="M1271" s="1" t="s">
        <v>26</v>
      </c>
      <c r="N1271" s="1" t="s">
        <v>25</v>
      </c>
      <c r="O1271" s="1" t="s">
        <v>26</v>
      </c>
      <c r="P1271" s="1" t="s">
        <v>25</v>
      </c>
      <c r="Q1271" s="1" t="s">
        <v>25</v>
      </c>
      <c r="R1271" s="1" t="s">
        <v>25</v>
      </c>
      <c r="S1271" s="2">
        <v>0</v>
      </c>
    </row>
    <row r="1272" spans="1:19" x14ac:dyDescent="0.3">
      <c r="A1272" t="s">
        <v>2551</v>
      </c>
      <c r="B1272" s="5" t="e" cm="1">
        <f t="array" ref="B1272">MAX(#REF!,MIN(#REF!,#REF!+SUMPRODUCT(--(FoodData[[#This Row],[Healthy]:[Refined]]="Yes"),#REF!)+FoodData[[#This Row],[Adjust]]))</f>
        <v>#REF!</v>
      </c>
      <c r="C1272" s="1" t="e">
        <f>LOOKUP(FoodData[[#This Row],[Score]],#REF!,#REF!)</f>
        <v>#REF!</v>
      </c>
      <c r="D1272" t="s">
        <v>2446</v>
      </c>
      <c r="E1272" t="s">
        <v>556</v>
      </c>
      <c r="F1272" t="s">
        <v>22</v>
      </c>
      <c r="G1272" t="s">
        <v>489</v>
      </c>
      <c r="H1272" t="s">
        <v>2552</v>
      </c>
      <c r="I1272" s="1" t="s">
        <v>25</v>
      </c>
      <c r="J1272" s="1" t="s">
        <v>25</v>
      </c>
      <c r="K1272" s="1" t="s">
        <v>26</v>
      </c>
      <c r="L1272" s="1" t="s">
        <v>25</v>
      </c>
      <c r="M1272" s="1" t="s">
        <v>26</v>
      </c>
      <c r="N1272" s="1" t="s">
        <v>25</v>
      </c>
      <c r="O1272" s="1" t="s">
        <v>25</v>
      </c>
      <c r="P1272" s="1" t="s">
        <v>25</v>
      </c>
      <c r="Q1272" s="1" t="s">
        <v>25</v>
      </c>
      <c r="R1272" s="1" t="s">
        <v>25</v>
      </c>
      <c r="S1272" s="2">
        <v>0</v>
      </c>
    </row>
    <row r="1273" spans="1:19" x14ac:dyDescent="0.3">
      <c r="A1273" t="s">
        <v>2553</v>
      </c>
      <c r="B1273" s="5" t="e" cm="1">
        <f t="array" ref="B1273">MAX(#REF!,MIN(#REF!,#REF!+SUMPRODUCT(--(FoodData[[#This Row],[Healthy]:[Refined]]="Yes"),#REF!)+FoodData[[#This Row],[Adjust]]))</f>
        <v>#REF!</v>
      </c>
      <c r="C1273" s="1" t="e">
        <f>LOOKUP(FoodData[[#This Row],[Score]],#REF!,#REF!)</f>
        <v>#REF!</v>
      </c>
      <c r="D1273" t="s">
        <v>2446</v>
      </c>
      <c r="E1273" t="s">
        <v>556</v>
      </c>
      <c r="F1273" t="s">
        <v>22</v>
      </c>
      <c r="G1273" t="s">
        <v>489</v>
      </c>
      <c r="H1273" t="s">
        <v>2554</v>
      </c>
      <c r="I1273" s="1" t="s">
        <v>25</v>
      </c>
      <c r="J1273" s="1" t="s">
        <v>25</v>
      </c>
      <c r="K1273" s="1" t="s">
        <v>25</v>
      </c>
      <c r="L1273" s="1" t="s">
        <v>25</v>
      </c>
      <c r="M1273" s="1" t="s">
        <v>26</v>
      </c>
      <c r="N1273" s="1" t="s">
        <v>25</v>
      </c>
      <c r="O1273" s="1" t="s">
        <v>26</v>
      </c>
      <c r="P1273" s="1" t="s">
        <v>25</v>
      </c>
      <c r="Q1273" s="1" t="s">
        <v>25</v>
      </c>
      <c r="R1273" s="1" t="s">
        <v>25</v>
      </c>
      <c r="S1273" s="2">
        <v>0</v>
      </c>
    </row>
    <row r="1274" spans="1:19" x14ac:dyDescent="0.3">
      <c r="A1274" t="s">
        <v>2555</v>
      </c>
      <c r="B1274" s="5" t="e" cm="1">
        <f t="array" ref="B1274">MAX(#REF!,MIN(#REF!,#REF!+SUMPRODUCT(--(FoodData[[#This Row],[Healthy]:[Refined]]="Yes"),#REF!)+FoodData[[#This Row],[Adjust]]))</f>
        <v>#REF!</v>
      </c>
      <c r="C1274" s="1" t="e">
        <f>LOOKUP(FoodData[[#This Row],[Score]],#REF!,#REF!)</f>
        <v>#REF!</v>
      </c>
      <c r="D1274" t="s">
        <v>2446</v>
      </c>
      <c r="E1274" t="s">
        <v>556</v>
      </c>
      <c r="F1274" t="s">
        <v>22</v>
      </c>
      <c r="G1274" t="s">
        <v>489</v>
      </c>
      <c r="H1274" t="s">
        <v>2556</v>
      </c>
      <c r="I1274" s="1" t="s">
        <v>25</v>
      </c>
      <c r="J1274" s="1" t="s">
        <v>25</v>
      </c>
      <c r="K1274" s="1" t="s">
        <v>26</v>
      </c>
      <c r="L1274" s="1" t="s">
        <v>26</v>
      </c>
      <c r="M1274" s="1" t="s">
        <v>26</v>
      </c>
      <c r="N1274" s="1" t="s">
        <v>25</v>
      </c>
      <c r="O1274" s="1" t="s">
        <v>26</v>
      </c>
      <c r="P1274" s="1" t="s">
        <v>25</v>
      </c>
      <c r="Q1274" s="1" t="s">
        <v>26</v>
      </c>
      <c r="R1274" s="1" t="s">
        <v>25</v>
      </c>
      <c r="S1274" s="2">
        <v>0</v>
      </c>
    </row>
    <row r="1275" spans="1:19" x14ac:dyDescent="0.3">
      <c r="A1275" t="s">
        <v>2557</v>
      </c>
      <c r="B1275" s="5" t="e" cm="1">
        <f t="array" ref="B1275">MAX(#REF!,MIN(#REF!,#REF!+SUMPRODUCT(--(FoodData[[#This Row],[Healthy]:[Refined]]="Yes"),#REF!)+FoodData[[#This Row],[Adjust]]))</f>
        <v>#REF!</v>
      </c>
      <c r="C1275" s="1" t="e">
        <f>LOOKUP(FoodData[[#This Row],[Score]],#REF!,#REF!)</f>
        <v>#REF!</v>
      </c>
      <c r="D1275" t="s">
        <v>2446</v>
      </c>
      <c r="E1275" t="s">
        <v>556</v>
      </c>
      <c r="F1275" t="s">
        <v>22</v>
      </c>
      <c r="G1275" t="s">
        <v>489</v>
      </c>
      <c r="H1275" t="s">
        <v>2558</v>
      </c>
      <c r="I1275" s="1" t="s">
        <v>25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25</v>
      </c>
      <c r="O1275" s="1" t="s">
        <v>26</v>
      </c>
      <c r="P1275" s="1" t="s">
        <v>26</v>
      </c>
      <c r="Q1275" s="1" t="s">
        <v>26</v>
      </c>
      <c r="R1275" s="1" t="s">
        <v>25</v>
      </c>
      <c r="S1275" s="2">
        <v>2</v>
      </c>
    </row>
    <row r="1276" spans="1:19" x14ac:dyDescent="0.3">
      <c r="A1276" t="s">
        <v>2559</v>
      </c>
      <c r="B1276" s="5" t="e" cm="1">
        <f t="array" ref="B1276">MAX(#REF!,MIN(#REF!,#REF!+SUMPRODUCT(--(FoodData[[#This Row],[Healthy]:[Refined]]="Yes"),#REF!)+FoodData[[#This Row],[Adjust]]))</f>
        <v>#REF!</v>
      </c>
      <c r="C1276" s="1" t="e">
        <f>LOOKUP(FoodData[[#This Row],[Score]],#REF!,#REF!)</f>
        <v>#REF!</v>
      </c>
      <c r="D1276" t="s">
        <v>2446</v>
      </c>
      <c r="E1276" t="s">
        <v>556</v>
      </c>
      <c r="F1276" t="s">
        <v>22</v>
      </c>
      <c r="G1276" t="s">
        <v>489</v>
      </c>
      <c r="H1276" t="s">
        <v>2560</v>
      </c>
      <c r="I1276" s="1" t="s">
        <v>25</v>
      </c>
      <c r="J1276" s="1" t="s">
        <v>25</v>
      </c>
      <c r="K1276" s="1" t="s">
        <v>25</v>
      </c>
      <c r="L1276" s="1" t="s">
        <v>25</v>
      </c>
      <c r="M1276" s="1" t="s">
        <v>26</v>
      </c>
      <c r="N1276" s="1" t="s">
        <v>25</v>
      </c>
      <c r="O1276" s="1" t="s">
        <v>25</v>
      </c>
      <c r="P1276" s="1" t="s">
        <v>25</v>
      </c>
      <c r="Q1276" s="1" t="s">
        <v>25</v>
      </c>
      <c r="R1276" s="1" t="s">
        <v>25</v>
      </c>
      <c r="S1276" s="2">
        <v>0</v>
      </c>
    </row>
    <row r="1277" spans="1:19" x14ac:dyDescent="0.3">
      <c r="A1277" t="s">
        <v>2561</v>
      </c>
      <c r="B1277" s="5" t="e" cm="1">
        <f t="array" ref="B1277">MAX(#REF!,MIN(#REF!,#REF!+SUMPRODUCT(--(FoodData[[#This Row],[Healthy]:[Refined]]="Yes"),#REF!)+FoodData[[#This Row],[Adjust]]))</f>
        <v>#REF!</v>
      </c>
      <c r="C1277" s="1" t="e">
        <f>LOOKUP(FoodData[[#This Row],[Score]],#REF!,#REF!)</f>
        <v>#REF!</v>
      </c>
      <c r="D1277" t="s">
        <v>2446</v>
      </c>
      <c r="E1277" t="s">
        <v>556</v>
      </c>
      <c r="F1277" t="s">
        <v>22</v>
      </c>
      <c r="G1277" t="s">
        <v>489</v>
      </c>
      <c r="H1277" t="s">
        <v>2562</v>
      </c>
      <c r="I1277" s="1" t="s">
        <v>25</v>
      </c>
      <c r="J1277" s="1" t="s">
        <v>25</v>
      </c>
      <c r="K1277" s="1" t="s">
        <v>26</v>
      </c>
      <c r="L1277" s="1" t="s">
        <v>25</v>
      </c>
      <c r="M1277" s="1" t="s">
        <v>26</v>
      </c>
      <c r="N1277" s="1" t="s">
        <v>25</v>
      </c>
      <c r="O1277" s="1" t="s">
        <v>26</v>
      </c>
      <c r="P1277" s="1" t="s">
        <v>26</v>
      </c>
      <c r="Q1277" s="1" t="s">
        <v>26</v>
      </c>
      <c r="R1277" s="1" t="s">
        <v>25</v>
      </c>
      <c r="S1277" s="2">
        <v>2</v>
      </c>
    </row>
    <row r="1278" spans="1:19" x14ac:dyDescent="0.3">
      <c r="A1278" t="s">
        <v>2563</v>
      </c>
      <c r="B1278" s="5" t="e" cm="1">
        <f t="array" ref="B1278">MAX(#REF!,MIN(#REF!,#REF!+SUMPRODUCT(--(FoodData[[#This Row],[Healthy]:[Refined]]="Yes"),#REF!)+FoodData[[#This Row],[Adjust]]))</f>
        <v>#REF!</v>
      </c>
      <c r="C1278" s="1" t="e">
        <f>LOOKUP(FoodData[[#This Row],[Score]],#REF!,#REF!)</f>
        <v>#REF!</v>
      </c>
      <c r="D1278" t="s">
        <v>2446</v>
      </c>
      <c r="E1278" t="s">
        <v>556</v>
      </c>
      <c r="F1278" t="s">
        <v>22</v>
      </c>
      <c r="G1278" t="s">
        <v>489</v>
      </c>
      <c r="H1278" t="s">
        <v>2564</v>
      </c>
      <c r="I1278" s="1" t="s">
        <v>25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26</v>
      </c>
      <c r="O1278" s="1" t="s">
        <v>26</v>
      </c>
      <c r="P1278" s="1" t="s">
        <v>26</v>
      </c>
      <c r="Q1278" s="1" t="s">
        <v>26</v>
      </c>
      <c r="R1278" s="1" t="s">
        <v>25</v>
      </c>
      <c r="S1278" s="2">
        <v>2</v>
      </c>
    </row>
    <row r="1279" spans="1:19" x14ac:dyDescent="0.3">
      <c r="A1279" t="s">
        <v>2565</v>
      </c>
      <c r="B1279" s="5" t="e" cm="1">
        <f t="array" ref="B1279">MAX(#REF!,MIN(#REF!,#REF!+SUMPRODUCT(--(FoodData[[#This Row],[Healthy]:[Refined]]="Yes"),#REF!)+FoodData[[#This Row],[Adjust]]))</f>
        <v>#REF!</v>
      </c>
      <c r="C1279" s="1" t="e">
        <f>LOOKUP(FoodData[[#This Row],[Score]],#REF!,#REF!)</f>
        <v>#REF!</v>
      </c>
      <c r="D1279" t="s">
        <v>2446</v>
      </c>
      <c r="E1279" t="s">
        <v>556</v>
      </c>
      <c r="F1279" t="s">
        <v>22</v>
      </c>
      <c r="G1279" t="s">
        <v>489</v>
      </c>
      <c r="H1279" t="s">
        <v>2566</v>
      </c>
      <c r="I1279" s="1" t="s">
        <v>25</v>
      </c>
      <c r="J1279" s="1" t="s">
        <v>25</v>
      </c>
      <c r="K1279" s="1" t="s">
        <v>25</v>
      </c>
      <c r="L1279" s="1" t="s">
        <v>25</v>
      </c>
      <c r="M1279" s="1" t="s">
        <v>26</v>
      </c>
      <c r="N1279" s="1" t="s">
        <v>25</v>
      </c>
      <c r="O1279" s="1" t="s">
        <v>26</v>
      </c>
      <c r="P1279" s="1" t="s">
        <v>25</v>
      </c>
      <c r="Q1279" s="1" t="s">
        <v>25</v>
      </c>
      <c r="R1279" s="1" t="s">
        <v>25</v>
      </c>
      <c r="S1279" s="2">
        <v>0</v>
      </c>
    </row>
    <row r="1280" spans="1:19" x14ac:dyDescent="0.3">
      <c r="A1280" t="s">
        <v>2567</v>
      </c>
      <c r="B1280" s="5" t="e" cm="1">
        <f t="array" ref="B1280">MAX(#REF!,MIN(#REF!,#REF!+SUMPRODUCT(--(FoodData[[#This Row],[Healthy]:[Refined]]="Yes"),#REF!)+FoodData[[#This Row],[Adjust]]))</f>
        <v>#REF!</v>
      </c>
      <c r="C1280" s="1" t="e">
        <f>LOOKUP(FoodData[[#This Row],[Score]],#REF!,#REF!)</f>
        <v>#REF!</v>
      </c>
      <c r="D1280" t="s">
        <v>2446</v>
      </c>
      <c r="E1280" t="s">
        <v>556</v>
      </c>
      <c r="F1280" t="s">
        <v>22</v>
      </c>
      <c r="G1280" t="s">
        <v>489</v>
      </c>
      <c r="H1280" t="s">
        <v>2568</v>
      </c>
      <c r="I1280" s="1" t="s">
        <v>25</v>
      </c>
      <c r="J1280" s="1" t="s">
        <v>25</v>
      </c>
      <c r="K1280" s="1" t="s">
        <v>25</v>
      </c>
      <c r="L1280" s="1" t="s">
        <v>26</v>
      </c>
      <c r="M1280" s="1" t="s">
        <v>26</v>
      </c>
      <c r="N1280" s="1" t="s">
        <v>25</v>
      </c>
      <c r="O1280" s="1" t="s">
        <v>26</v>
      </c>
      <c r="P1280" s="1" t="s">
        <v>25</v>
      </c>
      <c r="Q1280" s="1" t="s">
        <v>26</v>
      </c>
      <c r="R1280" s="1" t="s">
        <v>25</v>
      </c>
      <c r="S1280" s="2">
        <v>0</v>
      </c>
    </row>
    <row r="1281" spans="1:19" x14ac:dyDescent="0.3">
      <c r="A1281" t="s">
        <v>2569</v>
      </c>
      <c r="B1281" s="5" t="e" cm="1">
        <f t="array" ref="B1281">MAX(#REF!,MIN(#REF!,#REF!+SUMPRODUCT(--(FoodData[[#This Row],[Healthy]:[Refined]]="Yes"),#REF!)+FoodData[[#This Row],[Adjust]]))</f>
        <v>#REF!</v>
      </c>
      <c r="C1281" s="1" t="e">
        <f>LOOKUP(FoodData[[#This Row],[Score]],#REF!,#REF!)</f>
        <v>#REF!</v>
      </c>
      <c r="D1281" t="s">
        <v>2446</v>
      </c>
      <c r="E1281" t="s">
        <v>556</v>
      </c>
      <c r="F1281" t="s">
        <v>22</v>
      </c>
      <c r="G1281" t="s">
        <v>489</v>
      </c>
      <c r="H1281" t="s">
        <v>2570</v>
      </c>
      <c r="I1281" s="1" t="s">
        <v>25</v>
      </c>
      <c r="J1281" s="1" t="s">
        <v>25</v>
      </c>
      <c r="K1281" s="1" t="s">
        <v>26</v>
      </c>
      <c r="L1281" s="1" t="s">
        <v>25</v>
      </c>
      <c r="M1281" s="1" t="s">
        <v>26</v>
      </c>
      <c r="N1281" s="1" t="s">
        <v>25</v>
      </c>
      <c r="O1281" s="1" t="s">
        <v>26</v>
      </c>
      <c r="P1281" s="1" t="s">
        <v>26</v>
      </c>
      <c r="Q1281" s="1" t="s">
        <v>26</v>
      </c>
      <c r="R1281" s="1" t="s">
        <v>26</v>
      </c>
      <c r="S1281" s="2">
        <v>2</v>
      </c>
    </row>
    <row r="1282" spans="1:19" x14ac:dyDescent="0.3">
      <c r="A1282" t="s">
        <v>2571</v>
      </c>
      <c r="B1282" s="5" t="e" cm="1">
        <f t="array" ref="B1282">MAX(#REF!,MIN(#REF!,#REF!+SUMPRODUCT(--(FoodData[[#This Row],[Healthy]:[Refined]]="Yes"),#REF!)+FoodData[[#This Row],[Adjust]]))</f>
        <v>#REF!</v>
      </c>
      <c r="C1282" s="1" t="e">
        <f>LOOKUP(FoodData[[#This Row],[Score]],#REF!,#REF!)</f>
        <v>#REF!</v>
      </c>
      <c r="D1282" t="s">
        <v>2446</v>
      </c>
      <c r="E1282" t="s">
        <v>556</v>
      </c>
      <c r="F1282" t="s">
        <v>22</v>
      </c>
      <c r="G1282" t="s">
        <v>489</v>
      </c>
      <c r="H1282" t="s">
        <v>2572</v>
      </c>
      <c r="I1282" s="1" t="s">
        <v>25</v>
      </c>
      <c r="J1282" s="1" t="s">
        <v>25</v>
      </c>
      <c r="K1282" s="1" t="s">
        <v>25</v>
      </c>
      <c r="L1282" s="1" t="s">
        <v>25</v>
      </c>
      <c r="M1282" s="1" t="s">
        <v>26</v>
      </c>
      <c r="N1282" s="1" t="s">
        <v>25</v>
      </c>
      <c r="O1282" s="1" t="s">
        <v>26</v>
      </c>
      <c r="P1282" s="1" t="s">
        <v>26</v>
      </c>
      <c r="Q1282" s="1" t="s">
        <v>26</v>
      </c>
      <c r="R1282" s="1" t="s">
        <v>25</v>
      </c>
      <c r="S1282" s="2">
        <v>2</v>
      </c>
    </row>
    <row r="1283" spans="1:19" x14ac:dyDescent="0.3">
      <c r="A1283" t="s">
        <v>2573</v>
      </c>
      <c r="B1283" s="5" t="e" cm="1">
        <f t="array" ref="B1283">MAX(#REF!,MIN(#REF!,#REF!+SUMPRODUCT(--(FoodData[[#This Row],[Healthy]:[Refined]]="Yes"),#REF!)+FoodData[[#This Row],[Adjust]]))</f>
        <v>#REF!</v>
      </c>
      <c r="C1283" s="1" t="e">
        <f>LOOKUP(FoodData[[#This Row],[Score]],#REF!,#REF!)</f>
        <v>#REF!</v>
      </c>
      <c r="D1283" t="s">
        <v>2446</v>
      </c>
      <c r="E1283" t="s">
        <v>556</v>
      </c>
      <c r="F1283" t="s">
        <v>22</v>
      </c>
      <c r="G1283" t="s">
        <v>489</v>
      </c>
      <c r="H1283" t="s">
        <v>2574</v>
      </c>
      <c r="I1283" s="1" t="s">
        <v>25</v>
      </c>
      <c r="J1283" s="1" t="s">
        <v>25</v>
      </c>
      <c r="K1283" s="1" t="s">
        <v>25</v>
      </c>
      <c r="L1283" s="1" t="s">
        <v>25</v>
      </c>
      <c r="M1283" s="1" t="s">
        <v>26</v>
      </c>
      <c r="N1283" s="1" t="s">
        <v>25</v>
      </c>
      <c r="O1283" s="1" t="s">
        <v>25</v>
      </c>
      <c r="P1283" s="1" t="s">
        <v>25</v>
      </c>
      <c r="Q1283" s="1" t="s">
        <v>25</v>
      </c>
      <c r="R1283" s="1" t="s">
        <v>25</v>
      </c>
      <c r="S1283" s="2">
        <v>0</v>
      </c>
    </row>
    <row r="1284" spans="1:19" x14ac:dyDescent="0.3">
      <c r="A1284" t="s">
        <v>2575</v>
      </c>
      <c r="B1284" s="5" t="e" cm="1">
        <f t="array" ref="B1284">MAX(#REF!,MIN(#REF!,#REF!+SUMPRODUCT(--(FoodData[[#This Row],[Healthy]:[Refined]]="Yes"),#REF!)+FoodData[[#This Row],[Adjust]]))</f>
        <v>#REF!</v>
      </c>
      <c r="C1284" s="1" t="e">
        <f>LOOKUP(FoodData[[#This Row],[Score]],#REF!,#REF!)</f>
        <v>#REF!</v>
      </c>
      <c r="D1284" t="s">
        <v>2446</v>
      </c>
      <c r="E1284" t="s">
        <v>556</v>
      </c>
      <c r="F1284" t="s">
        <v>22</v>
      </c>
      <c r="G1284" t="s">
        <v>489</v>
      </c>
      <c r="H1284" t="s">
        <v>2576</v>
      </c>
      <c r="I1284" s="1" t="s">
        <v>25</v>
      </c>
      <c r="J1284" s="1" t="s">
        <v>25</v>
      </c>
      <c r="K1284" s="1" t="s">
        <v>26</v>
      </c>
      <c r="L1284" s="1" t="s">
        <v>26</v>
      </c>
      <c r="M1284" s="1" t="s">
        <v>25</v>
      </c>
      <c r="N1284" s="1" t="s">
        <v>25</v>
      </c>
      <c r="O1284" s="1" t="s">
        <v>25</v>
      </c>
      <c r="P1284" s="1" t="s">
        <v>25</v>
      </c>
      <c r="Q1284" s="1" t="s">
        <v>25</v>
      </c>
      <c r="R1284" s="1" t="s">
        <v>25</v>
      </c>
      <c r="S1284" s="2">
        <v>0</v>
      </c>
    </row>
    <row r="1285" spans="1:19" x14ac:dyDescent="0.3">
      <c r="A1285" t="s">
        <v>2577</v>
      </c>
      <c r="B1285" s="5" t="e" cm="1">
        <f t="array" ref="B1285">MAX(#REF!,MIN(#REF!,#REF!+SUMPRODUCT(--(FoodData[[#This Row],[Healthy]:[Refined]]="Yes"),#REF!)+FoodData[[#This Row],[Adjust]]))</f>
        <v>#REF!</v>
      </c>
      <c r="C1285" s="1" t="e">
        <f>LOOKUP(FoodData[[#This Row],[Score]],#REF!,#REF!)</f>
        <v>#REF!</v>
      </c>
      <c r="D1285" t="s">
        <v>2446</v>
      </c>
      <c r="E1285" t="s">
        <v>556</v>
      </c>
      <c r="F1285" t="s">
        <v>22</v>
      </c>
      <c r="G1285" t="s">
        <v>489</v>
      </c>
      <c r="H1285" t="s">
        <v>2578</v>
      </c>
      <c r="I1285" s="1" t="s">
        <v>25</v>
      </c>
      <c r="J1285" s="1" t="s">
        <v>25</v>
      </c>
      <c r="K1285" s="1" t="s">
        <v>25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25</v>
      </c>
      <c r="Q1285" s="1" t="s">
        <v>25</v>
      </c>
      <c r="R1285" s="1" t="s">
        <v>25</v>
      </c>
      <c r="S1285" s="2">
        <v>0</v>
      </c>
    </row>
    <row r="1286" spans="1:19" x14ac:dyDescent="0.3">
      <c r="A1286" t="s">
        <v>2579</v>
      </c>
      <c r="B1286" s="5" t="e" cm="1">
        <f t="array" ref="B1286">MAX(#REF!,MIN(#REF!,#REF!+SUMPRODUCT(--(FoodData[[#This Row],[Healthy]:[Refined]]="Yes"),#REF!)+FoodData[[#This Row],[Adjust]]))</f>
        <v>#REF!</v>
      </c>
      <c r="C1286" s="1" t="e">
        <f>LOOKUP(FoodData[[#This Row],[Score]],#REF!,#REF!)</f>
        <v>#REF!</v>
      </c>
      <c r="D1286" t="s">
        <v>2446</v>
      </c>
      <c r="E1286" t="s">
        <v>556</v>
      </c>
      <c r="F1286" t="s">
        <v>22</v>
      </c>
      <c r="G1286" t="s">
        <v>489</v>
      </c>
      <c r="H1286" t="s">
        <v>2580</v>
      </c>
      <c r="I1286" s="1" t="s">
        <v>25</v>
      </c>
      <c r="J1286" s="1" t="s">
        <v>25</v>
      </c>
      <c r="K1286" s="1" t="s">
        <v>25</v>
      </c>
      <c r="L1286" s="1" t="s">
        <v>25</v>
      </c>
      <c r="M1286" s="1" t="s">
        <v>26</v>
      </c>
      <c r="N1286" s="1" t="s">
        <v>25</v>
      </c>
      <c r="O1286" s="1" t="s">
        <v>26</v>
      </c>
      <c r="P1286" s="1" t="s">
        <v>25</v>
      </c>
      <c r="Q1286" s="1" t="s">
        <v>25</v>
      </c>
      <c r="R1286" s="1" t="s">
        <v>25</v>
      </c>
      <c r="S1286" s="2">
        <v>0</v>
      </c>
    </row>
    <row r="1287" spans="1:19" x14ac:dyDescent="0.3">
      <c r="A1287" t="s">
        <v>2581</v>
      </c>
      <c r="B1287" s="5" t="e" cm="1">
        <f t="array" ref="B1287">MAX(#REF!,MIN(#REF!,#REF!+SUMPRODUCT(--(FoodData[[#This Row],[Healthy]:[Refined]]="Yes"),#REF!)+FoodData[[#This Row],[Adjust]]))</f>
        <v>#REF!</v>
      </c>
      <c r="C1287" s="1" t="e">
        <f>LOOKUP(FoodData[[#This Row],[Score]],#REF!,#REF!)</f>
        <v>#REF!</v>
      </c>
      <c r="D1287" t="s">
        <v>2446</v>
      </c>
      <c r="E1287" t="s">
        <v>556</v>
      </c>
      <c r="F1287" t="s">
        <v>22</v>
      </c>
      <c r="G1287" t="s">
        <v>489</v>
      </c>
      <c r="H1287" t="s">
        <v>2582</v>
      </c>
      <c r="I1287" s="1" t="s">
        <v>25</v>
      </c>
      <c r="J1287" s="1" t="s">
        <v>25</v>
      </c>
      <c r="K1287" s="1" t="s">
        <v>26</v>
      </c>
      <c r="L1287" s="1" t="s">
        <v>25</v>
      </c>
      <c r="M1287" s="1" t="s">
        <v>26</v>
      </c>
      <c r="N1287" s="1" t="s">
        <v>25</v>
      </c>
      <c r="O1287" s="1" t="s">
        <v>25</v>
      </c>
      <c r="P1287" s="1" t="s">
        <v>25</v>
      </c>
      <c r="Q1287" s="1" t="s">
        <v>26</v>
      </c>
      <c r="R1287" s="1" t="s">
        <v>25</v>
      </c>
      <c r="S1287" s="2">
        <v>0</v>
      </c>
    </row>
    <row r="1288" spans="1:19" x14ac:dyDescent="0.3">
      <c r="A1288" t="s">
        <v>2583</v>
      </c>
      <c r="B1288" s="5" t="e" cm="1">
        <f t="array" ref="B1288">MAX(#REF!,MIN(#REF!,#REF!+SUMPRODUCT(--(FoodData[[#This Row],[Healthy]:[Refined]]="Yes"),#REF!)+FoodData[[#This Row],[Adjust]]))</f>
        <v>#REF!</v>
      </c>
      <c r="C1288" s="1" t="e">
        <f>LOOKUP(FoodData[[#This Row],[Score]],#REF!,#REF!)</f>
        <v>#REF!</v>
      </c>
      <c r="D1288" t="s">
        <v>2446</v>
      </c>
      <c r="E1288" t="s">
        <v>556</v>
      </c>
      <c r="F1288" t="s">
        <v>22</v>
      </c>
      <c r="G1288" t="s">
        <v>489</v>
      </c>
      <c r="H1288" t="s">
        <v>2584</v>
      </c>
      <c r="I1288" s="1" t="s">
        <v>25</v>
      </c>
      <c r="J1288" s="1" t="s">
        <v>25</v>
      </c>
      <c r="K1288" s="1" t="s">
        <v>25</v>
      </c>
      <c r="L1288" s="1" t="s">
        <v>25</v>
      </c>
      <c r="M1288" s="1" t="s">
        <v>26</v>
      </c>
      <c r="N1288" s="1" t="s">
        <v>25</v>
      </c>
      <c r="O1288" s="1" t="s">
        <v>26</v>
      </c>
      <c r="P1288" s="1" t="s">
        <v>25</v>
      </c>
      <c r="Q1288" s="1" t="s">
        <v>26</v>
      </c>
      <c r="R1288" s="1" t="s">
        <v>26</v>
      </c>
      <c r="S1288" s="2">
        <v>2</v>
      </c>
    </row>
    <row r="1289" spans="1:19" x14ac:dyDescent="0.3">
      <c r="A1289" t="s">
        <v>2585</v>
      </c>
      <c r="B1289" s="5" t="e" cm="1">
        <f t="array" ref="B1289">MAX(#REF!,MIN(#REF!,#REF!+SUMPRODUCT(--(FoodData[[#This Row],[Healthy]:[Refined]]="Yes"),#REF!)+FoodData[[#This Row],[Adjust]]))</f>
        <v>#REF!</v>
      </c>
      <c r="C1289" s="1" t="e">
        <f>LOOKUP(FoodData[[#This Row],[Score]],#REF!,#REF!)</f>
        <v>#REF!</v>
      </c>
      <c r="D1289" t="s">
        <v>2446</v>
      </c>
      <c r="E1289" t="s">
        <v>556</v>
      </c>
      <c r="F1289" t="s">
        <v>22</v>
      </c>
      <c r="G1289" t="s">
        <v>489</v>
      </c>
      <c r="H1289" t="s">
        <v>2586</v>
      </c>
      <c r="I1289" s="1" t="s">
        <v>25</v>
      </c>
      <c r="J1289" s="1" t="s">
        <v>25</v>
      </c>
      <c r="K1289" s="1" t="s">
        <v>25</v>
      </c>
      <c r="L1289" s="1" t="s">
        <v>25</v>
      </c>
      <c r="M1289" s="1" t="s">
        <v>26</v>
      </c>
      <c r="N1289" s="1" t="s">
        <v>25</v>
      </c>
      <c r="O1289" s="1" t="s">
        <v>26</v>
      </c>
      <c r="P1289" s="1" t="s">
        <v>25</v>
      </c>
      <c r="Q1289" s="1" t="s">
        <v>26</v>
      </c>
      <c r="R1289" s="1" t="s">
        <v>25</v>
      </c>
      <c r="S1289" s="2">
        <v>0</v>
      </c>
    </row>
    <row r="1290" spans="1:19" x14ac:dyDescent="0.3">
      <c r="A1290" t="s">
        <v>2587</v>
      </c>
      <c r="B1290" s="5" t="e" cm="1">
        <f t="array" ref="B1290">MAX(#REF!,MIN(#REF!,#REF!+SUMPRODUCT(--(FoodData[[#This Row],[Healthy]:[Refined]]="Yes"),#REF!)+FoodData[[#This Row],[Adjust]]))</f>
        <v>#REF!</v>
      </c>
      <c r="C1290" s="1" t="e">
        <f>LOOKUP(FoodData[[#This Row],[Score]],#REF!,#REF!)</f>
        <v>#REF!</v>
      </c>
      <c r="D1290" t="s">
        <v>2446</v>
      </c>
      <c r="E1290" t="s">
        <v>556</v>
      </c>
      <c r="F1290" t="s">
        <v>22</v>
      </c>
      <c r="G1290" t="s">
        <v>489</v>
      </c>
      <c r="H1290" t="s">
        <v>2588</v>
      </c>
      <c r="I1290" s="1" t="s">
        <v>25</v>
      </c>
      <c r="J1290" s="1" t="s">
        <v>25</v>
      </c>
      <c r="K1290" s="1" t="s">
        <v>25</v>
      </c>
      <c r="L1290" s="1" t="s">
        <v>25</v>
      </c>
      <c r="M1290" s="1" t="s">
        <v>26</v>
      </c>
      <c r="N1290" s="1" t="s">
        <v>25</v>
      </c>
      <c r="O1290" s="1" t="s">
        <v>25</v>
      </c>
      <c r="P1290" s="1" t="s">
        <v>25</v>
      </c>
      <c r="Q1290" s="1" t="s">
        <v>26</v>
      </c>
      <c r="R1290" s="1" t="s">
        <v>25</v>
      </c>
      <c r="S1290" s="2">
        <v>0</v>
      </c>
    </row>
    <row r="1291" spans="1:19" x14ac:dyDescent="0.3">
      <c r="A1291" t="s">
        <v>2589</v>
      </c>
      <c r="B1291" s="5" t="e" cm="1">
        <f t="array" ref="B1291">MAX(#REF!,MIN(#REF!,#REF!+SUMPRODUCT(--(FoodData[[#This Row],[Healthy]:[Refined]]="Yes"),#REF!)+FoodData[[#This Row],[Adjust]]))</f>
        <v>#REF!</v>
      </c>
      <c r="C1291" s="1" t="e">
        <f>LOOKUP(FoodData[[#This Row],[Score]],#REF!,#REF!)</f>
        <v>#REF!</v>
      </c>
      <c r="D1291" t="s">
        <v>2446</v>
      </c>
      <c r="E1291" t="s">
        <v>556</v>
      </c>
      <c r="F1291" t="s">
        <v>22</v>
      </c>
      <c r="G1291" t="s">
        <v>489</v>
      </c>
      <c r="H1291" t="s">
        <v>2590</v>
      </c>
      <c r="I1291" s="1" t="s">
        <v>25</v>
      </c>
      <c r="J1291" s="1" t="s">
        <v>25</v>
      </c>
      <c r="K1291" s="1" t="s">
        <v>26</v>
      </c>
      <c r="L1291" s="1" t="s">
        <v>25</v>
      </c>
      <c r="M1291" s="1" t="s">
        <v>26</v>
      </c>
      <c r="N1291" s="1" t="s">
        <v>25</v>
      </c>
      <c r="O1291" s="1" t="s">
        <v>25</v>
      </c>
      <c r="P1291" s="1" t="s">
        <v>26</v>
      </c>
      <c r="Q1291" s="1" t="s">
        <v>26</v>
      </c>
      <c r="R1291" s="1" t="s">
        <v>25</v>
      </c>
      <c r="S1291" s="2">
        <v>2</v>
      </c>
    </row>
    <row r="1292" spans="1:19" x14ac:dyDescent="0.3">
      <c r="A1292" t="s">
        <v>2591</v>
      </c>
      <c r="B1292" s="5" t="e" cm="1">
        <f t="array" ref="B1292">MAX(#REF!,MIN(#REF!,#REF!+SUMPRODUCT(--(FoodData[[#This Row],[Healthy]:[Refined]]="Yes"),#REF!)+FoodData[[#This Row],[Adjust]]))</f>
        <v>#REF!</v>
      </c>
      <c r="C1292" s="1" t="e">
        <f>LOOKUP(FoodData[[#This Row],[Score]],#REF!,#REF!)</f>
        <v>#REF!</v>
      </c>
      <c r="D1292" t="s">
        <v>2446</v>
      </c>
      <c r="E1292" t="s">
        <v>556</v>
      </c>
      <c r="F1292" t="s">
        <v>22</v>
      </c>
      <c r="G1292" t="s">
        <v>489</v>
      </c>
      <c r="H1292" t="s">
        <v>2592</v>
      </c>
      <c r="I1292" s="1" t="s">
        <v>25</v>
      </c>
      <c r="J1292" s="1" t="s">
        <v>25</v>
      </c>
      <c r="K1292" s="1" t="s">
        <v>26</v>
      </c>
      <c r="L1292" s="1" t="s">
        <v>26</v>
      </c>
      <c r="M1292" s="1" t="s">
        <v>25</v>
      </c>
      <c r="N1292" s="1" t="s">
        <v>25</v>
      </c>
      <c r="O1292" s="1" t="s">
        <v>25</v>
      </c>
      <c r="P1292" s="1" t="s">
        <v>26</v>
      </c>
      <c r="Q1292" s="1" t="s">
        <v>26</v>
      </c>
      <c r="R1292" s="1" t="s">
        <v>26</v>
      </c>
      <c r="S1292" s="2">
        <v>0</v>
      </c>
    </row>
    <row r="1293" spans="1:19" x14ac:dyDescent="0.3">
      <c r="A1293" t="s">
        <v>2593</v>
      </c>
      <c r="B1293" s="5" t="e" cm="1">
        <f t="array" ref="B1293">MAX(#REF!,MIN(#REF!,#REF!+SUMPRODUCT(--(FoodData[[#This Row],[Healthy]:[Refined]]="Yes"),#REF!)+FoodData[[#This Row],[Adjust]]))</f>
        <v>#REF!</v>
      </c>
      <c r="C1293" s="1" t="e">
        <f>LOOKUP(FoodData[[#This Row],[Score]],#REF!,#REF!)</f>
        <v>#REF!</v>
      </c>
      <c r="D1293" t="s">
        <v>2446</v>
      </c>
      <c r="E1293" t="s">
        <v>556</v>
      </c>
      <c r="F1293" t="s">
        <v>22</v>
      </c>
      <c r="G1293" t="s">
        <v>489</v>
      </c>
      <c r="H1293" t="s">
        <v>2594</v>
      </c>
      <c r="I1293" s="1" t="s">
        <v>25</v>
      </c>
      <c r="J1293" s="1" t="s">
        <v>25</v>
      </c>
      <c r="K1293" s="1" t="s">
        <v>26</v>
      </c>
      <c r="L1293" s="1" t="s">
        <v>25</v>
      </c>
      <c r="M1293" s="1" t="s">
        <v>26</v>
      </c>
      <c r="N1293" s="1" t="s">
        <v>25</v>
      </c>
      <c r="O1293" s="1" t="s">
        <v>25</v>
      </c>
      <c r="P1293" s="1" t="s">
        <v>25</v>
      </c>
      <c r="Q1293" s="1" t="s">
        <v>25</v>
      </c>
      <c r="R1293" s="1" t="s">
        <v>25</v>
      </c>
      <c r="S1293" s="2">
        <v>0</v>
      </c>
    </row>
    <row r="1294" spans="1:19" x14ac:dyDescent="0.3">
      <c r="A1294" t="s">
        <v>2595</v>
      </c>
      <c r="B1294" s="5" t="e" cm="1">
        <f t="array" ref="B1294">MAX(#REF!,MIN(#REF!,#REF!+SUMPRODUCT(--(FoodData[[#This Row],[Healthy]:[Refined]]="Yes"),#REF!)+FoodData[[#This Row],[Adjust]]))</f>
        <v>#REF!</v>
      </c>
      <c r="C1294" s="1" t="e">
        <f>LOOKUP(FoodData[[#This Row],[Score]],#REF!,#REF!)</f>
        <v>#REF!</v>
      </c>
      <c r="D1294" t="s">
        <v>2446</v>
      </c>
      <c r="E1294" t="s">
        <v>556</v>
      </c>
      <c r="F1294" t="s">
        <v>22</v>
      </c>
      <c r="G1294" t="s">
        <v>489</v>
      </c>
      <c r="H1294" t="s">
        <v>2596</v>
      </c>
      <c r="I1294" s="1" t="s">
        <v>25</v>
      </c>
      <c r="J1294" s="1" t="s">
        <v>25</v>
      </c>
      <c r="K1294" s="1" t="s">
        <v>25</v>
      </c>
      <c r="L1294" s="1" t="s">
        <v>25</v>
      </c>
      <c r="M1294" s="1" t="s">
        <v>26</v>
      </c>
      <c r="N1294" s="1" t="s">
        <v>25</v>
      </c>
      <c r="O1294" s="1" t="s">
        <v>25</v>
      </c>
      <c r="P1294" s="1" t="s">
        <v>25</v>
      </c>
      <c r="Q1294" s="1" t="s">
        <v>25</v>
      </c>
      <c r="R1294" s="1" t="s">
        <v>25</v>
      </c>
      <c r="S1294" s="2">
        <v>0</v>
      </c>
    </row>
    <row r="1295" spans="1:19" x14ac:dyDescent="0.3">
      <c r="A1295" t="s">
        <v>2597</v>
      </c>
      <c r="B1295" s="5" t="e" cm="1">
        <f t="array" ref="B1295">MAX(#REF!,MIN(#REF!,#REF!+SUMPRODUCT(--(FoodData[[#This Row],[Healthy]:[Refined]]="Yes"),#REF!)+FoodData[[#This Row],[Adjust]]))</f>
        <v>#REF!</v>
      </c>
      <c r="C1295" s="1" t="e">
        <f>LOOKUP(FoodData[[#This Row],[Score]],#REF!,#REF!)</f>
        <v>#REF!</v>
      </c>
      <c r="D1295" t="s">
        <v>2446</v>
      </c>
      <c r="E1295" t="s">
        <v>556</v>
      </c>
      <c r="F1295" t="s">
        <v>22</v>
      </c>
      <c r="G1295" t="s">
        <v>489</v>
      </c>
      <c r="H1295" t="s">
        <v>2598</v>
      </c>
      <c r="I1295" s="1" t="s">
        <v>25</v>
      </c>
      <c r="J1295" s="1" t="s">
        <v>25</v>
      </c>
      <c r="K1295" s="1" t="s">
        <v>25</v>
      </c>
      <c r="L1295" s="1" t="s">
        <v>25</v>
      </c>
      <c r="M1295" s="1" t="s">
        <v>26</v>
      </c>
      <c r="N1295" s="1" t="s">
        <v>25</v>
      </c>
      <c r="O1295" s="1" t="s">
        <v>25</v>
      </c>
      <c r="P1295" s="1" t="s">
        <v>25</v>
      </c>
      <c r="Q1295" s="1" t="s">
        <v>25</v>
      </c>
      <c r="R1295" s="1" t="s">
        <v>25</v>
      </c>
      <c r="S1295" s="2">
        <v>0</v>
      </c>
    </row>
    <row r="1296" spans="1:19" x14ac:dyDescent="0.3">
      <c r="A1296" t="s">
        <v>2599</v>
      </c>
      <c r="B1296" s="5" t="e" cm="1">
        <f t="array" ref="B1296">MAX(#REF!,MIN(#REF!,#REF!+SUMPRODUCT(--(FoodData[[#This Row],[Healthy]:[Refined]]="Yes"),#REF!)+FoodData[[#This Row],[Adjust]]))</f>
        <v>#REF!</v>
      </c>
      <c r="C1296" s="1" t="e">
        <f>LOOKUP(FoodData[[#This Row],[Score]],#REF!,#REF!)</f>
        <v>#REF!</v>
      </c>
      <c r="D1296" t="s">
        <v>2446</v>
      </c>
      <c r="E1296" t="s">
        <v>556</v>
      </c>
      <c r="F1296" t="s">
        <v>22</v>
      </c>
      <c r="G1296" t="s">
        <v>489</v>
      </c>
      <c r="H1296" t="s">
        <v>2600</v>
      </c>
      <c r="I1296" s="1" t="s">
        <v>25</v>
      </c>
      <c r="J1296" s="1" t="s">
        <v>25</v>
      </c>
      <c r="K1296" s="1" t="s">
        <v>25</v>
      </c>
      <c r="L1296" s="1" t="s">
        <v>25</v>
      </c>
      <c r="M1296" s="1" t="s">
        <v>26</v>
      </c>
      <c r="N1296" s="1" t="s">
        <v>25</v>
      </c>
      <c r="O1296" s="1" t="s">
        <v>26</v>
      </c>
      <c r="P1296" s="1" t="s">
        <v>25</v>
      </c>
      <c r="Q1296" s="1" t="s">
        <v>26</v>
      </c>
      <c r="R1296" s="1" t="s">
        <v>25</v>
      </c>
      <c r="S1296" s="2">
        <v>0</v>
      </c>
    </row>
    <row r="1297" spans="1:19" x14ac:dyDescent="0.3">
      <c r="A1297" t="s">
        <v>2601</v>
      </c>
      <c r="B1297" s="5" t="e" cm="1">
        <f t="array" ref="B1297">MAX(#REF!,MIN(#REF!,#REF!+SUMPRODUCT(--(FoodData[[#This Row],[Healthy]:[Refined]]="Yes"),#REF!)+FoodData[[#This Row],[Adjust]]))</f>
        <v>#REF!</v>
      </c>
      <c r="C1297" s="1" t="e">
        <f>LOOKUP(FoodData[[#This Row],[Score]],#REF!,#REF!)</f>
        <v>#REF!</v>
      </c>
      <c r="D1297" t="s">
        <v>2446</v>
      </c>
      <c r="E1297" t="s">
        <v>556</v>
      </c>
      <c r="F1297" t="s">
        <v>22</v>
      </c>
      <c r="G1297" t="s">
        <v>489</v>
      </c>
      <c r="H1297" t="s">
        <v>2602</v>
      </c>
      <c r="I1297" s="1" t="s">
        <v>25</v>
      </c>
      <c r="J1297" s="1" t="s">
        <v>25</v>
      </c>
      <c r="K1297" s="1" t="s">
        <v>25</v>
      </c>
      <c r="L1297" s="1" t="s">
        <v>26</v>
      </c>
      <c r="M1297" s="1" t="s">
        <v>26</v>
      </c>
      <c r="N1297" s="1" t="s">
        <v>25</v>
      </c>
      <c r="O1297" s="1" t="s">
        <v>25</v>
      </c>
      <c r="P1297" s="1" t="s">
        <v>26</v>
      </c>
      <c r="Q1297" s="1" t="s">
        <v>26</v>
      </c>
      <c r="R1297" s="1" t="s">
        <v>25</v>
      </c>
      <c r="S1297" s="2">
        <v>2</v>
      </c>
    </row>
    <row r="1298" spans="1:19" x14ac:dyDescent="0.3">
      <c r="A1298" t="s">
        <v>2603</v>
      </c>
      <c r="B1298" s="5" t="e" cm="1">
        <f t="array" ref="B1298">MAX(#REF!,MIN(#REF!,#REF!+SUMPRODUCT(--(FoodData[[#This Row],[Healthy]:[Refined]]="Yes"),#REF!)+FoodData[[#This Row],[Adjust]]))</f>
        <v>#REF!</v>
      </c>
      <c r="C1298" s="1" t="e">
        <f>LOOKUP(FoodData[[#This Row],[Score]],#REF!,#REF!)</f>
        <v>#REF!</v>
      </c>
      <c r="D1298" t="s">
        <v>2446</v>
      </c>
      <c r="E1298" t="s">
        <v>556</v>
      </c>
      <c r="F1298" t="s">
        <v>22</v>
      </c>
      <c r="G1298" t="s">
        <v>489</v>
      </c>
      <c r="H1298" t="s">
        <v>2604</v>
      </c>
      <c r="I1298" s="1" t="s">
        <v>25</v>
      </c>
      <c r="J1298" s="1" t="s">
        <v>25</v>
      </c>
      <c r="K1298" s="1" t="s">
        <v>25</v>
      </c>
      <c r="L1298" s="1" t="s">
        <v>25</v>
      </c>
      <c r="M1298" s="1" t="s">
        <v>26</v>
      </c>
      <c r="N1298" s="1" t="s">
        <v>25</v>
      </c>
      <c r="O1298" s="1" t="s">
        <v>26</v>
      </c>
      <c r="P1298" s="1" t="s">
        <v>26</v>
      </c>
      <c r="Q1298" s="1" t="s">
        <v>25</v>
      </c>
      <c r="R1298" s="1" t="s">
        <v>25</v>
      </c>
      <c r="S1298" s="2">
        <v>0</v>
      </c>
    </row>
    <row r="1299" spans="1:19" x14ac:dyDescent="0.3">
      <c r="A1299" t="s">
        <v>2605</v>
      </c>
      <c r="B1299" s="5" t="e" cm="1">
        <f t="array" ref="B1299">MAX(#REF!,MIN(#REF!,#REF!+SUMPRODUCT(--(FoodData[[#This Row],[Healthy]:[Refined]]="Yes"),#REF!)+FoodData[[#This Row],[Adjust]]))</f>
        <v>#REF!</v>
      </c>
      <c r="C1299" s="1" t="e">
        <f>LOOKUP(FoodData[[#This Row],[Score]],#REF!,#REF!)</f>
        <v>#REF!</v>
      </c>
      <c r="D1299" t="s">
        <v>2446</v>
      </c>
      <c r="E1299" t="s">
        <v>556</v>
      </c>
      <c r="F1299" t="s">
        <v>22</v>
      </c>
      <c r="G1299" t="s">
        <v>489</v>
      </c>
      <c r="H1299" t="s">
        <v>2606</v>
      </c>
      <c r="I1299" s="1" t="s">
        <v>25</v>
      </c>
      <c r="J1299" s="1" t="s">
        <v>25</v>
      </c>
      <c r="K1299" s="1" t="s">
        <v>26</v>
      </c>
      <c r="L1299" s="1" t="s">
        <v>25</v>
      </c>
      <c r="M1299" s="1" t="s">
        <v>26</v>
      </c>
      <c r="N1299" s="1" t="s">
        <v>25</v>
      </c>
      <c r="O1299" s="1" t="s">
        <v>25</v>
      </c>
      <c r="P1299" s="1" t="s">
        <v>25</v>
      </c>
      <c r="Q1299" s="1" t="s">
        <v>25</v>
      </c>
      <c r="R1299" s="1" t="s">
        <v>25</v>
      </c>
      <c r="S1299" s="2">
        <v>0</v>
      </c>
    </row>
    <row r="1300" spans="1:19" x14ac:dyDescent="0.3">
      <c r="A1300" t="s">
        <v>2607</v>
      </c>
      <c r="B1300" s="5" t="e" cm="1">
        <f t="array" ref="B1300">MAX(#REF!,MIN(#REF!,#REF!+SUMPRODUCT(--(FoodData[[#This Row],[Healthy]:[Refined]]="Yes"),#REF!)+FoodData[[#This Row],[Adjust]]))</f>
        <v>#REF!</v>
      </c>
      <c r="C1300" s="1" t="e">
        <f>LOOKUP(FoodData[[#This Row],[Score]],#REF!,#REF!)</f>
        <v>#REF!</v>
      </c>
      <c r="D1300" t="s">
        <v>2446</v>
      </c>
      <c r="E1300" t="s">
        <v>556</v>
      </c>
      <c r="F1300" t="s">
        <v>22</v>
      </c>
      <c r="G1300" t="s">
        <v>489</v>
      </c>
      <c r="H1300" t="s">
        <v>2608</v>
      </c>
      <c r="I1300" s="1" t="s">
        <v>25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25</v>
      </c>
      <c r="Q1300" s="1" t="s">
        <v>25</v>
      </c>
      <c r="R1300" s="1" t="s">
        <v>25</v>
      </c>
      <c r="S1300" s="2">
        <v>0</v>
      </c>
    </row>
    <row r="1301" spans="1:19" x14ac:dyDescent="0.3">
      <c r="A1301" t="s">
        <v>2609</v>
      </c>
      <c r="B1301" s="5" t="e" cm="1">
        <f t="array" ref="B1301">MAX(#REF!,MIN(#REF!,#REF!+SUMPRODUCT(--(FoodData[[#This Row],[Healthy]:[Refined]]="Yes"),#REF!)+FoodData[[#This Row],[Adjust]]))</f>
        <v>#REF!</v>
      </c>
      <c r="C1301" s="1" t="e">
        <f>LOOKUP(FoodData[[#This Row],[Score]],#REF!,#REF!)</f>
        <v>#REF!</v>
      </c>
      <c r="D1301" t="s">
        <v>2446</v>
      </c>
      <c r="E1301" t="s">
        <v>556</v>
      </c>
      <c r="F1301" t="s">
        <v>22</v>
      </c>
      <c r="G1301" t="s">
        <v>489</v>
      </c>
      <c r="H1301" t="s">
        <v>2610</v>
      </c>
      <c r="I1301" s="1" t="s">
        <v>25</v>
      </c>
      <c r="J1301" s="1" t="s">
        <v>25</v>
      </c>
      <c r="K1301" s="1" t="s">
        <v>25</v>
      </c>
      <c r="L1301" s="1" t="s">
        <v>25</v>
      </c>
      <c r="M1301" s="1" t="s">
        <v>26</v>
      </c>
      <c r="N1301" s="1" t="s">
        <v>25</v>
      </c>
      <c r="O1301" s="1" t="s">
        <v>25</v>
      </c>
      <c r="P1301" s="1" t="s">
        <v>25</v>
      </c>
      <c r="Q1301" s="1" t="s">
        <v>25</v>
      </c>
      <c r="R1301" s="1" t="s">
        <v>25</v>
      </c>
      <c r="S1301" s="2">
        <v>0</v>
      </c>
    </row>
    <row r="1302" spans="1:19" x14ac:dyDescent="0.3">
      <c r="A1302" t="s">
        <v>2611</v>
      </c>
      <c r="B1302" s="5" t="e" cm="1">
        <f t="array" ref="B1302">MAX(#REF!,MIN(#REF!,#REF!+SUMPRODUCT(--(FoodData[[#This Row],[Healthy]:[Refined]]="Yes"),#REF!)+FoodData[[#This Row],[Adjust]]))</f>
        <v>#REF!</v>
      </c>
      <c r="C1302" s="1" t="e">
        <f>LOOKUP(FoodData[[#This Row],[Score]],#REF!,#REF!)</f>
        <v>#REF!</v>
      </c>
      <c r="D1302" t="s">
        <v>2446</v>
      </c>
      <c r="E1302" t="s">
        <v>556</v>
      </c>
      <c r="F1302" t="s">
        <v>22</v>
      </c>
      <c r="G1302" t="s">
        <v>489</v>
      </c>
      <c r="H1302" t="s">
        <v>2612</v>
      </c>
      <c r="I1302" s="1" t="s">
        <v>25</v>
      </c>
      <c r="J1302" s="1" t="s">
        <v>25</v>
      </c>
      <c r="K1302" s="1" t="s">
        <v>25</v>
      </c>
      <c r="L1302" s="1" t="s">
        <v>25</v>
      </c>
      <c r="M1302" s="1" t="s">
        <v>26</v>
      </c>
      <c r="N1302" s="1" t="s">
        <v>25</v>
      </c>
      <c r="O1302" s="1" t="s">
        <v>25</v>
      </c>
      <c r="P1302" s="1" t="s">
        <v>26</v>
      </c>
      <c r="Q1302" s="1" t="s">
        <v>25</v>
      </c>
      <c r="R1302" s="1" t="s">
        <v>26</v>
      </c>
      <c r="S1302" s="2">
        <v>0</v>
      </c>
    </row>
    <row r="1303" spans="1:19" x14ac:dyDescent="0.3">
      <c r="A1303" t="s">
        <v>2613</v>
      </c>
      <c r="B1303" s="5" t="e" cm="1">
        <f t="array" ref="B1303">MAX(#REF!,MIN(#REF!,#REF!+SUMPRODUCT(--(FoodData[[#This Row],[Healthy]:[Refined]]="Yes"),#REF!)+FoodData[[#This Row],[Adjust]]))</f>
        <v>#REF!</v>
      </c>
      <c r="C1303" s="1" t="e">
        <f>LOOKUP(FoodData[[#This Row],[Score]],#REF!,#REF!)</f>
        <v>#REF!</v>
      </c>
      <c r="D1303" t="s">
        <v>2446</v>
      </c>
      <c r="E1303" t="s">
        <v>556</v>
      </c>
      <c r="F1303" t="s">
        <v>22</v>
      </c>
      <c r="G1303" t="s">
        <v>489</v>
      </c>
      <c r="H1303" t="s">
        <v>2614</v>
      </c>
      <c r="I1303" s="1" t="s">
        <v>25</v>
      </c>
      <c r="J1303" s="1" t="s">
        <v>25</v>
      </c>
      <c r="K1303" s="1" t="s">
        <v>26</v>
      </c>
      <c r="L1303" s="1" t="s">
        <v>26</v>
      </c>
      <c r="M1303" s="1" t="s">
        <v>26</v>
      </c>
      <c r="N1303" s="1" t="s">
        <v>25</v>
      </c>
      <c r="O1303" s="1" t="s">
        <v>25</v>
      </c>
      <c r="P1303" s="1" t="s">
        <v>25</v>
      </c>
      <c r="Q1303" s="1" t="s">
        <v>25</v>
      </c>
      <c r="R1303" s="1" t="s">
        <v>25</v>
      </c>
      <c r="S1303" s="2">
        <v>0</v>
      </c>
    </row>
    <row r="1304" spans="1:19" x14ac:dyDescent="0.3">
      <c r="A1304" t="s">
        <v>2615</v>
      </c>
      <c r="B1304" s="5" t="e" cm="1">
        <f t="array" ref="B1304">MAX(#REF!,MIN(#REF!,#REF!+SUMPRODUCT(--(FoodData[[#This Row],[Healthy]:[Refined]]="Yes"),#REF!)+FoodData[[#This Row],[Adjust]]))</f>
        <v>#REF!</v>
      </c>
      <c r="C1304" s="1" t="e">
        <f>LOOKUP(FoodData[[#This Row],[Score]],#REF!,#REF!)</f>
        <v>#REF!</v>
      </c>
      <c r="D1304" t="s">
        <v>2446</v>
      </c>
      <c r="E1304" t="s">
        <v>556</v>
      </c>
      <c r="F1304" t="s">
        <v>22</v>
      </c>
      <c r="G1304" t="s">
        <v>489</v>
      </c>
      <c r="H1304" t="s">
        <v>2616</v>
      </c>
      <c r="I1304" s="1" t="s">
        <v>25</v>
      </c>
      <c r="J1304" s="1" t="s">
        <v>25</v>
      </c>
      <c r="K1304" s="1" t="s">
        <v>26</v>
      </c>
      <c r="L1304" s="1" t="s">
        <v>25</v>
      </c>
      <c r="M1304" s="1" t="s">
        <v>26</v>
      </c>
      <c r="N1304" s="1" t="s">
        <v>25</v>
      </c>
      <c r="O1304" s="1" t="s">
        <v>25</v>
      </c>
      <c r="P1304" s="1" t="s">
        <v>25</v>
      </c>
      <c r="Q1304" s="1" t="s">
        <v>25</v>
      </c>
      <c r="R1304" s="1" t="s">
        <v>25</v>
      </c>
      <c r="S1304" s="2">
        <v>0</v>
      </c>
    </row>
    <row r="1305" spans="1:19" x14ac:dyDescent="0.3">
      <c r="A1305" t="s">
        <v>2617</v>
      </c>
      <c r="B1305" s="5" t="e" cm="1">
        <f t="array" ref="B1305">MAX(#REF!,MIN(#REF!,#REF!+SUMPRODUCT(--(FoodData[[#This Row],[Healthy]:[Refined]]="Yes"),#REF!)+FoodData[[#This Row],[Adjust]]))</f>
        <v>#REF!</v>
      </c>
      <c r="C1305" s="1" t="e">
        <f>LOOKUP(FoodData[[#This Row],[Score]],#REF!,#REF!)</f>
        <v>#REF!</v>
      </c>
      <c r="D1305" t="s">
        <v>2446</v>
      </c>
      <c r="E1305" t="s">
        <v>556</v>
      </c>
      <c r="F1305" t="s">
        <v>22</v>
      </c>
      <c r="G1305" t="s">
        <v>489</v>
      </c>
      <c r="H1305" t="s">
        <v>2618</v>
      </c>
      <c r="I1305" s="1" t="s">
        <v>25</v>
      </c>
      <c r="J1305" s="1" t="s">
        <v>25</v>
      </c>
      <c r="K1305" s="1" t="s">
        <v>25</v>
      </c>
      <c r="L1305" s="1" t="s">
        <v>26</v>
      </c>
      <c r="M1305" s="1" t="s">
        <v>26</v>
      </c>
      <c r="N1305" s="1" t="s">
        <v>25</v>
      </c>
      <c r="O1305" s="1" t="s">
        <v>25</v>
      </c>
      <c r="P1305" s="1" t="s">
        <v>25</v>
      </c>
      <c r="Q1305" s="1" t="s">
        <v>25</v>
      </c>
      <c r="R1305" s="1" t="s">
        <v>25</v>
      </c>
      <c r="S1305" s="2">
        <v>0</v>
      </c>
    </row>
    <row r="1306" spans="1:19" x14ac:dyDescent="0.3">
      <c r="A1306" t="s">
        <v>2619</v>
      </c>
      <c r="B1306" s="5" t="e" cm="1">
        <f t="array" ref="B1306">MAX(#REF!,MIN(#REF!,#REF!+SUMPRODUCT(--(FoodData[[#This Row],[Healthy]:[Refined]]="Yes"),#REF!)+FoodData[[#This Row],[Adjust]]))</f>
        <v>#REF!</v>
      </c>
      <c r="C1306" s="1" t="e">
        <f>LOOKUP(FoodData[[#This Row],[Score]],#REF!,#REF!)</f>
        <v>#REF!</v>
      </c>
      <c r="D1306" t="s">
        <v>2446</v>
      </c>
      <c r="E1306" t="s">
        <v>556</v>
      </c>
      <c r="F1306" t="s">
        <v>22</v>
      </c>
      <c r="G1306" t="s">
        <v>489</v>
      </c>
      <c r="H1306" t="s">
        <v>2620</v>
      </c>
      <c r="I1306" s="1" t="s">
        <v>25</v>
      </c>
      <c r="J1306" s="1" t="s">
        <v>25</v>
      </c>
      <c r="K1306" s="1" t="s">
        <v>25</v>
      </c>
      <c r="L1306" s="1" t="s">
        <v>25</v>
      </c>
      <c r="M1306" s="1" t="s">
        <v>26</v>
      </c>
      <c r="N1306" s="1" t="s">
        <v>25</v>
      </c>
      <c r="O1306" s="1" t="s">
        <v>26</v>
      </c>
      <c r="P1306" s="1" t="s">
        <v>25</v>
      </c>
      <c r="Q1306" s="1" t="s">
        <v>25</v>
      </c>
      <c r="R1306" s="1" t="s">
        <v>25</v>
      </c>
      <c r="S1306" s="2">
        <v>0</v>
      </c>
    </row>
    <row r="1307" spans="1:19" x14ac:dyDescent="0.3">
      <c r="A1307" t="s">
        <v>2621</v>
      </c>
      <c r="B1307" s="5" t="e" cm="1">
        <f t="array" ref="B1307">MAX(#REF!,MIN(#REF!,#REF!+SUMPRODUCT(--(FoodData[[#This Row],[Healthy]:[Refined]]="Yes"),#REF!)+FoodData[[#This Row],[Adjust]]))</f>
        <v>#REF!</v>
      </c>
      <c r="C1307" s="1" t="e">
        <f>LOOKUP(FoodData[[#This Row],[Score]],#REF!,#REF!)</f>
        <v>#REF!</v>
      </c>
      <c r="D1307" t="s">
        <v>2446</v>
      </c>
      <c r="E1307" t="s">
        <v>556</v>
      </c>
      <c r="F1307" t="s">
        <v>22</v>
      </c>
      <c r="G1307" t="s">
        <v>489</v>
      </c>
      <c r="H1307" t="s">
        <v>2622</v>
      </c>
      <c r="I1307" s="1" t="s">
        <v>25</v>
      </c>
      <c r="J1307" s="1" t="s">
        <v>25</v>
      </c>
      <c r="K1307" s="1" t="s">
        <v>25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25</v>
      </c>
      <c r="Q1307" s="1" t="s">
        <v>25</v>
      </c>
      <c r="R1307" s="1" t="s">
        <v>25</v>
      </c>
      <c r="S1307" s="2">
        <v>0</v>
      </c>
    </row>
    <row r="1308" spans="1:19" x14ac:dyDescent="0.3">
      <c r="A1308" t="s">
        <v>2623</v>
      </c>
      <c r="B1308" s="5" t="e" cm="1">
        <f t="array" ref="B1308">MAX(#REF!,MIN(#REF!,#REF!+SUMPRODUCT(--(FoodData[[#This Row],[Healthy]:[Refined]]="Yes"),#REF!)+FoodData[[#This Row],[Adjust]]))</f>
        <v>#REF!</v>
      </c>
      <c r="C1308" s="1" t="e">
        <f>LOOKUP(FoodData[[#This Row],[Score]],#REF!,#REF!)</f>
        <v>#REF!</v>
      </c>
      <c r="D1308" t="s">
        <v>2446</v>
      </c>
      <c r="E1308" t="s">
        <v>556</v>
      </c>
      <c r="F1308" t="s">
        <v>22</v>
      </c>
      <c r="G1308" t="s">
        <v>489</v>
      </c>
      <c r="H1308" t="s">
        <v>2624</v>
      </c>
      <c r="I1308" s="1" t="s">
        <v>25</v>
      </c>
      <c r="J1308" s="1" t="s">
        <v>25</v>
      </c>
      <c r="K1308" s="1" t="s">
        <v>26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26</v>
      </c>
      <c r="Q1308" s="1" t="s">
        <v>26</v>
      </c>
      <c r="R1308" s="1" t="s">
        <v>25</v>
      </c>
      <c r="S1308" s="2">
        <v>0</v>
      </c>
    </row>
    <row r="1309" spans="1:19" x14ac:dyDescent="0.3">
      <c r="A1309" t="s">
        <v>2625</v>
      </c>
      <c r="B1309" s="5" t="e" cm="1">
        <f t="array" ref="B1309">MAX(#REF!,MIN(#REF!,#REF!+SUMPRODUCT(--(FoodData[[#This Row],[Healthy]:[Refined]]="Yes"),#REF!)+FoodData[[#This Row],[Adjust]]))</f>
        <v>#REF!</v>
      </c>
      <c r="C1309" s="1" t="e">
        <f>LOOKUP(FoodData[[#This Row],[Score]],#REF!,#REF!)</f>
        <v>#REF!</v>
      </c>
      <c r="D1309" t="s">
        <v>2446</v>
      </c>
      <c r="E1309" t="s">
        <v>556</v>
      </c>
      <c r="F1309" t="s">
        <v>22</v>
      </c>
      <c r="G1309" t="s">
        <v>489</v>
      </c>
      <c r="H1309" t="s">
        <v>2481</v>
      </c>
      <c r="I1309" s="1" t="s">
        <v>25</v>
      </c>
      <c r="J1309" s="1" t="s">
        <v>25</v>
      </c>
      <c r="K1309" s="1" t="s">
        <v>26</v>
      </c>
      <c r="L1309" s="1" t="s">
        <v>25</v>
      </c>
      <c r="M1309" s="1" t="s">
        <v>26</v>
      </c>
      <c r="N1309" s="1" t="s">
        <v>25</v>
      </c>
      <c r="O1309" s="1" t="s">
        <v>26</v>
      </c>
      <c r="P1309" s="1" t="s">
        <v>25</v>
      </c>
      <c r="Q1309" s="1" t="s">
        <v>26</v>
      </c>
      <c r="R1309" s="1" t="s">
        <v>25</v>
      </c>
      <c r="S1309" s="2">
        <v>0</v>
      </c>
    </row>
    <row r="1310" spans="1:19" x14ac:dyDescent="0.3">
      <c r="A1310" t="s">
        <v>2626</v>
      </c>
      <c r="B1310" s="5" t="e" cm="1">
        <f t="array" ref="B1310">MAX(#REF!,MIN(#REF!,#REF!+SUMPRODUCT(--(FoodData[[#This Row],[Healthy]:[Refined]]="Yes"),#REF!)+FoodData[[#This Row],[Adjust]]))</f>
        <v>#REF!</v>
      </c>
      <c r="C1310" s="1" t="e">
        <f>LOOKUP(FoodData[[#This Row],[Score]],#REF!,#REF!)</f>
        <v>#REF!</v>
      </c>
      <c r="D1310" t="s">
        <v>2446</v>
      </c>
      <c r="E1310" t="s">
        <v>556</v>
      </c>
      <c r="F1310" t="s">
        <v>22</v>
      </c>
      <c r="G1310" t="s">
        <v>489</v>
      </c>
      <c r="H1310" t="s">
        <v>2627</v>
      </c>
      <c r="I1310" s="1" t="s">
        <v>25</v>
      </c>
      <c r="J1310" s="1" t="s">
        <v>25</v>
      </c>
      <c r="K1310" s="1" t="s">
        <v>25</v>
      </c>
      <c r="L1310" s="1" t="s">
        <v>25</v>
      </c>
      <c r="M1310" s="1" t="s">
        <v>26</v>
      </c>
      <c r="N1310" s="1" t="s">
        <v>25</v>
      </c>
      <c r="O1310" s="1" t="s">
        <v>25</v>
      </c>
      <c r="P1310" s="1" t="s">
        <v>26</v>
      </c>
      <c r="Q1310" s="1" t="s">
        <v>25</v>
      </c>
      <c r="R1310" s="1" t="s">
        <v>25</v>
      </c>
      <c r="S1310" s="2">
        <v>0</v>
      </c>
    </row>
    <row r="1311" spans="1:19" x14ac:dyDescent="0.3">
      <c r="A1311" t="s">
        <v>2628</v>
      </c>
      <c r="B1311" s="5" t="e" cm="1">
        <f t="array" ref="B1311">MAX(#REF!,MIN(#REF!,#REF!+SUMPRODUCT(--(FoodData[[#This Row],[Healthy]:[Refined]]="Yes"),#REF!)+FoodData[[#This Row],[Adjust]]))</f>
        <v>#REF!</v>
      </c>
      <c r="C1311" s="1" t="e">
        <f>LOOKUP(FoodData[[#This Row],[Score]],#REF!,#REF!)</f>
        <v>#REF!</v>
      </c>
      <c r="D1311" t="s">
        <v>2446</v>
      </c>
      <c r="E1311" t="s">
        <v>556</v>
      </c>
      <c r="F1311" t="s">
        <v>22</v>
      </c>
      <c r="G1311" t="s">
        <v>489</v>
      </c>
      <c r="H1311" t="s">
        <v>2629</v>
      </c>
      <c r="I1311" s="1" t="s">
        <v>25</v>
      </c>
      <c r="J1311" s="1" t="s">
        <v>25</v>
      </c>
      <c r="K1311" s="1" t="s">
        <v>25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25</v>
      </c>
      <c r="Q1311" s="1" t="s">
        <v>25</v>
      </c>
      <c r="R1311" s="1" t="s">
        <v>25</v>
      </c>
      <c r="S1311" s="2">
        <v>0</v>
      </c>
    </row>
    <row r="1312" spans="1:19" x14ac:dyDescent="0.3">
      <c r="A1312" t="s">
        <v>2630</v>
      </c>
      <c r="B1312" s="5" t="e" cm="1">
        <f t="array" ref="B1312">MAX(#REF!,MIN(#REF!,#REF!+SUMPRODUCT(--(FoodData[[#This Row],[Healthy]:[Refined]]="Yes"),#REF!)+FoodData[[#This Row],[Adjust]]))</f>
        <v>#REF!</v>
      </c>
      <c r="C1312" s="1" t="e">
        <f>LOOKUP(FoodData[[#This Row],[Score]],#REF!,#REF!)</f>
        <v>#REF!</v>
      </c>
      <c r="D1312" t="s">
        <v>2446</v>
      </c>
      <c r="E1312" t="s">
        <v>556</v>
      </c>
      <c r="F1312" t="s">
        <v>22</v>
      </c>
      <c r="G1312" t="s">
        <v>489</v>
      </c>
      <c r="H1312" t="s">
        <v>2631</v>
      </c>
      <c r="I1312" s="1" t="s">
        <v>25</v>
      </c>
      <c r="J1312" s="1" t="s">
        <v>25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25</v>
      </c>
      <c r="Q1312" s="1" t="s">
        <v>25</v>
      </c>
      <c r="R1312" s="1" t="s">
        <v>25</v>
      </c>
      <c r="S1312" s="2">
        <v>0</v>
      </c>
    </row>
    <row r="1313" spans="1:19" x14ac:dyDescent="0.3">
      <c r="A1313" t="s">
        <v>2632</v>
      </c>
      <c r="B1313" s="5" t="e" cm="1">
        <f t="array" ref="B1313">MAX(#REF!,MIN(#REF!,#REF!+SUMPRODUCT(--(FoodData[[#This Row],[Healthy]:[Refined]]="Yes"),#REF!)+FoodData[[#This Row],[Adjust]]))</f>
        <v>#REF!</v>
      </c>
      <c r="C1313" s="1" t="e">
        <f>LOOKUP(FoodData[[#This Row],[Score]],#REF!,#REF!)</f>
        <v>#REF!</v>
      </c>
      <c r="D1313" t="s">
        <v>2446</v>
      </c>
      <c r="E1313" t="s">
        <v>556</v>
      </c>
      <c r="F1313" t="s">
        <v>22</v>
      </c>
      <c r="G1313" t="s">
        <v>489</v>
      </c>
      <c r="H1313" t="s">
        <v>2503</v>
      </c>
      <c r="I1313" s="1" t="s">
        <v>25</v>
      </c>
      <c r="J1313" s="1" t="s">
        <v>25</v>
      </c>
      <c r="K1313" s="1" t="s">
        <v>26</v>
      </c>
      <c r="L1313" s="1" t="s">
        <v>25</v>
      </c>
      <c r="M1313" s="1" t="s">
        <v>26</v>
      </c>
      <c r="N1313" s="1" t="s">
        <v>25</v>
      </c>
      <c r="O1313" s="1" t="s">
        <v>26</v>
      </c>
      <c r="P1313" s="1" t="s">
        <v>26</v>
      </c>
      <c r="Q1313" s="1" t="s">
        <v>26</v>
      </c>
      <c r="R1313" s="1" t="s">
        <v>25</v>
      </c>
      <c r="S1313" s="2">
        <v>2</v>
      </c>
    </row>
    <row r="1314" spans="1:19" x14ac:dyDescent="0.3">
      <c r="A1314" t="s">
        <v>2633</v>
      </c>
      <c r="B1314" s="5" t="e" cm="1">
        <f t="array" ref="B1314">MAX(#REF!,MIN(#REF!,#REF!+SUMPRODUCT(--(FoodData[[#This Row],[Healthy]:[Refined]]="Yes"),#REF!)+FoodData[[#This Row],[Adjust]]))</f>
        <v>#REF!</v>
      </c>
      <c r="C1314" s="1" t="e">
        <f>LOOKUP(FoodData[[#This Row],[Score]],#REF!,#REF!)</f>
        <v>#REF!</v>
      </c>
      <c r="D1314" t="s">
        <v>2446</v>
      </c>
      <c r="E1314" t="s">
        <v>556</v>
      </c>
      <c r="F1314" t="s">
        <v>22</v>
      </c>
      <c r="G1314" t="s">
        <v>489</v>
      </c>
      <c r="H1314" t="s">
        <v>2634</v>
      </c>
      <c r="I1314" s="1" t="s">
        <v>25</v>
      </c>
      <c r="J1314" s="1" t="s">
        <v>25</v>
      </c>
      <c r="K1314" s="1" t="s">
        <v>26</v>
      </c>
      <c r="L1314" s="1" t="s">
        <v>25</v>
      </c>
      <c r="M1314" s="1" t="s">
        <v>26</v>
      </c>
      <c r="N1314" s="1" t="s">
        <v>26</v>
      </c>
      <c r="O1314" s="1" t="s">
        <v>25</v>
      </c>
      <c r="P1314" s="1" t="s">
        <v>26</v>
      </c>
      <c r="Q1314" s="1" t="s">
        <v>26</v>
      </c>
      <c r="R1314" s="1" t="s">
        <v>25</v>
      </c>
      <c r="S1314" s="2">
        <v>2</v>
      </c>
    </row>
    <row r="1315" spans="1:19" x14ac:dyDescent="0.3">
      <c r="A1315" t="s">
        <v>2635</v>
      </c>
      <c r="B1315" s="5" t="e" cm="1">
        <f t="array" ref="B1315">MAX(#REF!,MIN(#REF!,#REF!+SUMPRODUCT(--(FoodData[[#This Row],[Healthy]:[Refined]]="Yes"),#REF!)+FoodData[[#This Row],[Adjust]]))</f>
        <v>#REF!</v>
      </c>
      <c r="C1315" s="1" t="e">
        <f>LOOKUP(FoodData[[#This Row],[Score]],#REF!,#REF!)</f>
        <v>#REF!</v>
      </c>
      <c r="D1315" t="s">
        <v>2446</v>
      </c>
      <c r="E1315" t="s">
        <v>556</v>
      </c>
      <c r="F1315" t="s">
        <v>22</v>
      </c>
      <c r="G1315" t="s">
        <v>489</v>
      </c>
      <c r="H1315" t="s">
        <v>2636</v>
      </c>
      <c r="I1315" s="1" t="s">
        <v>25</v>
      </c>
      <c r="J1315" s="1" t="s">
        <v>25</v>
      </c>
      <c r="K1315" s="1" t="s">
        <v>25</v>
      </c>
      <c r="L1315" s="1" t="s">
        <v>25</v>
      </c>
      <c r="M1315" s="1" t="s">
        <v>26</v>
      </c>
      <c r="N1315" s="1" t="s">
        <v>25</v>
      </c>
      <c r="O1315" s="1" t="s">
        <v>25</v>
      </c>
      <c r="P1315" s="1" t="s">
        <v>25</v>
      </c>
      <c r="Q1315" s="1" t="s">
        <v>25</v>
      </c>
      <c r="R1315" s="1" t="s">
        <v>25</v>
      </c>
      <c r="S1315" s="2">
        <v>0</v>
      </c>
    </row>
    <row r="1316" spans="1:19" x14ac:dyDescent="0.3">
      <c r="A1316" t="s">
        <v>2637</v>
      </c>
      <c r="B1316" s="5" t="e" cm="1">
        <f t="array" ref="B1316">MAX(#REF!,MIN(#REF!,#REF!+SUMPRODUCT(--(FoodData[[#This Row],[Healthy]:[Refined]]="Yes"),#REF!)+FoodData[[#This Row],[Adjust]]))</f>
        <v>#REF!</v>
      </c>
      <c r="C1316" s="1" t="e">
        <f>LOOKUP(FoodData[[#This Row],[Score]],#REF!,#REF!)</f>
        <v>#REF!</v>
      </c>
      <c r="D1316" t="s">
        <v>2446</v>
      </c>
      <c r="E1316" t="s">
        <v>556</v>
      </c>
      <c r="F1316" t="s">
        <v>22</v>
      </c>
      <c r="G1316" t="s">
        <v>489</v>
      </c>
      <c r="H1316" t="s">
        <v>2638</v>
      </c>
      <c r="I1316" s="1" t="s">
        <v>25</v>
      </c>
      <c r="J1316" s="1" t="s">
        <v>25</v>
      </c>
      <c r="K1316" s="1" t="s">
        <v>25</v>
      </c>
      <c r="L1316" s="1" t="s">
        <v>25</v>
      </c>
      <c r="M1316" s="1" t="s">
        <v>26</v>
      </c>
      <c r="N1316" s="1" t="s">
        <v>25</v>
      </c>
      <c r="O1316" s="1" t="s">
        <v>26</v>
      </c>
      <c r="P1316" s="1" t="s">
        <v>25</v>
      </c>
      <c r="Q1316" s="1" t="s">
        <v>25</v>
      </c>
      <c r="R1316" s="1" t="s">
        <v>25</v>
      </c>
      <c r="S1316" s="2">
        <v>0</v>
      </c>
    </row>
    <row r="1317" spans="1:19" x14ac:dyDescent="0.3">
      <c r="A1317" t="s">
        <v>2639</v>
      </c>
      <c r="B1317" s="5" t="e" cm="1">
        <f t="array" ref="B1317">MAX(#REF!,MIN(#REF!,#REF!+SUMPRODUCT(--(FoodData[[#This Row],[Healthy]:[Refined]]="Yes"),#REF!)+FoodData[[#This Row],[Adjust]]))</f>
        <v>#REF!</v>
      </c>
      <c r="C1317" s="1" t="e">
        <f>LOOKUP(FoodData[[#This Row],[Score]],#REF!,#REF!)</f>
        <v>#REF!</v>
      </c>
      <c r="D1317" t="s">
        <v>2446</v>
      </c>
      <c r="E1317" t="s">
        <v>556</v>
      </c>
      <c r="F1317" t="s">
        <v>22</v>
      </c>
      <c r="G1317" t="s">
        <v>489</v>
      </c>
      <c r="H1317" t="s">
        <v>2640</v>
      </c>
      <c r="I1317" s="1" t="s">
        <v>25</v>
      </c>
      <c r="J1317" s="1" t="s">
        <v>25</v>
      </c>
      <c r="K1317" s="1" t="s">
        <v>26</v>
      </c>
      <c r="L1317" s="1" t="s">
        <v>25</v>
      </c>
      <c r="M1317" s="1" t="s">
        <v>25</v>
      </c>
      <c r="N1317" s="1" t="s">
        <v>25</v>
      </c>
      <c r="O1317" s="1" t="s">
        <v>26</v>
      </c>
      <c r="P1317" s="1" t="s">
        <v>25</v>
      </c>
      <c r="Q1317" s="1" t="s">
        <v>26</v>
      </c>
      <c r="R1317" s="1" t="s">
        <v>26</v>
      </c>
      <c r="S1317" s="2">
        <v>0</v>
      </c>
    </row>
    <row r="1318" spans="1:19" x14ac:dyDescent="0.3">
      <c r="A1318" t="s">
        <v>2641</v>
      </c>
      <c r="B1318" s="5" t="e" cm="1">
        <f t="array" ref="B1318">MAX(#REF!,MIN(#REF!,#REF!+SUMPRODUCT(--(FoodData[[#This Row],[Healthy]:[Refined]]="Yes"),#REF!)+FoodData[[#This Row],[Adjust]]))</f>
        <v>#REF!</v>
      </c>
      <c r="C1318" s="1" t="e">
        <f>LOOKUP(FoodData[[#This Row],[Score]],#REF!,#REF!)</f>
        <v>#REF!</v>
      </c>
      <c r="D1318" t="s">
        <v>2446</v>
      </c>
      <c r="E1318" t="s">
        <v>556</v>
      </c>
      <c r="F1318" t="s">
        <v>22</v>
      </c>
      <c r="G1318" t="s">
        <v>489</v>
      </c>
      <c r="H1318" t="s">
        <v>2642</v>
      </c>
      <c r="I1318" s="1" t="s">
        <v>25</v>
      </c>
      <c r="J1318" s="1" t="s">
        <v>25</v>
      </c>
      <c r="K1318" s="1" t="s">
        <v>25</v>
      </c>
      <c r="L1318" s="1" t="s">
        <v>25</v>
      </c>
      <c r="M1318" s="1" t="s">
        <v>26</v>
      </c>
      <c r="N1318" s="1" t="s">
        <v>25</v>
      </c>
      <c r="O1318" s="1" t="s">
        <v>26</v>
      </c>
      <c r="P1318" s="1" t="s">
        <v>25</v>
      </c>
      <c r="Q1318" s="1" t="s">
        <v>26</v>
      </c>
      <c r="R1318" s="1" t="s">
        <v>25</v>
      </c>
      <c r="S1318" s="2">
        <v>0</v>
      </c>
    </row>
    <row r="1319" spans="1:19" x14ac:dyDescent="0.3">
      <c r="A1319" t="s">
        <v>2643</v>
      </c>
      <c r="B1319" s="5" t="e" cm="1">
        <f t="array" ref="B1319">MAX(#REF!,MIN(#REF!,#REF!+SUMPRODUCT(--(FoodData[[#This Row],[Healthy]:[Refined]]="Yes"),#REF!)+FoodData[[#This Row],[Adjust]]))</f>
        <v>#REF!</v>
      </c>
      <c r="C1319" s="1" t="e">
        <f>LOOKUP(FoodData[[#This Row],[Score]],#REF!,#REF!)</f>
        <v>#REF!</v>
      </c>
      <c r="D1319" t="s">
        <v>2446</v>
      </c>
      <c r="E1319" t="s">
        <v>556</v>
      </c>
      <c r="F1319" t="s">
        <v>22</v>
      </c>
      <c r="G1319" t="s">
        <v>489</v>
      </c>
      <c r="H1319" t="s">
        <v>2644</v>
      </c>
      <c r="I1319" s="1" t="s">
        <v>25</v>
      </c>
      <c r="J1319" s="1" t="s">
        <v>25</v>
      </c>
      <c r="K1319" s="1" t="s">
        <v>25</v>
      </c>
      <c r="L1319" s="1" t="s">
        <v>25</v>
      </c>
      <c r="M1319" s="1" t="s">
        <v>26</v>
      </c>
      <c r="N1319" s="1" t="s">
        <v>25</v>
      </c>
      <c r="O1319" s="1" t="s">
        <v>26</v>
      </c>
      <c r="P1319" s="1" t="s">
        <v>25</v>
      </c>
      <c r="Q1319" s="1" t="s">
        <v>25</v>
      </c>
      <c r="R1319" s="1" t="s">
        <v>25</v>
      </c>
      <c r="S1319" s="2">
        <v>0</v>
      </c>
    </row>
    <row r="1320" spans="1:19" x14ac:dyDescent="0.3">
      <c r="A1320" t="s">
        <v>2645</v>
      </c>
      <c r="B1320" s="5" t="e" cm="1">
        <f t="array" ref="B1320">MAX(#REF!,MIN(#REF!,#REF!+SUMPRODUCT(--(FoodData[[#This Row],[Healthy]:[Refined]]="Yes"),#REF!)+FoodData[[#This Row],[Adjust]]))</f>
        <v>#REF!</v>
      </c>
      <c r="C1320" s="1" t="e">
        <f>LOOKUP(FoodData[[#This Row],[Score]],#REF!,#REF!)</f>
        <v>#REF!</v>
      </c>
      <c r="D1320" t="s">
        <v>2446</v>
      </c>
      <c r="E1320" t="s">
        <v>556</v>
      </c>
      <c r="F1320" t="s">
        <v>22</v>
      </c>
      <c r="G1320" t="s">
        <v>489</v>
      </c>
      <c r="H1320" t="s">
        <v>2646</v>
      </c>
      <c r="I1320" s="1" t="s">
        <v>25</v>
      </c>
      <c r="J1320" s="1" t="s">
        <v>25</v>
      </c>
      <c r="K1320" s="1" t="s">
        <v>26</v>
      </c>
      <c r="L1320" s="1" t="s">
        <v>26</v>
      </c>
      <c r="M1320" s="1" t="s">
        <v>25</v>
      </c>
      <c r="N1320" s="1" t="s">
        <v>25</v>
      </c>
      <c r="O1320" s="1" t="s">
        <v>25</v>
      </c>
      <c r="P1320" s="1" t="s">
        <v>25</v>
      </c>
      <c r="Q1320" s="1" t="s">
        <v>25</v>
      </c>
      <c r="R1320" s="1" t="s">
        <v>25</v>
      </c>
      <c r="S1320" s="2">
        <v>0</v>
      </c>
    </row>
    <row r="1321" spans="1:19" x14ac:dyDescent="0.3">
      <c r="A1321" t="s">
        <v>2647</v>
      </c>
      <c r="B1321" s="5" t="e" cm="1">
        <f t="array" ref="B1321">MAX(#REF!,MIN(#REF!,#REF!+SUMPRODUCT(--(FoodData[[#This Row],[Healthy]:[Refined]]="Yes"),#REF!)+FoodData[[#This Row],[Adjust]]))</f>
        <v>#REF!</v>
      </c>
      <c r="C1321" s="1" t="e">
        <f>LOOKUP(FoodData[[#This Row],[Score]],#REF!,#REF!)</f>
        <v>#REF!</v>
      </c>
      <c r="D1321" t="s">
        <v>2446</v>
      </c>
      <c r="E1321" t="s">
        <v>556</v>
      </c>
      <c r="F1321" t="s">
        <v>22</v>
      </c>
      <c r="G1321" t="s">
        <v>489</v>
      </c>
      <c r="H1321" t="s">
        <v>2648</v>
      </c>
      <c r="I1321" s="1" t="s">
        <v>25</v>
      </c>
      <c r="J1321" s="1" t="s">
        <v>25</v>
      </c>
      <c r="K1321" s="1" t="s">
        <v>26</v>
      </c>
      <c r="L1321" s="1" t="s">
        <v>25</v>
      </c>
      <c r="M1321" s="1" t="s">
        <v>26</v>
      </c>
      <c r="N1321" s="1" t="s">
        <v>25</v>
      </c>
      <c r="O1321" s="1" t="s">
        <v>26</v>
      </c>
      <c r="P1321" s="1" t="s">
        <v>26</v>
      </c>
      <c r="Q1321" s="1" t="s">
        <v>26</v>
      </c>
      <c r="R1321" s="1" t="s">
        <v>25</v>
      </c>
      <c r="S1321" s="2">
        <v>2</v>
      </c>
    </row>
    <row r="1322" spans="1:19" x14ac:dyDescent="0.3">
      <c r="A1322" t="s">
        <v>2649</v>
      </c>
      <c r="B1322" s="5" t="e" cm="1">
        <f t="array" ref="B1322">MAX(#REF!,MIN(#REF!,#REF!+SUMPRODUCT(--(FoodData[[#This Row],[Healthy]:[Refined]]="Yes"),#REF!)+FoodData[[#This Row],[Adjust]]))</f>
        <v>#REF!</v>
      </c>
      <c r="C1322" s="1" t="e">
        <f>LOOKUP(FoodData[[#This Row],[Score]],#REF!,#REF!)</f>
        <v>#REF!</v>
      </c>
      <c r="D1322" t="s">
        <v>2446</v>
      </c>
      <c r="E1322" t="s">
        <v>556</v>
      </c>
      <c r="F1322" t="s">
        <v>22</v>
      </c>
      <c r="G1322" t="s">
        <v>489</v>
      </c>
      <c r="H1322" t="s">
        <v>2650</v>
      </c>
      <c r="I1322" s="1" t="s">
        <v>25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25</v>
      </c>
      <c r="O1322" s="1" t="s">
        <v>25</v>
      </c>
      <c r="P1322" s="1" t="s">
        <v>25</v>
      </c>
      <c r="Q1322" s="1" t="s">
        <v>25</v>
      </c>
      <c r="R1322" s="1" t="s">
        <v>25</v>
      </c>
      <c r="S1322" s="2">
        <v>0</v>
      </c>
    </row>
    <row r="1323" spans="1:19" x14ac:dyDescent="0.3">
      <c r="A1323" t="s">
        <v>2651</v>
      </c>
      <c r="B1323" s="5" t="e" cm="1">
        <f t="array" ref="B1323">MAX(#REF!,MIN(#REF!,#REF!+SUMPRODUCT(--(FoodData[[#This Row],[Healthy]:[Refined]]="Yes"),#REF!)+FoodData[[#This Row],[Adjust]]))</f>
        <v>#REF!</v>
      </c>
      <c r="C1323" s="1" t="e">
        <f>LOOKUP(FoodData[[#This Row],[Score]],#REF!,#REF!)</f>
        <v>#REF!</v>
      </c>
      <c r="D1323" t="s">
        <v>2446</v>
      </c>
      <c r="E1323" t="s">
        <v>556</v>
      </c>
      <c r="F1323" t="s">
        <v>22</v>
      </c>
      <c r="G1323" t="s">
        <v>489</v>
      </c>
      <c r="H1323" t="s">
        <v>2652</v>
      </c>
      <c r="I1323" s="1" t="s">
        <v>25</v>
      </c>
      <c r="J1323" s="1" t="s">
        <v>25</v>
      </c>
      <c r="K1323" s="1" t="s">
        <v>26</v>
      </c>
      <c r="L1323" s="1" t="s">
        <v>25</v>
      </c>
      <c r="M1323" s="1" t="s">
        <v>26</v>
      </c>
      <c r="N1323" s="1" t="s">
        <v>25</v>
      </c>
      <c r="O1323" s="1" t="s">
        <v>25</v>
      </c>
      <c r="P1323" s="1" t="s">
        <v>25</v>
      </c>
      <c r="Q1323" s="1" t="s">
        <v>25</v>
      </c>
      <c r="R1323" s="1" t="s">
        <v>25</v>
      </c>
      <c r="S1323" s="2">
        <v>0</v>
      </c>
    </row>
    <row r="1324" spans="1:19" x14ac:dyDescent="0.3">
      <c r="A1324" t="s">
        <v>2653</v>
      </c>
      <c r="B1324" s="5" t="e" cm="1">
        <f t="array" ref="B1324">MAX(#REF!,MIN(#REF!,#REF!+SUMPRODUCT(--(FoodData[[#This Row],[Healthy]:[Refined]]="Yes"),#REF!)+FoodData[[#This Row],[Adjust]]))</f>
        <v>#REF!</v>
      </c>
      <c r="C1324" s="1" t="e">
        <f>LOOKUP(FoodData[[#This Row],[Score]],#REF!,#REF!)</f>
        <v>#REF!</v>
      </c>
      <c r="D1324" t="s">
        <v>2446</v>
      </c>
      <c r="E1324" t="s">
        <v>556</v>
      </c>
      <c r="F1324" t="s">
        <v>22</v>
      </c>
      <c r="G1324" t="s">
        <v>489</v>
      </c>
      <c r="H1324" t="s">
        <v>2654</v>
      </c>
      <c r="I1324" s="1" t="s">
        <v>25</v>
      </c>
      <c r="J1324" s="1" t="s">
        <v>25</v>
      </c>
      <c r="K1324" s="1" t="s">
        <v>26</v>
      </c>
      <c r="L1324" s="1" t="s">
        <v>25</v>
      </c>
      <c r="M1324" s="1" t="s">
        <v>26</v>
      </c>
      <c r="N1324" s="1" t="s">
        <v>25</v>
      </c>
      <c r="O1324" s="1" t="s">
        <v>25</v>
      </c>
      <c r="P1324" s="1" t="s">
        <v>25</v>
      </c>
      <c r="Q1324" s="1" t="s">
        <v>25</v>
      </c>
      <c r="R1324" s="1" t="s">
        <v>25</v>
      </c>
      <c r="S1324" s="2">
        <v>0</v>
      </c>
    </row>
    <row r="1325" spans="1:19" x14ac:dyDescent="0.3">
      <c r="A1325" t="s">
        <v>2655</v>
      </c>
      <c r="B1325" s="5" t="e" cm="1">
        <f t="array" ref="B1325">MAX(#REF!,MIN(#REF!,#REF!+SUMPRODUCT(--(FoodData[[#This Row],[Healthy]:[Refined]]="Yes"),#REF!)+FoodData[[#This Row],[Adjust]]))</f>
        <v>#REF!</v>
      </c>
      <c r="C1325" s="1" t="e">
        <f>LOOKUP(FoodData[[#This Row],[Score]],#REF!,#REF!)</f>
        <v>#REF!</v>
      </c>
      <c r="D1325" t="s">
        <v>2446</v>
      </c>
      <c r="E1325" t="s">
        <v>556</v>
      </c>
      <c r="F1325" t="s">
        <v>22</v>
      </c>
      <c r="G1325" t="s">
        <v>489</v>
      </c>
      <c r="H1325" t="s">
        <v>2656</v>
      </c>
      <c r="I1325" s="1" t="s">
        <v>25</v>
      </c>
      <c r="J1325" s="1" t="s">
        <v>25</v>
      </c>
      <c r="K1325" s="1" t="s">
        <v>25</v>
      </c>
      <c r="L1325" s="1" t="s">
        <v>25</v>
      </c>
      <c r="M1325" s="1" t="s">
        <v>26</v>
      </c>
      <c r="N1325" s="1" t="s">
        <v>25</v>
      </c>
      <c r="O1325" s="1" t="s">
        <v>25</v>
      </c>
      <c r="P1325" s="1" t="s">
        <v>25</v>
      </c>
      <c r="Q1325" s="1" t="s">
        <v>25</v>
      </c>
      <c r="R1325" s="1" t="s">
        <v>25</v>
      </c>
      <c r="S1325" s="2">
        <v>0</v>
      </c>
    </row>
    <row r="1326" spans="1:19" x14ac:dyDescent="0.3">
      <c r="A1326" t="s">
        <v>2657</v>
      </c>
      <c r="B1326" s="5" t="e" cm="1">
        <f t="array" ref="B1326">MAX(#REF!,MIN(#REF!,#REF!+SUMPRODUCT(--(FoodData[[#This Row],[Healthy]:[Refined]]="Yes"),#REF!)+FoodData[[#This Row],[Adjust]]))</f>
        <v>#REF!</v>
      </c>
      <c r="C1326" s="1" t="e">
        <f>LOOKUP(FoodData[[#This Row],[Score]],#REF!,#REF!)</f>
        <v>#REF!</v>
      </c>
      <c r="D1326" t="s">
        <v>2446</v>
      </c>
      <c r="E1326" t="s">
        <v>556</v>
      </c>
      <c r="F1326" t="s">
        <v>22</v>
      </c>
      <c r="G1326" t="s">
        <v>489</v>
      </c>
      <c r="H1326" t="s">
        <v>2658</v>
      </c>
      <c r="I1326" s="1" t="s">
        <v>25</v>
      </c>
      <c r="J1326" s="1" t="s">
        <v>25</v>
      </c>
      <c r="K1326" s="1" t="s">
        <v>25</v>
      </c>
      <c r="L1326" s="1" t="s">
        <v>25</v>
      </c>
      <c r="M1326" s="1" t="s">
        <v>26</v>
      </c>
      <c r="N1326" s="1" t="s">
        <v>25</v>
      </c>
      <c r="O1326" s="1" t="s">
        <v>25</v>
      </c>
      <c r="P1326" s="1" t="s">
        <v>26</v>
      </c>
      <c r="Q1326" s="1" t="s">
        <v>25</v>
      </c>
      <c r="R1326" s="1" t="s">
        <v>25</v>
      </c>
      <c r="S1326" s="2">
        <v>0</v>
      </c>
    </row>
    <row r="1327" spans="1:19" x14ac:dyDescent="0.3">
      <c r="A1327" t="s">
        <v>2659</v>
      </c>
      <c r="B1327" s="5" t="e" cm="1">
        <f t="array" ref="B1327">MAX(#REF!,MIN(#REF!,#REF!+SUMPRODUCT(--(FoodData[[#This Row],[Healthy]:[Refined]]="Yes"),#REF!)+FoodData[[#This Row],[Adjust]]))</f>
        <v>#REF!</v>
      </c>
      <c r="C1327" s="1" t="e">
        <f>LOOKUP(FoodData[[#This Row],[Score]],#REF!,#REF!)</f>
        <v>#REF!</v>
      </c>
      <c r="D1327" t="s">
        <v>2446</v>
      </c>
      <c r="E1327" t="s">
        <v>556</v>
      </c>
      <c r="F1327" t="s">
        <v>22</v>
      </c>
      <c r="G1327" t="s">
        <v>489</v>
      </c>
      <c r="H1327" t="s">
        <v>2656</v>
      </c>
      <c r="I1327" s="1" t="s">
        <v>25</v>
      </c>
      <c r="J1327" s="1" t="s">
        <v>26</v>
      </c>
      <c r="K1327" s="1" t="s">
        <v>25</v>
      </c>
      <c r="L1327" s="1" t="s">
        <v>25</v>
      </c>
      <c r="M1327" s="1" t="s">
        <v>26</v>
      </c>
      <c r="N1327" s="1" t="s">
        <v>25</v>
      </c>
      <c r="O1327" s="1" t="s">
        <v>25</v>
      </c>
      <c r="P1327" s="1" t="s">
        <v>25</v>
      </c>
      <c r="Q1327" s="1" t="s">
        <v>25</v>
      </c>
      <c r="R1327" s="1" t="s">
        <v>25</v>
      </c>
      <c r="S1327" s="2">
        <v>0</v>
      </c>
    </row>
    <row r="1328" spans="1:19" x14ac:dyDescent="0.3">
      <c r="A1328" t="s">
        <v>2660</v>
      </c>
      <c r="B1328" s="5" t="e" cm="1">
        <f t="array" ref="B1328">MAX(#REF!,MIN(#REF!,#REF!+SUMPRODUCT(--(FoodData[[#This Row],[Healthy]:[Refined]]="Yes"),#REF!)+FoodData[[#This Row],[Adjust]]))</f>
        <v>#REF!</v>
      </c>
      <c r="C1328" s="1" t="e">
        <f>LOOKUP(FoodData[[#This Row],[Score]],#REF!,#REF!)</f>
        <v>#REF!</v>
      </c>
      <c r="D1328" t="s">
        <v>2446</v>
      </c>
      <c r="E1328" t="s">
        <v>556</v>
      </c>
      <c r="F1328" t="s">
        <v>22</v>
      </c>
      <c r="G1328" t="s">
        <v>489</v>
      </c>
      <c r="H1328" t="s">
        <v>2661</v>
      </c>
      <c r="I1328" s="1" t="s">
        <v>25</v>
      </c>
      <c r="J1328" s="1" t="s">
        <v>25</v>
      </c>
      <c r="K1328" s="1" t="s">
        <v>26</v>
      </c>
      <c r="L1328" s="1" t="s">
        <v>25</v>
      </c>
      <c r="M1328" s="1" t="s">
        <v>25</v>
      </c>
      <c r="N1328" s="1" t="s">
        <v>25</v>
      </c>
      <c r="O1328" s="1" t="s">
        <v>25</v>
      </c>
      <c r="P1328" s="1" t="s">
        <v>25</v>
      </c>
      <c r="Q1328" s="1" t="s">
        <v>25</v>
      </c>
      <c r="R1328" s="1" t="s">
        <v>25</v>
      </c>
      <c r="S1328" s="2">
        <v>0</v>
      </c>
    </row>
    <row r="1329" spans="1:19" x14ac:dyDescent="0.3">
      <c r="A1329" t="s">
        <v>2662</v>
      </c>
      <c r="B1329" s="5" t="e" cm="1">
        <f t="array" ref="B1329">MAX(#REF!,MIN(#REF!,#REF!+SUMPRODUCT(--(FoodData[[#This Row],[Healthy]:[Refined]]="Yes"),#REF!)+FoodData[[#This Row],[Adjust]]))</f>
        <v>#REF!</v>
      </c>
      <c r="C1329" s="1" t="e">
        <f>LOOKUP(FoodData[[#This Row],[Score]],#REF!,#REF!)</f>
        <v>#REF!</v>
      </c>
      <c r="D1329" t="s">
        <v>2446</v>
      </c>
      <c r="E1329" t="s">
        <v>556</v>
      </c>
      <c r="F1329" t="s">
        <v>22</v>
      </c>
      <c r="G1329" t="s">
        <v>489</v>
      </c>
      <c r="H1329" t="s">
        <v>2663</v>
      </c>
      <c r="I1329" s="1" t="s">
        <v>25</v>
      </c>
      <c r="J1329" s="1" t="s">
        <v>25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26</v>
      </c>
      <c r="P1329" s="1" t="s">
        <v>25</v>
      </c>
      <c r="Q1329" s="1" t="s">
        <v>25</v>
      </c>
      <c r="R1329" s="1" t="s">
        <v>25</v>
      </c>
      <c r="S1329" s="2">
        <v>0</v>
      </c>
    </row>
    <row r="1330" spans="1:19" x14ac:dyDescent="0.3">
      <c r="A1330" t="s">
        <v>2664</v>
      </c>
      <c r="B1330" s="5" t="e" cm="1">
        <f t="array" ref="B1330">MAX(#REF!,MIN(#REF!,#REF!+SUMPRODUCT(--(FoodData[[#This Row],[Healthy]:[Refined]]="Yes"),#REF!)+FoodData[[#This Row],[Adjust]]))</f>
        <v>#REF!</v>
      </c>
      <c r="C1330" s="1" t="e">
        <f>LOOKUP(FoodData[[#This Row],[Score]],#REF!,#REF!)</f>
        <v>#REF!</v>
      </c>
      <c r="D1330" t="s">
        <v>2446</v>
      </c>
      <c r="E1330" t="s">
        <v>556</v>
      </c>
      <c r="F1330" t="s">
        <v>22</v>
      </c>
      <c r="G1330" t="s">
        <v>489</v>
      </c>
      <c r="H1330" t="s">
        <v>2665</v>
      </c>
      <c r="I1330" s="1" t="s">
        <v>25</v>
      </c>
      <c r="J1330" s="1" t="s">
        <v>25</v>
      </c>
      <c r="K1330" s="1" t="s">
        <v>25</v>
      </c>
      <c r="L1330" s="1" t="s">
        <v>25</v>
      </c>
      <c r="M1330" s="1" t="s">
        <v>26</v>
      </c>
      <c r="N1330" s="1" t="s">
        <v>25</v>
      </c>
      <c r="O1330" s="1" t="s">
        <v>26</v>
      </c>
      <c r="P1330" s="1" t="s">
        <v>26</v>
      </c>
      <c r="Q1330" s="1" t="s">
        <v>25</v>
      </c>
      <c r="R1330" s="1" t="s">
        <v>25</v>
      </c>
      <c r="S1330" s="2">
        <v>0</v>
      </c>
    </row>
    <row r="1331" spans="1:19" x14ac:dyDescent="0.3">
      <c r="A1331" t="s">
        <v>2666</v>
      </c>
      <c r="B1331" s="5" t="e" cm="1">
        <f t="array" ref="B1331">MAX(#REF!,MIN(#REF!,#REF!+SUMPRODUCT(--(FoodData[[#This Row],[Healthy]:[Refined]]="Yes"),#REF!)+FoodData[[#This Row],[Adjust]]))</f>
        <v>#REF!</v>
      </c>
      <c r="C1331" s="1" t="e">
        <f>LOOKUP(FoodData[[#This Row],[Score]],#REF!,#REF!)</f>
        <v>#REF!</v>
      </c>
      <c r="D1331" t="s">
        <v>2446</v>
      </c>
      <c r="E1331" t="s">
        <v>556</v>
      </c>
      <c r="F1331" t="s">
        <v>22</v>
      </c>
      <c r="G1331" t="s">
        <v>489</v>
      </c>
      <c r="H1331" t="s">
        <v>2667</v>
      </c>
      <c r="I1331" s="1" t="s">
        <v>25</v>
      </c>
      <c r="J1331" s="1" t="s">
        <v>25</v>
      </c>
      <c r="K1331" s="1" t="s">
        <v>26</v>
      </c>
      <c r="L1331" s="1" t="s">
        <v>25</v>
      </c>
      <c r="M1331" s="1" t="s">
        <v>26</v>
      </c>
      <c r="N1331" s="1" t="s">
        <v>25</v>
      </c>
      <c r="O1331" s="1" t="s">
        <v>26</v>
      </c>
      <c r="P1331" s="1" t="s">
        <v>26</v>
      </c>
      <c r="Q1331" s="1" t="s">
        <v>26</v>
      </c>
      <c r="R1331" s="1" t="s">
        <v>25</v>
      </c>
      <c r="S1331" s="2">
        <v>2</v>
      </c>
    </row>
    <row r="1332" spans="1:19" x14ac:dyDescent="0.3">
      <c r="A1332" t="s">
        <v>2668</v>
      </c>
      <c r="B1332" s="5" t="e" cm="1">
        <f t="array" ref="B1332">MAX(#REF!,MIN(#REF!,#REF!+SUMPRODUCT(--(FoodData[[#This Row],[Healthy]:[Refined]]="Yes"),#REF!)+FoodData[[#This Row],[Adjust]]))</f>
        <v>#REF!</v>
      </c>
      <c r="C1332" s="1" t="e">
        <f>LOOKUP(FoodData[[#This Row],[Score]],#REF!,#REF!)</f>
        <v>#REF!</v>
      </c>
      <c r="D1332" t="s">
        <v>2446</v>
      </c>
      <c r="E1332" t="s">
        <v>556</v>
      </c>
      <c r="F1332" t="s">
        <v>22</v>
      </c>
      <c r="G1332" t="s">
        <v>489</v>
      </c>
      <c r="H1332" t="s">
        <v>2481</v>
      </c>
      <c r="I1332" s="1" t="s">
        <v>25</v>
      </c>
      <c r="J1332" s="1" t="s">
        <v>25</v>
      </c>
      <c r="K1332" s="1" t="s">
        <v>25</v>
      </c>
      <c r="L1332" s="1" t="s">
        <v>25</v>
      </c>
      <c r="M1332" s="1" t="s">
        <v>26</v>
      </c>
      <c r="N1332" s="1" t="s">
        <v>25</v>
      </c>
      <c r="O1332" s="1" t="s">
        <v>26</v>
      </c>
      <c r="P1332" s="1" t="s">
        <v>25</v>
      </c>
      <c r="Q1332" s="1" t="s">
        <v>25</v>
      </c>
      <c r="R1332" s="1" t="s">
        <v>25</v>
      </c>
      <c r="S1332" s="2">
        <v>0</v>
      </c>
    </row>
    <row r="1333" spans="1:19" x14ac:dyDescent="0.3">
      <c r="A1333" t="s">
        <v>2669</v>
      </c>
      <c r="B1333" s="5" t="e" cm="1">
        <f t="array" ref="B1333">MAX(#REF!,MIN(#REF!,#REF!+SUMPRODUCT(--(FoodData[[#This Row],[Healthy]:[Refined]]="Yes"),#REF!)+FoodData[[#This Row],[Adjust]]))</f>
        <v>#REF!</v>
      </c>
      <c r="C1333" s="1" t="e">
        <f>LOOKUP(FoodData[[#This Row],[Score]],#REF!,#REF!)</f>
        <v>#REF!</v>
      </c>
      <c r="D1333" t="s">
        <v>2446</v>
      </c>
      <c r="E1333" t="s">
        <v>556</v>
      </c>
      <c r="F1333" t="s">
        <v>22</v>
      </c>
      <c r="G1333" t="s">
        <v>489</v>
      </c>
      <c r="H1333" t="s">
        <v>2670</v>
      </c>
      <c r="I1333" s="1" t="s">
        <v>25</v>
      </c>
      <c r="J1333" s="1" t="s">
        <v>25</v>
      </c>
      <c r="K1333" s="1" t="s">
        <v>26</v>
      </c>
      <c r="L1333" s="1" t="s">
        <v>25</v>
      </c>
      <c r="M1333" s="1" t="s">
        <v>26</v>
      </c>
      <c r="N1333" s="1" t="s">
        <v>25</v>
      </c>
      <c r="O1333" s="1" t="s">
        <v>26</v>
      </c>
      <c r="P1333" s="1" t="s">
        <v>25</v>
      </c>
      <c r="Q1333" s="1" t="s">
        <v>26</v>
      </c>
      <c r="R1333" s="1" t="s">
        <v>26</v>
      </c>
      <c r="S1333" s="2">
        <v>0</v>
      </c>
    </row>
    <row r="1334" spans="1:19" x14ac:dyDescent="0.3">
      <c r="A1334" t="s">
        <v>2671</v>
      </c>
      <c r="B1334" s="5" t="e" cm="1">
        <f t="array" ref="B1334">MAX(#REF!,MIN(#REF!,#REF!+SUMPRODUCT(--(FoodData[[#This Row],[Healthy]:[Refined]]="Yes"),#REF!)+FoodData[[#This Row],[Adjust]]))</f>
        <v>#REF!</v>
      </c>
      <c r="C1334" s="1" t="e">
        <f>LOOKUP(FoodData[[#This Row],[Score]],#REF!,#REF!)</f>
        <v>#REF!</v>
      </c>
      <c r="D1334" t="s">
        <v>2446</v>
      </c>
      <c r="E1334" t="s">
        <v>556</v>
      </c>
      <c r="F1334" t="s">
        <v>22</v>
      </c>
      <c r="G1334" t="s">
        <v>489</v>
      </c>
      <c r="H1334" t="s">
        <v>2672</v>
      </c>
      <c r="I1334" s="1" t="s">
        <v>25</v>
      </c>
      <c r="J1334" s="1" t="s">
        <v>25</v>
      </c>
      <c r="K1334" s="1" t="s">
        <v>25</v>
      </c>
      <c r="L1334" s="1" t="s">
        <v>25</v>
      </c>
      <c r="M1334" s="1" t="s">
        <v>26</v>
      </c>
      <c r="N1334" s="1" t="s">
        <v>25</v>
      </c>
      <c r="O1334" s="1" t="s">
        <v>25</v>
      </c>
      <c r="P1334" s="1" t="s">
        <v>25</v>
      </c>
      <c r="Q1334" s="1" t="s">
        <v>25</v>
      </c>
      <c r="R1334" s="1" t="s">
        <v>25</v>
      </c>
      <c r="S1334" s="2">
        <v>0</v>
      </c>
    </row>
    <row r="1335" spans="1:19" x14ac:dyDescent="0.3">
      <c r="A1335" t="s">
        <v>2673</v>
      </c>
      <c r="B1335" s="5" t="e" cm="1">
        <f t="array" ref="B1335">MAX(#REF!,MIN(#REF!,#REF!+SUMPRODUCT(--(FoodData[[#This Row],[Healthy]:[Refined]]="Yes"),#REF!)+FoodData[[#This Row],[Adjust]]))</f>
        <v>#REF!</v>
      </c>
      <c r="C1335" s="1" t="e">
        <f>LOOKUP(FoodData[[#This Row],[Score]],#REF!,#REF!)</f>
        <v>#REF!</v>
      </c>
      <c r="D1335" t="s">
        <v>2446</v>
      </c>
      <c r="E1335" t="s">
        <v>556</v>
      </c>
      <c r="F1335" t="s">
        <v>22</v>
      </c>
      <c r="G1335" t="s">
        <v>489</v>
      </c>
      <c r="H1335" t="s">
        <v>2674</v>
      </c>
      <c r="I1335" s="1" t="s">
        <v>25</v>
      </c>
      <c r="J1335" s="1" t="s">
        <v>25</v>
      </c>
      <c r="K1335" s="1" t="s">
        <v>25</v>
      </c>
      <c r="L1335" s="1" t="s">
        <v>25</v>
      </c>
      <c r="M1335" s="1" t="s">
        <v>26</v>
      </c>
      <c r="N1335" s="1" t="s">
        <v>25</v>
      </c>
      <c r="O1335" s="1" t="s">
        <v>25</v>
      </c>
      <c r="P1335" s="1" t="s">
        <v>25</v>
      </c>
      <c r="Q1335" s="1" t="s">
        <v>25</v>
      </c>
      <c r="R1335" s="1" t="s">
        <v>25</v>
      </c>
      <c r="S1335" s="2">
        <v>0</v>
      </c>
    </row>
    <row r="1336" spans="1:19" x14ac:dyDescent="0.3">
      <c r="A1336" t="s">
        <v>2675</v>
      </c>
      <c r="B1336" s="5" t="e" cm="1">
        <f t="array" ref="B1336">MAX(#REF!,MIN(#REF!,#REF!+SUMPRODUCT(--(FoodData[[#This Row],[Healthy]:[Refined]]="Yes"),#REF!)+FoodData[[#This Row],[Adjust]]))</f>
        <v>#REF!</v>
      </c>
      <c r="C1336" s="1" t="e">
        <f>LOOKUP(FoodData[[#This Row],[Score]],#REF!,#REF!)</f>
        <v>#REF!</v>
      </c>
      <c r="D1336" t="s">
        <v>2446</v>
      </c>
      <c r="E1336" t="s">
        <v>556</v>
      </c>
      <c r="F1336" t="s">
        <v>22</v>
      </c>
      <c r="G1336" t="s">
        <v>489</v>
      </c>
      <c r="H1336" t="s">
        <v>2676</v>
      </c>
      <c r="I1336" s="1" t="s">
        <v>25</v>
      </c>
      <c r="J1336" s="1" t="s">
        <v>25</v>
      </c>
      <c r="K1336" s="1" t="s">
        <v>25</v>
      </c>
      <c r="L1336" s="1" t="s">
        <v>25</v>
      </c>
      <c r="M1336" s="1" t="s">
        <v>26</v>
      </c>
      <c r="N1336" s="1" t="s">
        <v>25</v>
      </c>
      <c r="O1336" s="1" t="s">
        <v>26</v>
      </c>
      <c r="P1336" s="1" t="s">
        <v>25</v>
      </c>
      <c r="Q1336" s="1" t="s">
        <v>25</v>
      </c>
      <c r="R1336" s="1" t="s">
        <v>25</v>
      </c>
      <c r="S1336" s="2">
        <v>0</v>
      </c>
    </row>
    <row r="1337" spans="1:19" x14ac:dyDescent="0.3">
      <c r="A1337" t="s">
        <v>2677</v>
      </c>
      <c r="B1337" s="5" t="e" cm="1">
        <f t="array" ref="B1337">MAX(#REF!,MIN(#REF!,#REF!+SUMPRODUCT(--(FoodData[[#This Row],[Healthy]:[Refined]]="Yes"),#REF!)+FoodData[[#This Row],[Adjust]]))</f>
        <v>#REF!</v>
      </c>
      <c r="C1337" s="1" t="e">
        <f>LOOKUP(FoodData[[#This Row],[Score]],#REF!,#REF!)</f>
        <v>#REF!</v>
      </c>
      <c r="D1337" t="s">
        <v>2446</v>
      </c>
      <c r="E1337" t="s">
        <v>556</v>
      </c>
      <c r="F1337" t="s">
        <v>22</v>
      </c>
      <c r="G1337" t="s">
        <v>489</v>
      </c>
      <c r="H1337" t="s">
        <v>2678</v>
      </c>
      <c r="I1337" s="1" t="s">
        <v>25</v>
      </c>
      <c r="J1337" s="1" t="s">
        <v>25</v>
      </c>
      <c r="K1337" s="1" t="s">
        <v>25</v>
      </c>
      <c r="L1337" s="1" t="s">
        <v>25</v>
      </c>
      <c r="M1337" s="1" t="s">
        <v>26</v>
      </c>
      <c r="N1337" s="1" t="s">
        <v>25</v>
      </c>
      <c r="O1337" s="1" t="s">
        <v>26</v>
      </c>
      <c r="P1337" s="1" t="s">
        <v>25</v>
      </c>
      <c r="Q1337" s="1" t="s">
        <v>25</v>
      </c>
      <c r="R1337" s="1" t="s">
        <v>25</v>
      </c>
      <c r="S1337" s="2">
        <v>0</v>
      </c>
    </row>
    <row r="1338" spans="1:19" x14ac:dyDescent="0.3">
      <c r="A1338" t="s">
        <v>2679</v>
      </c>
      <c r="B1338" s="5" t="e" cm="1">
        <f t="array" ref="B1338">MAX(#REF!,MIN(#REF!,#REF!+SUMPRODUCT(--(FoodData[[#This Row],[Healthy]:[Refined]]="Yes"),#REF!)+FoodData[[#This Row],[Adjust]]))</f>
        <v>#REF!</v>
      </c>
      <c r="C1338" s="1" t="e">
        <f>LOOKUP(FoodData[[#This Row],[Score]],#REF!,#REF!)</f>
        <v>#REF!</v>
      </c>
      <c r="D1338" t="s">
        <v>2446</v>
      </c>
      <c r="E1338" t="s">
        <v>556</v>
      </c>
      <c r="F1338" t="s">
        <v>22</v>
      </c>
      <c r="G1338" t="s">
        <v>489</v>
      </c>
      <c r="H1338" t="s">
        <v>2680</v>
      </c>
      <c r="I1338" s="1" t="s">
        <v>25</v>
      </c>
      <c r="J1338" s="1" t="s">
        <v>25</v>
      </c>
      <c r="K1338" s="1" t="s">
        <v>26</v>
      </c>
      <c r="L1338" s="1" t="s">
        <v>25</v>
      </c>
      <c r="M1338" s="1" t="s">
        <v>25</v>
      </c>
      <c r="N1338" s="1" t="s">
        <v>25</v>
      </c>
      <c r="O1338" s="1" t="s">
        <v>25</v>
      </c>
      <c r="P1338" s="1" t="s">
        <v>25</v>
      </c>
      <c r="Q1338" s="1" t="s">
        <v>25</v>
      </c>
      <c r="R1338" s="1" t="s">
        <v>25</v>
      </c>
      <c r="S1338" s="2">
        <v>0</v>
      </c>
    </row>
    <row r="1339" spans="1:19" x14ac:dyDescent="0.3">
      <c r="A1339" t="s">
        <v>2681</v>
      </c>
      <c r="B1339" s="5" t="e" cm="1">
        <f t="array" ref="B1339">MAX(#REF!,MIN(#REF!,#REF!+SUMPRODUCT(--(FoodData[[#This Row],[Healthy]:[Refined]]="Yes"),#REF!)+FoodData[[#This Row],[Adjust]]))</f>
        <v>#REF!</v>
      </c>
      <c r="C1339" s="1" t="e">
        <f>LOOKUP(FoodData[[#This Row],[Score]],#REF!,#REF!)</f>
        <v>#REF!</v>
      </c>
      <c r="D1339" t="s">
        <v>2446</v>
      </c>
      <c r="E1339" t="s">
        <v>556</v>
      </c>
      <c r="F1339" t="s">
        <v>22</v>
      </c>
      <c r="G1339" t="s">
        <v>489</v>
      </c>
      <c r="H1339" t="s">
        <v>2682</v>
      </c>
      <c r="I1339" s="1" t="s">
        <v>25</v>
      </c>
      <c r="J1339" s="1" t="s">
        <v>25</v>
      </c>
      <c r="K1339" s="1" t="s">
        <v>25</v>
      </c>
      <c r="L1339" s="1" t="s">
        <v>26</v>
      </c>
      <c r="M1339" s="1" t="s">
        <v>25</v>
      </c>
      <c r="N1339" s="1" t="s">
        <v>25</v>
      </c>
      <c r="O1339" s="1" t="s">
        <v>25</v>
      </c>
      <c r="P1339" s="1" t="s">
        <v>25</v>
      </c>
      <c r="Q1339" s="1" t="s">
        <v>25</v>
      </c>
      <c r="R1339" s="1" t="s">
        <v>25</v>
      </c>
      <c r="S1339" s="2">
        <v>0</v>
      </c>
    </row>
    <row r="1340" spans="1:19" x14ac:dyDescent="0.3">
      <c r="A1340" t="s">
        <v>2683</v>
      </c>
      <c r="B1340" s="5" t="e" cm="1">
        <f t="array" ref="B1340">MAX(#REF!,MIN(#REF!,#REF!+SUMPRODUCT(--(FoodData[[#This Row],[Healthy]:[Refined]]="Yes"),#REF!)+FoodData[[#This Row],[Adjust]]))</f>
        <v>#REF!</v>
      </c>
      <c r="C1340" s="1" t="e">
        <f>LOOKUP(FoodData[[#This Row],[Score]],#REF!,#REF!)</f>
        <v>#REF!</v>
      </c>
      <c r="D1340" t="s">
        <v>2446</v>
      </c>
      <c r="E1340" t="s">
        <v>556</v>
      </c>
      <c r="F1340" t="s">
        <v>22</v>
      </c>
      <c r="G1340" t="s">
        <v>489</v>
      </c>
      <c r="H1340" t="s">
        <v>2684</v>
      </c>
      <c r="I1340" s="1" t="s">
        <v>25</v>
      </c>
      <c r="J1340" s="1" t="s">
        <v>25</v>
      </c>
      <c r="K1340" s="1" t="s">
        <v>26</v>
      </c>
      <c r="L1340" s="1" t="s">
        <v>25</v>
      </c>
      <c r="M1340" s="1" t="s">
        <v>26</v>
      </c>
      <c r="N1340" s="1" t="s">
        <v>25</v>
      </c>
      <c r="O1340" s="1" t="s">
        <v>26</v>
      </c>
      <c r="P1340" s="1" t="s">
        <v>26</v>
      </c>
      <c r="Q1340" s="1" t="s">
        <v>26</v>
      </c>
      <c r="R1340" s="1" t="s">
        <v>25</v>
      </c>
      <c r="S1340" s="2">
        <v>2</v>
      </c>
    </row>
    <row r="1341" spans="1:19" x14ac:dyDescent="0.3">
      <c r="A1341" t="s">
        <v>2685</v>
      </c>
      <c r="B1341" s="5" t="e" cm="1">
        <f t="array" ref="B1341">MAX(#REF!,MIN(#REF!,#REF!+SUMPRODUCT(--(FoodData[[#This Row],[Healthy]:[Refined]]="Yes"),#REF!)+FoodData[[#This Row],[Adjust]]))</f>
        <v>#REF!</v>
      </c>
      <c r="C1341" s="1" t="e">
        <f>LOOKUP(FoodData[[#This Row],[Score]],#REF!,#REF!)</f>
        <v>#REF!</v>
      </c>
      <c r="D1341" t="s">
        <v>2446</v>
      </c>
      <c r="E1341" t="s">
        <v>556</v>
      </c>
      <c r="F1341" t="s">
        <v>22</v>
      </c>
      <c r="G1341" t="s">
        <v>489</v>
      </c>
      <c r="H1341" t="s">
        <v>2686</v>
      </c>
      <c r="I1341" s="1" t="s">
        <v>25</v>
      </c>
      <c r="J1341" s="1" t="s">
        <v>25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26</v>
      </c>
      <c r="P1341" s="1" t="s">
        <v>25</v>
      </c>
      <c r="Q1341" s="1" t="s">
        <v>25</v>
      </c>
      <c r="R1341" s="1" t="s">
        <v>25</v>
      </c>
      <c r="S1341" s="2">
        <v>0</v>
      </c>
    </row>
    <row r="1342" spans="1:19" x14ac:dyDescent="0.3">
      <c r="A1342" t="s">
        <v>2687</v>
      </c>
      <c r="B1342" s="5" t="e" cm="1">
        <f t="array" ref="B1342">MAX(#REF!,MIN(#REF!,#REF!+SUMPRODUCT(--(FoodData[[#This Row],[Healthy]:[Refined]]="Yes"),#REF!)+FoodData[[#This Row],[Adjust]]))</f>
        <v>#REF!</v>
      </c>
      <c r="C1342" s="1" t="e">
        <f>LOOKUP(FoodData[[#This Row],[Score]],#REF!,#REF!)</f>
        <v>#REF!</v>
      </c>
      <c r="D1342" t="s">
        <v>2446</v>
      </c>
      <c r="E1342" t="s">
        <v>556</v>
      </c>
      <c r="F1342" t="s">
        <v>22</v>
      </c>
      <c r="G1342" t="s">
        <v>489</v>
      </c>
      <c r="H1342" t="s">
        <v>2688</v>
      </c>
      <c r="I1342" s="1" t="s">
        <v>25</v>
      </c>
      <c r="J1342" s="1" t="s">
        <v>25</v>
      </c>
      <c r="K1342" s="1" t="s">
        <v>25</v>
      </c>
      <c r="L1342" s="1" t="s">
        <v>25</v>
      </c>
      <c r="M1342" s="1" t="s">
        <v>26</v>
      </c>
      <c r="N1342" s="1" t="s">
        <v>25</v>
      </c>
      <c r="O1342" s="1" t="s">
        <v>26</v>
      </c>
      <c r="P1342" s="1" t="s">
        <v>25</v>
      </c>
      <c r="Q1342" s="1" t="s">
        <v>26</v>
      </c>
      <c r="R1342" s="1" t="s">
        <v>26</v>
      </c>
      <c r="S1342" s="2">
        <v>2</v>
      </c>
    </row>
    <row r="1343" spans="1:19" x14ac:dyDescent="0.3">
      <c r="A1343" t="s">
        <v>2689</v>
      </c>
      <c r="B1343" s="5" t="e" cm="1">
        <f t="array" ref="B1343">MAX(#REF!,MIN(#REF!,#REF!+SUMPRODUCT(--(FoodData[[#This Row],[Healthy]:[Refined]]="Yes"),#REF!)+FoodData[[#This Row],[Adjust]]))</f>
        <v>#REF!</v>
      </c>
      <c r="C1343" s="1" t="e">
        <f>LOOKUP(FoodData[[#This Row],[Score]],#REF!,#REF!)</f>
        <v>#REF!</v>
      </c>
      <c r="D1343" t="s">
        <v>2446</v>
      </c>
      <c r="E1343" t="s">
        <v>556</v>
      </c>
      <c r="F1343" t="s">
        <v>22</v>
      </c>
      <c r="G1343" t="s">
        <v>489</v>
      </c>
      <c r="H1343" t="s">
        <v>2690</v>
      </c>
      <c r="I1343" s="1" t="s">
        <v>25</v>
      </c>
      <c r="J1343" s="1" t="s">
        <v>25</v>
      </c>
      <c r="K1343" s="1" t="s">
        <v>25</v>
      </c>
      <c r="L1343" s="1" t="s">
        <v>25</v>
      </c>
      <c r="M1343" s="1" t="s">
        <v>26</v>
      </c>
      <c r="N1343" s="1" t="s">
        <v>25</v>
      </c>
      <c r="O1343" s="1" t="s">
        <v>25</v>
      </c>
      <c r="P1343" s="1" t="s">
        <v>25</v>
      </c>
      <c r="Q1343" s="1" t="s">
        <v>25</v>
      </c>
      <c r="R1343" s="1" t="s">
        <v>25</v>
      </c>
      <c r="S1343" s="2">
        <v>0</v>
      </c>
    </row>
    <row r="1344" spans="1:19" x14ac:dyDescent="0.3">
      <c r="A1344" t="s">
        <v>2691</v>
      </c>
      <c r="B1344" s="5" t="e" cm="1">
        <f t="array" ref="B1344">MAX(#REF!,MIN(#REF!,#REF!+SUMPRODUCT(--(FoodData[[#This Row],[Healthy]:[Refined]]="Yes"),#REF!)+FoodData[[#This Row],[Adjust]]))</f>
        <v>#REF!</v>
      </c>
      <c r="C1344" s="1" t="e">
        <f>LOOKUP(FoodData[[#This Row],[Score]],#REF!,#REF!)</f>
        <v>#REF!</v>
      </c>
      <c r="D1344" t="s">
        <v>2446</v>
      </c>
      <c r="E1344" t="s">
        <v>556</v>
      </c>
      <c r="F1344" t="s">
        <v>22</v>
      </c>
      <c r="G1344" t="s">
        <v>489</v>
      </c>
      <c r="H1344" t="s">
        <v>2692</v>
      </c>
      <c r="I1344" s="1" t="s">
        <v>25</v>
      </c>
      <c r="J1344" s="1" t="s">
        <v>25</v>
      </c>
      <c r="K1344" s="1" t="s">
        <v>26</v>
      </c>
      <c r="L1344" s="1" t="s">
        <v>26</v>
      </c>
      <c r="M1344" s="1" t="s">
        <v>26</v>
      </c>
      <c r="N1344" s="1" t="s">
        <v>25</v>
      </c>
      <c r="O1344" s="1" t="s">
        <v>25</v>
      </c>
      <c r="P1344" s="1" t="s">
        <v>25</v>
      </c>
      <c r="Q1344" s="1" t="s">
        <v>25</v>
      </c>
      <c r="R1344" s="1" t="s">
        <v>25</v>
      </c>
      <c r="S1344" s="2">
        <v>0</v>
      </c>
    </row>
    <row r="1345" spans="1:19" x14ac:dyDescent="0.3">
      <c r="A1345" t="s">
        <v>2693</v>
      </c>
      <c r="B1345" s="5" t="e" cm="1">
        <f t="array" ref="B1345">MAX(#REF!,MIN(#REF!,#REF!+SUMPRODUCT(--(FoodData[[#This Row],[Healthy]:[Refined]]="Yes"),#REF!)+FoodData[[#This Row],[Adjust]]))</f>
        <v>#REF!</v>
      </c>
      <c r="C1345" s="1" t="e">
        <f>LOOKUP(FoodData[[#This Row],[Score]],#REF!,#REF!)</f>
        <v>#REF!</v>
      </c>
      <c r="D1345" t="s">
        <v>2446</v>
      </c>
      <c r="E1345" t="s">
        <v>556</v>
      </c>
      <c r="F1345" t="s">
        <v>22</v>
      </c>
      <c r="G1345" t="s">
        <v>489</v>
      </c>
      <c r="H1345" t="s">
        <v>2694</v>
      </c>
      <c r="I1345" s="1" t="s">
        <v>25</v>
      </c>
      <c r="J1345" s="1" t="s">
        <v>25</v>
      </c>
      <c r="K1345" s="1" t="s">
        <v>25</v>
      </c>
      <c r="L1345" s="1" t="s">
        <v>25</v>
      </c>
      <c r="M1345" s="1" t="s">
        <v>26</v>
      </c>
      <c r="N1345" s="1" t="s">
        <v>25</v>
      </c>
      <c r="O1345" s="1" t="s">
        <v>26</v>
      </c>
      <c r="P1345" s="1" t="s">
        <v>25</v>
      </c>
      <c r="Q1345" s="1" t="s">
        <v>26</v>
      </c>
      <c r="R1345" s="1" t="s">
        <v>25</v>
      </c>
      <c r="S1345" s="2">
        <v>0</v>
      </c>
    </row>
    <row r="1346" spans="1:19" x14ac:dyDescent="0.3">
      <c r="A1346" t="s">
        <v>2695</v>
      </c>
      <c r="B1346" s="5" t="e" cm="1">
        <f t="array" ref="B1346">MAX(#REF!,MIN(#REF!,#REF!+SUMPRODUCT(--(FoodData[[#This Row],[Healthy]:[Refined]]="Yes"),#REF!)+FoodData[[#This Row],[Adjust]]))</f>
        <v>#REF!</v>
      </c>
      <c r="C1346" s="1" t="e">
        <f>LOOKUP(FoodData[[#This Row],[Score]],#REF!,#REF!)</f>
        <v>#REF!</v>
      </c>
      <c r="D1346" t="s">
        <v>2446</v>
      </c>
      <c r="E1346" t="s">
        <v>556</v>
      </c>
      <c r="F1346" t="s">
        <v>22</v>
      </c>
      <c r="G1346" t="s">
        <v>489</v>
      </c>
      <c r="H1346" t="s">
        <v>2696</v>
      </c>
      <c r="I1346" s="1" t="s">
        <v>25</v>
      </c>
      <c r="J1346" s="1" t="s">
        <v>25</v>
      </c>
      <c r="K1346" s="1" t="s">
        <v>26</v>
      </c>
      <c r="L1346" s="1" t="s">
        <v>25</v>
      </c>
      <c r="M1346" s="1" t="s">
        <v>26</v>
      </c>
      <c r="N1346" s="1" t="s">
        <v>25</v>
      </c>
      <c r="O1346" s="1" t="s">
        <v>25</v>
      </c>
      <c r="P1346" s="1" t="s">
        <v>25</v>
      </c>
      <c r="Q1346" s="1" t="s">
        <v>25</v>
      </c>
      <c r="R1346" s="1" t="s">
        <v>25</v>
      </c>
      <c r="S1346" s="2">
        <v>0</v>
      </c>
    </row>
    <row r="1347" spans="1:19" x14ac:dyDescent="0.3">
      <c r="A1347" t="s">
        <v>2697</v>
      </c>
      <c r="B1347" s="5" t="e" cm="1">
        <f t="array" ref="B1347">MAX(#REF!,MIN(#REF!,#REF!+SUMPRODUCT(--(FoodData[[#This Row],[Healthy]:[Refined]]="Yes"),#REF!)+FoodData[[#This Row],[Adjust]]))</f>
        <v>#REF!</v>
      </c>
      <c r="C1347" s="1" t="e">
        <f>LOOKUP(FoodData[[#This Row],[Score]],#REF!,#REF!)</f>
        <v>#REF!</v>
      </c>
      <c r="D1347" t="s">
        <v>2446</v>
      </c>
      <c r="E1347" t="s">
        <v>556</v>
      </c>
      <c r="F1347" t="s">
        <v>22</v>
      </c>
      <c r="G1347" t="s">
        <v>489</v>
      </c>
      <c r="H1347" t="s">
        <v>2054</v>
      </c>
      <c r="I1347" s="1" t="s">
        <v>25</v>
      </c>
      <c r="J1347" s="1" t="s">
        <v>25</v>
      </c>
      <c r="K1347" s="1" t="s">
        <v>26</v>
      </c>
      <c r="L1347" s="1" t="s">
        <v>26</v>
      </c>
      <c r="M1347" s="1" t="s">
        <v>26</v>
      </c>
      <c r="N1347" s="1" t="s">
        <v>25</v>
      </c>
      <c r="O1347" s="1" t="s">
        <v>25</v>
      </c>
      <c r="P1347" s="1" t="s">
        <v>25</v>
      </c>
      <c r="Q1347" s="1" t="s">
        <v>25</v>
      </c>
      <c r="R1347" s="1" t="s">
        <v>25</v>
      </c>
      <c r="S1347" s="2">
        <v>0</v>
      </c>
    </row>
    <row r="1348" spans="1:19" x14ac:dyDescent="0.3">
      <c r="A1348" t="s">
        <v>2698</v>
      </c>
      <c r="B1348" s="5" t="e" cm="1">
        <f t="array" ref="B1348">MAX(#REF!,MIN(#REF!,#REF!+SUMPRODUCT(--(FoodData[[#This Row],[Healthy]:[Refined]]="Yes"),#REF!)+FoodData[[#This Row],[Adjust]]))</f>
        <v>#REF!</v>
      </c>
      <c r="C1348" s="1" t="e">
        <f>LOOKUP(FoodData[[#This Row],[Score]],#REF!,#REF!)</f>
        <v>#REF!</v>
      </c>
      <c r="D1348" t="s">
        <v>2446</v>
      </c>
      <c r="E1348" t="s">
        <v>556</v>
      </c>
      <c r="F1348" t="s">
        <v>22</v>
      </c>
      <c r="G1348" t="s">
        <v>489</v>
      </c>
      <c r="H1348" t="s">
        <v>2699</v>
      </c>
      <c r="I1348" s="1" t="s">
        <v>25</v>
      </c>
      <c r="J1348" s="1" t="s">
        <v>25</v>
      </c>
      <c r="K1348" s="1" t="s">
        <v>25</v>
      </c>
      <c r="L1348" s="1" t="s">
        <v>25</v>
      </c>
      <c r="M1348" s="1" t="s">
        <v>26</v>
      </c>
      <c r="N1348" s="1" t="s">
        <v>25</v>
      </c>
      <c r="O1348" s="1" t="s">
        <v>25</v>
      </c>
      <c r="P1348" s="1" t="s">
        <v>25</v>
      </c>
      <c r="Q1348" s="1" t="s">
        <v>25</v>
      </c>
      <c r="R1348" s="1" t="s">
        <v>25</v>
      </c>
      <c r="S1348" s="2">
        <v>0</v>
      </c>
    </row>
    <row r="1349" spans="1:19" x14ac:dyDescent="0.3">
      <c r="A1349" t="s">
        <v>2700</v>
      </c>
      <c r="B1349" s="5" t="e" cm="1">
        <f t="array" ref="B1349">MAX(#REF!,MIN(#REF!,#REF!+SUMPRODUCT(--(FoodData[[#This Row],[Healthy]:[Refined]]="Yes"),#REF!)+FoodData[[#This Row],[Adjust]]))</f>
        <v>#REF!</v>
      </c>
      <c r="C1349" s="1" t="e">
        <f>LOOKUP(FoodData[[#This Row],[Score]],#REF!,#REF!)</f>
        <v>#REF!</v>
      </c>
      <c r="D1349" t="s">
        <v>2446</v>
      </c>
      <c r="E1349" t="s">
        <v>556</v>
      </c>
      <c r="F1349" t="s">
        <v>22</v>
      </c>
      <c r="G1349" t="s">
        <v>489</v>
      </c>
      <c r="H1349" t="s">
        <v>2701</v>
      </c>
      <c r="I1349" s="1" t="s">
        <v>25</v>
      </c>
      <c r="J1349" s="1" t="s">
        <v>25</v>
      </c>
      <c r="K1349" s="1" t="s">
        <v>25</v>
      </c>
      <c r="L1349" s="1" t="s">
        <v>26</v>
      </c>
      <c r="M1349" s="1" t="s">
        <v>26</v>
      </c>
      <c r="N1349" s="1" t="s">
        <v>25</v>
      </c>
      <c r="O1349" s="1" t="s">
        <v>25</v>
      </c>
      <c r="P1349" s="1" t="s">
        <v>25</v>
      </c>
      <c r="Q1349" s="1" t="s">
        <v>25</v>
      </c>
      <c r="R1349" s="1" t="s">
        <v>25</v>
      </c>
      <c r="S1349" s="2">
        <v>0</v>
      </c>
    </row>
    <row r="1350" spans="1:19" x14ac:dyDescent="0.3">
      <c r="A1350" t="s">
        <v>2702</v>
      </c>
      <c r="B1350" s="5" t="e" cm="1">
        <f t="array" ref="B1350">MAX(#REF!,MIN(#REF!,#REF!+SUMPRODUCT(--(FoodData[[#This Row],[Healthy]:[Refined]]="Yes"),#REF!)+FoodData[[#This Row],[Adjust]]))</f>
        <v>#REF!</v>
      </c>
      <c r="C1350" s="1" t="e">
        <f>LOOKUP(FoodData[[#This Row],[Score]],#REF!,#REF!)</f>
        <v>#REF!</v>
      </c>
      <c r="D1350" t="s">
        <v>2446</v>
      </c>
      <c r="E1350" t="s">
        <v>556</v>
      </c>
      <c r="F1350" t="s">
        <v>22</v>
      </c>
      <c r="G1350" t="s">
        <v>489</v>
      </c>
      <c r="H1350" t="s">
        <v>2703</v>
      </c>
      <c r="I1350" s="1" t="s">
        <v>25</v>
      </c>
      <c r="J1350" s="1" t="s">
        <v>25</v>
      </c>
      <c r="K1350" s="1" t="s">
        <v>25</v>
      </c>
      <c r="L1350" s="1" t="s">
        <v>26</v>
      </c>
      <c r="M1350" s="1" t="s">
        <v>25</v>
      </c>
      <c r="N1350" s="1" t="s">
        <v>25</v>
      </c>
      <c r="O1350" s="1" t="s">
        <v>25</v>
      </c>
      <c r="P1350" s="1" t="s">
        <v>25</v>
      </c>
      <c r="Q1350" s="1" t="s">
        <v>25</v>
      </c>
      <c r="R1350" s="1" t="s">
        <v>25</v>
      </c>
      <c r="S1350" s="2">
        <v>0</v>
      </c>
    </row>
    <row r="1351" spans="1:19" x14ac:dyDescent="0.3">
      <c r="A1351" t="s">
        <v>2704</v>
      </c>
      <c r="B1351" s="5" t="e" cm="1">
        <f t="array" ref="B1351">MAX(#REF!,MIN(#REF!,#REF!+SUMPRODUCT(--(FoodData[[#This Row],[Healthy]:[Refined]]="Yes"),#REF!)+FoodData[[#This Row],[Adjust]]))</f>
        <v>#REF!</v>
      </c>
      <c r="C1351" s="1" t="e">
        <f>LOOKUP(FoodData[[#This Row],[Score]],#REF!,#REF!)</f>
        <v>#REF!</v>
      </c>
      <c r="D1351" t="s">
        <v>2446</v>
      </c>
      <c r="E1351" t="s">
        <v>556</v>
      </c>
      <c r="F1351" t="s">
        <v>22</v>
      </c>
      <c r="G1351" t="s">
        <v>489</v>
      </c>
      <c r="H1351" t="s">
        <v>2705</v>
      </c>
      <c r="I1351" s="1" t="s">
        <v>25</v>
      </c>
      <c r="J1351" s="1" t="s">
        <v>25</v>
      </c>
      <c r="K1351" s="1" t="s">
        <v>25</v>
      </c>
      <c r="L1351" s="1" t="s">
        <v>25</v>
      </c>
      <c r="M1351" s="1" t="s">
        <v>26</v>
      </c>
      <c r="N1351" s="1" t="s">
        <v>25</v>
      </c>
      <c r="O1351" s="1" t="s">
        <v>25</v>
      </c>
      <c r="P1351" s="1" t="s">
        <v>25</v>
      </c>
      <c r="Q1351" s="1" t="s">
        <v>25</v>
      </c>
      <c r="R1351" s="1" t="s">
        <v>25</v>
      </c>
      <c r="S1351" s="2">
        <v>0</v>
      </c>
    </row>
    <row r="1352" spans="1:19" x14ac:dyDescent="0.3">
      <c r="A1352" t="s">
        <v>2706</v>
      </c>
      <c r="B1352" s="5" t="e" cm="1">
        <f t="array" ref="B1352">MAX(#REF!,MIN(#REF!,#REF!+SUMPRODUCT(--(FoodData[[#This Row],[Healthy]:[Refined]]="Yes"),#REF!)+FoodData[[#This Row],[Adjust]]))</f>
        <v>#REF!</v>
      </c>
      <c r="C1352" s="1" t="e">
        <f>LOOKUP(FoodData[[#This Row],[Score]],#REF!,#REF!)</f>
        <v>#REF!</v>
      </c>
      <c r="D1352" t="s">
        <v>2446</v>
      </c>
      <c r="E1352" t="s">
        <v>556</v>
      </c>
      <c r="F1352" t="s">
        <v>22</v>
      </c>
      <c r="G1352" t="s">
        <v>489</v>
      </c>
      <c r="H1352" t="s">
        <v>2707</v>
      </c>
      <c r="I1352" s="1" t="s">
        <v>25</v>
      </c>
      <c r="J1352" s="1" t="s">
        <v>25</v>
      </c>
      <c r="K1352" s="1" t="s">
        <v>25</v>
      </c>
      <c r="L1352" s="1" t="s">
        <v>26</v>
      </c>
      <c r="M1352" s="1" t="s">
        <v>25</v>
      </c>
      <c r="N1352" s="1" t="s">
        <v>25</v>
      </c>
      <c r="O1352" s="1" t="s">
        <v>25</v>
      </c>
      <c r="P1352" s="1" t="s">
        <v>25</v>
      </c>
      <c r="Q1352" s="1" t="s">
        <v>25</v>
      </c>
      <c r="R1352" s="1" t="s">
        <v>25</v>
      </c>
      <c r="S1352" s="2">
        <v>0</v>
      </c>
    </row>
    <row r="1353" spans="1:19" x14ac:dyDescent="0.3">
      <c r="A1353" t="s">
        <v>2708</v>
      </c>
      <c r="B1353" s="5" t="e" cm="1">
        <f t="array" ref="B1353">MAX(#REF!,MIN(#REF!,#REF!+SUMPRODUCT(--(FoodData[[#This Row],[Healthy]:[Refined]]="Yes"),#REF!)+FoodData[[#This Row],[Adjust]]))</f>
        <v>#REF!</v>
      </c>
      <c r="C1353" s="1" t="e">
        <f>LOOKUP(FoodData[[#This Row],[Score]],#REF!,#REF!)</f>
        <v>#REF!</v>
      </c>
      <c r="D1353" t="s">
        <v>2446</v>
      </c>
      <c r="E1353" t="s">
        <v>556</v>
      </c>
      <c r="F1353" t="s">
        <v>22</v>
      </c>
      <c r="G1353" t="s">
        <v>489</v>
      </c>
      <c r="H1353" t="s">
        <v>2709</v>
      </c>
      <c r="I1353" s="1" t="s">
        <v>25</v>
      </c>
      <c r="J1353" s="1" t="s">
        <v>25</v>
      </c>
      <c r="K1353" s="1" t="s">
        <v>25</v>
      </c>
      <c r="L1353" s="1" t="s">
        <v>25</v>
      </c>
      <c r="M1353" s="1" t="s">
        <v>26</v>
      </c>
      <c r="N1353" s="1" t="s">
        <v>25</v>
      </c>
      <c r="O1353" s="1" t="s">
        <v>26</v>
      </c>
      <c r="P1353" s="1" t="s">
        <v>25</v>
      </c>
      <c r="Q1353" s="1" t="s">
        <v>26</v>
      </c>
      <c r="R1353" s="1" t="s">
        <v>25</v>
      </c>
      <c r="S1353" s="2">
        <v>0</v>
      </c>
    </row>
    <row r="1354" spans="1:19" x14ac:dyDescent="0.3">
      <c r="A1354" t="s">
        <v>2710</v>
      </c>
      <c r="B1354" s="5" t="e" cm="1">
        <f t="array" ref="B1354">MAX(#REF!,MIN(#REF!,#REF!+SUMPRODUCT(--(FoodData[[#This Row],[Healthy]:[Refined]]="Yes"),#REF!)+FoodData[[#This Row],[Adjust]]))</f>
        <v>#REF!</v>
      </c>
      <c r="C1354" s="1" t="e">
        <f>LOOKUP(FoodData[[#This Row],[Score]],#REF!,#REF!)</f>
        <v>#REF!</v>
      </c>
      <c r="D1354" t="s">
        <v>2446</v>
      </c>
      <c r="E1354" t="s">
        <v>556</v>
      </c>
      <c r="F1354" t="s">
        <v>22</v>
      </c>
      <c r="G1354" t="s">
        <v>489</v>
      </c>
      <c r="H1354" t="s">
        <v>2594</v>
      </c>
      <c r="I1354" s="1" t="s">
        <v>25</v>
      </c>
      <c r="J1354" s="1" t="s">
        <v>25</v>
      </c>
      <c r="K1354" s="1" t="s">
        <v>26</v>
      </c>
      <c r="L1354" s="1" t="s">
        <v>26</v>
      </c>
      <c r="M1354" s="1" t="s">
        <v>26</v>
      </c>
      <c r="N1354" s="1" t="s">
        <v>25</v>
      </c>
      <c r="O1354" s="1" t="s">
        <v>25</v>
      </c>
      <c r="P1354" s="1" t="s">
        <v>26</v>
      </c>
      <c r="Q1354" s="1" t="s">
        <v>26</v>
      </c>
      <c r="R1354" s="1" t="s">
        <v>25</v>
      </c>
      <c r="S1354" s="2">
        <v>0</v>
      </c>
    </row>
    <row r="1355" spans="1:19" x14ac:dyDescent="0.3">
      <c r="A1355" t="s">
        <v>2711</v>
      </c>
      <c r="B1355" s="5" t="e" cm="1">
        <f t="array" ref="B1355">MAX(#REF!,MIN(#REF!,#REF!+SUMPRODUCT(--(FoodData[[#This Row],[Healthy]:[Refined]]="Yes"),#REF!)+FoodData[[#This Row],[Adjust]]))</f>
        <v>#REF!</v>
      </c>
      <c r="C1355" s="1" t="e">
        <f>LOOKUP(FoodData[[#This Row],[Score]],#REF!,#REF!)</f>
        <v>#REF!</v>
      </c>
      <c r="D1355" t="s">
        <v>2446</v>
      </c>
      <c r="E1355" t="s">
        <v>556</v>
      </c>
      <c r="F1355" t="s">
        <v>22</v>
      </c>
      <c r="G1355" t="s">
        <v>489</v>
      </c>
      <c r="H1355" t="s">
        <v>2712</v>
      </c>
      <c r="I1355" s="1" t="s">
        <v>25</v>
      </c>
      <c r="J1355" s="1" t="s">
        <v>25</v>
      </c>
      <c r="K1355" s="1" t="s">
        <v>25</v>
      </c>
      <c r="L1355" s="1" t="s">
        <v>25</v>
      </c>
      <c r="M1355" s="1" t="s">
        <v>26</v>
      </c>
      <c r="N1355" s="1" t="s">
        <v>25</v>
      </c>
      <c r="O1355" s="1" t="s">
        <v>26</v>
      </c>
      <c r="P1355" s="1" t="s">
        <v>25</v>
      </c>
      <c r="Q1355" s="1" t="s">
        <v>26</v>
      </c>
      <c r="R1355" s="1" t="s">
        <v>25</v>
      </c>
      <c r="S1355" s="2">
        <v>0</v>
      </c>
    </row>
    <row r="1356" spans="1:19" x14ac:dyDescent="0.3">
      <c r="A1356" t="s">
        <v>2713</v>
      </c>
      <c r="B1356" s="5" t="e" cm="1">
        <f t="array" ref="B1356">MAX(#REF!,MIN(#REF!,#REF!+SUMPRODUCT(--(FoodData[[#This Row],[Healthy]:[Refined]]="Yes"),#REF!)+FoodData[[#This Row],[Adjust]]))</f>
        <v>#REF!</v>
      </c>
      <c r="C1356" s="1" t="e">
        <f>LOOKUP(FoodData[[#This Row],[Score]],#REF!,#REF!)</f>
        <v>#REF!</v>
      </c>
      <c r="D1356" t="s">
        <v>2446</v>
      </c>
      <c r="E1356" t="s">
        <v>556</v>
      </c>
      <c r="F1356" t="s">
        <v>22</v>
      </c>
      <c r="G1356" t="s">
        <v>489</v>
      </c>
      <c r="H1356" t="s">
        <v>2714</v>
      </c>
      <c r="I1356" s="1" t="s">
        <v>25</v>
      </c>
      <c r="J1356" s="1" t="s">
        <v>25</v>
      </c>
      <c r="K1356" s="1" t="s">
        <v>25</v>
      </c>
      <c r="L1356" s="1" t="s">
        <v>25</v>
      </c>
      <c r="M1356" s="1" t="s">
        <v>26</v>
      </c>
      <c r="N1356" s="1" t="s">
        <v>25</v>
      </c>
      <c r="O1356" s="1" t="s">
        <v>26</v>
      </c>
      <c r="P1356" s="1" t="s">
        <v>25</v>
      </c>
      <c r="Q1356" s="1" t="s">
        <v>25</v>
      </c>
      <c r="R1356" s="1" t="s">
        <v>25</v>
      </c>
      <c r="S1356" s="2">
        <v>0</v>
      </c>
    </row>
    <row r="1357" spans="1:19" x14ac:dyDescent="0.3">
      <c r="A1357" t="s">
        <v>2715</v>
      </c>
      <c r="B1357" s="5" t="e" cm="1">
        <f t="array" ref="B1357">MAX(#REF!,MIN(#REF!,#REF!+SUMPRODUCT(--(FoodData[[#This Row],[Healthy]:[Refined]]="Yes"),#REF!)+FoodData[[#This Row],[Adjust]]))</f>
        <v>#REF!</v>
      </c>
      <c r="C1357" s="1" t="e">
        <f>LOOKUP(FoodData[[#This Row],[Score]],#REF!,#REF!)</f>
        <v>#REF!</v>
      </c>
      <c r="D1357" t="s">
        <v>2446</v>
      </c>
      <c r="E1357" t="s">
        <v>556</v>
      </c>
      <c r="F1357" t="s">
        <v>22</v>
      </c>
      <c r="G1357" t="s">
        <v>489</v>
      </c>
      <c r="H1357" t="s">
        <v>2716</v>
      </c>
      <c r="I1357" s="1" t="s">
        <v>25</v>
      </c>
      <c r="J1357" s="1" t="s">
        <v>25</v>
      </c>
      <c r="K1357" s="1" t="s">
        <v>26</v>
      </c>
      <c r="L1357" s="1" t="s">
        <v>25</v>
      </c>
      <c r="M1357" s="1" t="s">
        <v>26</v>
      </c>
      <c r="N1357" s="1" t="s">
        <v>25</v>
      </c>
      <c r="O1357" s="1" t="s">
        <v>26</v>
      </c>
      <c r="P1357" s="1" t="s">
        <v>25</v>
      </c>
      <c r="Q1357" s="1" t="s">
        <v>25</v>
      </c>
      <c r="R1357" s="1" t="s">
        <v>25</v>
      </c>
      <c r="S1357" s="2">
        <v>0</v>
      </c>
    </row>
    <row r="1358" spans="1:19" x14ac:dyDescent="0.3">
      <c r="A1358" t="s">
        <v>2717</v>
      </c>
      <c r="B1358" s="5" t="e" cm="1">
        <f t="array" ref="B1358">MAX(#REF!,MIN(#REF!,#REF!+SUMPRODUCT(--(FoodData[[#This Row],[Healthy]:[Refined]]="Yes"),#REF!)+FoodData[[#This Row],[Adjust]]))</f>
        <v>#REF!</v>
      </c>
      <c r="C1358" s="1" t="e">
        <f>LOOKUP(FoodData[[#This Row],[Score]],#REF!,#REF!)</f>
        <v>#REF!</v>
      </c>
      <c r="D1358" t="s">
        <v>2446</v>
      </c>
      <c r="E1358" t="s">
        <v>556</v>
      </c>
      <c r="F1358" t="s">
        <v>22</v>
      </c>
      <c r="G1358" t="s">
        <v>489</v>
      </c>
      <c r="H1358" t="s">
        <v>2718</v>
      </c>
      <c r="I1358" s="1" t="s">
        <v>25</v>
      </c>
      <c r="J1358" s="1" t="s">
        <v>25</v>
      </c>
      <c r="K1358" s="1" t="s">
        <v>25</v>
      </c>
      <c r="L1358" s="1" t="s">
        <v>25</v>
      </c>
      <c r="M1358" s="1" t="s">
        <v>26</v>
      </c>
      <c r="N1358" s="1" t="s">
        <v>25</v>
      </c>
      <c r="O1358" s="1" t="s">
        <v>25</v>
      </c>
      <c r="P1358" s="1" t="s">
        <v>25</v>
      </c>
      <c r="Q1358" s="1" t="s">
        <v>25</v>
      </c>
      <c r="R1358" s="1" t="s">
        <v>25</v>
      </c>
      <c r="S1358" s="2">
        <v>0</v>
      </c>
    </row>
    <row r="1359" spans="1:19" x14ac:dyDescent="0.3">
      <c r="A1359" t="s">
        <v>2719</v>
      </c>
      <c r="B1359" s="5" t="e" cm="1">
        <f t="array" ref="B1359">MAX(#REF!,MIN(#REF!,#REF!+SUMPRODUCT(--(FoodData[[#This Row],[Healthy]:[Refined]]="Yes"),#REF!)+FoodData[[#This Row],[Adjust]]))</f>
        <v>#REF!</v>
      </c>
      <c r="C1359" s="1" t="e">
        <f>LOOKUP(FoodData[[#This Row],[Score]],#REF!,#REF!)</f>
        <v>#REF!</v>
      </c>
      <c r="D1359" t="s">
        <v>2446</v>
      </c>
      <c r="E1359" t="s">
        <v>556</v>
      </c>
      <c r="F1359" t="s">
        <v>22</v>
      </c>
      <c r="G1359" t="s">
        <v>489</v>
      </c>
      <c r="H1359" t="s">
        <v>2720</v>
      </c>
      <c r="I1359" s="1" t="s">
        <v>25</v>
      </c>
      <c r="J1359" s="1" t="s">
        <v>25</v>
      </c>
      <c r="K1359" s="1" t="s">
        <v>26</v>
      </c>
      <c r="L1359" s="1" t="s">
        <v>26</v>
      </c>
      <c r="M1359" s="1" t="s">
        <v>26</v>
      </c>
      <c r="N1359" s="1" t="s">
        <v>25</v>
      </c>
      <c r="O1359" s="1" t="s">
        <v>25</v>
      </c>
      <c r="P1359" s="1" t="s">
        <v>25</v>
      </c>
      <c r="Q1359" s="1" t="s">
        <v>25</v>
      </c>
      <c r="R1359" s="1" t="s">
        <v>25</v>
      </c>
      <c r="S1359" s="2">
        <v>0</v>
      </c>
    </row>
    <row r="1360" spans="1:19" x14ac:dyDescent="0.3">
      <c r="A1360" t="s">
        <v>2721</v>
      </c>
      <c r="B1360" s="5" t="e" cm="1">
        <f t="array" ref="B1360">MAX(#REF!,MIN(#REF!,#REF!+SUMPRODUCT(--(FoodData[[#This Row],[Healthy]:[Refined]]="Yes"),#REF!)+FoodData[[#This Row],[Adjust]]))</f>
        <v>#REF!</v>
      </c>
      <c r="C1360" s="1" t="e">
        <f>LOOKUP(FoodData[[#This Row],[Score]],#REF!,#REF!)</f>
        <v>#REF!</v>
      </c>
      <c r="D1360" t="s">
        <v>2446</v>
      </c>
      <c r="E1360" t="s">
        <v>556</v>
      </c>
      <c r="F1360" t="s">
        <v>22</v>
      </c>
      <c r="G1360" t="s">
        <v>489</v>
      </c>
      <c r="H1360" t="s">
        <v>2722</v>
      </c>
      <c r="I1360" s="1" t="s">
        <v>25</v>
      </c>
      <c r="J1360" s="1" t="s">
        <v>25</v>
      </c>
      <c r="K1360" s="1" t="s">
        <v>25</v>
      </c>
      <c r="L1360" s="1" t="s">
        <v>25</v>
      </c>
      <c r="M1360" s="1" t="s">
        <v>26</v>
      </c>
      <c r="N1360" s="1" t="s">
        <v>25</v>
      </c>
      <c r="O1360" s="1" t="s">
        <v>26</v>
      </c>
      <c r="P1360" s="1" t="s">
        <v>25</v>
      </c>
      <c r="Q1360" s="1" t="s">
        <v>25</v>
      </c>
      <c r="R1360" s="1" t="s">
        <v>25</v>
      </c>
      <c r="S1360" s="2">
        <v>0</v>
      </c>
    </row>
    <row r="1361" spans="1:19" x14ac:dyDescent="0.3">
      <c r="A1361" t="s">
        <v>2723</v>
      </c>
      <c r="B1361" s="5" t="e" cm="1">
        <f t="array" ref="B1361">MAX(#REF!,MIN(#REF!,#REF!+SUMPRODUCT(--(FoodData[[#This Row],[Healthy]:[Refined]]="Yes"),#REF!)+FoodData[[#This Row],[Adjust]]))</f>
        <v>#REF!</v>
      </c>
      <c r="C1361" s="1" t="e">
        <f>LOOKUP(FoodData[[#This Row],[Score]],#REF!,#REF!)</f>
        <v>#REF!</v>
      </c>
      <c r="D1361" t="s">
        <v>2446</v>
      </c>
      <c r="E1361" t="s">
        <v>556</v>
      </c>
      <c r="F1361" t="s">
        <v>22</v>
      </c>
      <c r="G1361" t="s">
        <v>489</v>
      </c>
      <c r="H1361" t="s">
        <v>2724</v>
      </c>
      <c r="I1361" s="1" t="s">
        <v>26</v>
      </c>
      <c r="J1361" s="1" t="s">
        <v>25</v>
      </c>
      <c r="K1361" s="1" t="s">
        <v>25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25</v>
      </c>
      <c r="Q1361" s="1" t="s">
        <v>25</v>
      </c>
      <c r="R1361" s="1" t="s">
        <v>25</v>
      </c>
      <c r="S1361" s="2">
        <v>0</v>
      </c>
    </row>
    <row r="1362" spans="1:19" x14ac:dyDescent="0.3">
      <c r="A1362" t="s">
        <v>2725</v>
      </c>
      <c r="B1362" s="5" t="e" cm="1">
        <f t="array" ref="B1362">MAX(#REF!,MIN(#REF!,#REF!+SUMPRODUCT(--(FoodData[[#This Row],[Healthy]:[Refined]]="Yes"),#REF!)+FoodData[[#This Row],[Adjust]]))</f>
        <v>#REF!</v>
      </c>
      <c r="C1362" s="1" t="e">
        <f>LOOKUP(FoodData[[#This Row],[Score]],#REF!,#REF!)</f>
        <v>#REF!</v>
      </c>
      <c r="D1362" t="s">
        <v>2446</v>
      </c>
      <c r="E1362" t="s">
        <v>556</v>
      </c>
      <c r="F1362" t="s">
        <v>22</v>
      </c>
      <c r="G1362" t="s">
        <v>489</v>
      </c>
      <c r="H1362" t="s">
        <v>2726</v>
      </c>
      <c r="I1362" s="1" t="s">
        <v>25</v>
      </c>
      <c r="J1362" s="1" t="s">
        <v>25</v>
      </c>
      <c r="K1362" s="1" t="s">
        <v>26</v>
      </c>
      <c r="L1362" s="1" t="s">
        <v>25</v>
      </c>
      <c r="M1362" s="1" t="s">
        <v>25</v>
      </c>
      <c r="N1362" s="1" t="s">
        <v>25</v>
      </c>
      <c r="O1362" s="1" t="s">
        <v>25</v>
      </c>
      <c r="P1362" s="1" t="s">
        <v>25</v>
      </c>
      <c r="Q1362" s="1" t="s">
        <v>25</v>
      </c>
      <c r="R1362" s="1" t="s">
        <v>25</v>
      </c>
      <c r="S1362" s="2">
        <v>0</v>
      </c>
    </row>
    <row r="1363" spans="1:19" x14ac:dyDescent="0.3">
      <c r="A1363" t="s">
        <v>2727</v>
      </c>
      <c r="B1363" s="5" t="e" cm="1">
        <f t="array" ref="B1363">MAX(#REF!,MIN(#REF!,#REF!+SUMPRODUCT(--(FoodData[[#This Row],[Healthy]:[Refined]]="Yes"),#REF!)+FoodData[[#This Row],[Adjust]]))</f>
        <v>#REF!</v>
      </c>
      <c r="C1363" s="1" t="e">
        <f>LOOKUP(FoodData[[#This Row],[Score]],#REF!,#REF!)</f>
        <v>#REF!</v>
      </c>
      <c r="D1363" t="s">
        <v>2446</v>
      </c>
      <c r="E1363" t="s">
        <v>556</v>
      </c>
      <c r="F1363" t="s">
        <v>22</v>
      </c>
      <c r="G1363" t="s">
        <v>489</v>
      </c>
      <c r="H1363" t="s">
        <v>2728</v>
      </c>
      <c r="I1363" s="1" t="s">
        <v>25</v>
      </c>
      <c r="J1363" s="1" t="s">
        <v>25</v>
      </c>
      <c r="K1363" s="1" t="s">
        <v>26</v>
      </c>
      <c r="L1363" s="1" t="s">
        <v>25</v>
      </c>
      <c r="M1363" s="1" t="s">
        <v>26</v>
      </c>
      <c r="N1363" s="1" t="s">
        <v>25</v>
      </c>
      <c r="O1363" s="1" t="s">
        <v>25</v>
      </c>
      <c r="P1363" s="1" t="s">
        <v>25</v>
      </c>
      <c r="Q1363" s="1" t="s">
        <v>25</v>
      </c>
      <c r="R1363" s="1" t="s">
        <v>25</v>
      </c>
      <c r="S1363" s="2">
        <v>0</v>
      </c>
    </row>
    <row r="1364" spans="1:19" x14ac:dyDescent="0.3">
      <c r="A1364" t="s">
        <v>2729</v>
      </c>
      <c r="B1364" s="5" t="e" cm="1">
        <f t="array" ref="B1364">MAX(#REF!,MIN(#REF!,#REF!+SUMPRODUCT(--(FoodData[[#This Row],[Healthy]:[Refined]]="Yes"),#REF!)+FoodData[[#This Row],[Adjust]]))</f>
        <v>#REF!</v>
      </c>
      <c r="C1364" s="1" t="e">
        <f>LOOKUP(FoodData[[#This Row],[Score]],#REF!,#REF!)</f>
        <v>#REF!</v>
      </c>
      <c r="D1364" t="s">
        <v>2446</v>
      </c>
      <c r="E1364" t="s">
        <v>556</v>
      </c>
      <c r="F1364" t="s">
        <v>22</v>
      </c>
      <c r="G1364" t="s">
        <v>489</v>
      </c>
      <c r="H1364" t="s">
        <v>2730</v>
      </c>
      <c r="I1364" s="1" t="s">
        <v>25</v>
      </c>
      <c r="J1364" s="1" t="s">
        <v>25</v>
      </c>
      <c r="K1364" s="1" t="s">
        <v>26</v>
      </c>
      <c r="L1364" s="1" t="s">
        <v>25</v>
      </c>
      <c r="M1364" s="1" t="s">
        <v>26</v>
      </c>
      <c r="N1364" s="1" t="s">
        <v>25</v>
      </c>
      <c r="O1364" s="1" t="s">
        <v>25</v>
      </c>
      <c r="P1364" s="1" t="s">
        <v>25</v>
      </c>
      <c r="Q1364" s="1" t="s">
        <v>25</v>
      </c>
      <c r="R1364" s="1" t="s">
        <v>25</v>
      </c>
      <c r="S1364" s="2">
        <v>0</v>
      </c>
    </row>
    <row r="1365" spans="1:19" x14ac:dyDescent="0.3">
      <c r="A1365" t="s">
        <v>2731</v>
      </c>
      <c r="B1365" s="5" t="e" cm="1">
        <f t="array" ref="B1365">MAX(#REF!,MIN(#REF!,#REF!+SUMPRODUCT(--(FoodData[[#This Row],[Healthy]:[Refined]]="Yes"),#REF!)+FoodData[[#This Row],[Adjust]]))</f>
        <v>#REF!</v>
      </c>
      <c r="C1365" s="1" t="e">
        <f>LOOKUP(FoodData[[#This Row],[Score]],#REF!,#REF!)</f>
        <v>#REF!</v>
      </c>
      <c r="D1365" t="s">
        <v>2446</v>
      </c>
      <c r="E1365" t="s">
        <v>556</v>
      </c>
      <c r="F1365" t="s">
        <v>22</v>
      </c>
      <c r="G1365" t="s">
        <v>489</v>
      </c>
      <c r="H1365" t="s">
        <v>2732</v>
      </c>
      <c r="I1365" s="1" t="s">
        <v>25</v>
      </c>
      <c r="J1365" s="1" t="s">
        <v>25</v>
      </c>
      <c r="K1365" s="1" t="s">
        <v>25</v>
      </c>
      <c r="L1365" s="1" t="s">
        <v>25</v>
      </c>
      <c r="M1365" s="1" t="s">
        <v>26</v>
      </c>
      <c r="N1365" s="1" t="s">
        <v>25</v>
      </c>
      <c r="O1365" s="1" t="s">
        <v>26</v>
      </c>
      <c r="P1365" s="1" t="s">
        <v>25</v>
      </c>
      <c r="Q1365" s="1" t="s">
        <v>25</v>
      </c>
      <c r="R1365" s="1" t="s">
        <v>26</v>
      </c>
      <c r="S1365" s="2">
        <v>0</v>
      </c>
    </row>
    <row r="1366" spans="1:19" x14ac:dyDescent="0.3">
      <c r="A1366" t="s">
        <v>2733</v>
      </c>
      <c r="B1366" s="5" t="e" cm="1">
        <f t="array" ref="B1366">MAX(#REF!,MIN(#REF!,#REF!+SUMPRODUCT(--(FoodData[[#This Row],[Healthy]:[Refined]]="Yes"),#REF!)+FoodData[[#This Row],[Adjust]]))</f>
        <v>#REF!</v>
      </c>
      <c r="C1366" s="1" t="e">
        <f>LOOKUP(FoodData[[#This Row],[Score]],#REF!,#REF!)</f>
        <v>#REF!</v>
      </c>
      <c r="D1366" t="s">
        <v>2446</v>
      </c>
      <c r="E1366" t="s">
        <v>556</v>
      </c>
      <c r="F1366" t="s">
        <v>22</v>
      </c>
      <c r="G1366" t="s">
        <v>489</v>
      </c>
      <c r="H1366" t="s">
        <v>2734</v>
      </c>
      <c r="I1366" s="1" t="s">
        <v>25</v>
      </c>
      <c r="J1366" s="1" t="s">
        <v>25</v>
      </c>
      <c r="K1366" s="1" t="s">
        <v>25</v>
      </c>
      <c r="L1366" s="1" t="s">
        <v>25</v>
      </c>
      <c r="M1366" s="1" t="s">
        <v>26</v>
      </c>
      <c r="N1366" s="1" t="s">
        <v>25</v>
      </c>
      <c r="O1366" s="1" t="s">
        <v>25</v>
      </c>
      <c r="P1366" s="1" t="s">
        <v>25</v>
      </c>
      <c r="Q1366" s="1" t="s">
        <v>25</v>
      </c>
      <c r="R1366" s="1" t="s">
        <v>25</v>
      </c>
      <c r="S1366" s="2">
        <v>0</v>
      </c>
    </row>
    <row r="1367" spans="1:19" x14ac:dyDescent="0.3">
      <c r="A1367" t="s">
        <v>2735</v>
      </c>
      <c r="B1367" s="5" t="e" cm="1">
        <f t="array" ref="B1367">MAX(#REF!,MIN(#REF!,#REF!+SUMPRODUCT(--(FoodData[[#This Row],[Healthy]:[Refined]]="Yes"),#REF!)+FoodData[[#This Row],[Adjust]]))</f>
        <v>#REF!</v>
      </c>
      <c r="C1367" s="1" t="e">
        <f>LOOKUP(FoodData[[#This Row],[Score]],#REF!,#REF!)</f>
        <v>#REF!</v>
      </c>
      <c r="D1367" t="s">
        <v>2446</v>
      </c>
      <c r="E1367" t="s">
        <v>556</v>
      </c>
      <c r="F1367" t="s">
        <v>22</v>
      </c>
      <c r="G1367" t="s">
        <v>489</v>
      </c>
      <c r="H1367" t="s">
        <v>2736</v>
      </c>
      <c r="I1367" s="1" t="s">
        <v>25</v>
      </c>
      <c r="J1367" s="1" t="s">
        <v>25</v>
      </c>
      <c r="K1367" s="1" t="s">
        <v>25</v>
      </c>
      <c r="L1367" s="1" t="s">
        <v>25</v>
      </c>
      <c r="M1367" s="1" t="s">
        <v>26</v>
      </c>
      <c r="N1367" s="1" t="s">
        <v>25</v>
      </c>
      <c r="O1367" s="1" t="s">
        <v>25</v>
      </c>
      <c r="P1367" s="1" t="s">
        <v>25</v>
      </c>
      <c r="Q1367" s="1" t="s">
        <v>25</v>
      </c>
      <c r="R1367" s="1" t="s">
        <v>25</v>
      </c>
      <c r="S1367" s="2">
        <v>0</v>
      </c>
    </row>
    <row r="1368" spans="1:19" x14ac:dyDescent="0.3">
      <c r="A1368" t="s">
        <v>2737</v>
      </c>
      <c r="B1368" s="5" t="e" cm="1">
        <f t="array" ref="B1368">MAX(#REF!,MIN(#REF!,#REF!+SUMPRODUCT(--(FoodData[[#This Row],[Healthy]:[Refined]]="Yes"),#REF!)+FoodData[[#This Row],[Adjust]]))</f>
        <v>#REF!</v>
      </c>
      <c r="C1368" s="1" t="e">
        <f>LOOKUP(FoodData[[#This Row],[Score]],#REF!,#REF!)</f>
        <v>#REF!</v>
      </c>
      <c r="D1368" t="s">
        <v>2446</v>
      </c>
      <c r="E1368" t="s">
        <v>556</v>
      </c>
      <c r="F1368" t="s">
        <v>22</v>
      </c>
      <c r="G1368" t="s">
        <v>489</v>
      </c>
      <c r="H1368" t="s">
        <v>2738</v>
      </c>
      <c r="I1368" s="1" t="s">
        <v>25</v>
      </c>
      <c r="J1368" s="1" t="s">
        <v>25</v>
      </c>
      <c r="K1368" s="1" t="s">
        <v>26</v>
      </c>
      <c r="L1368" s="1" t="s">
        <v>25</v>
      </c>
      <c r="M1368" s="1" t="s">
        <v>26</v>
      </c>
      <c r="N1368" s="1" t="s">
        <v>25</v>
      </c>
      <c r="O1368" s="1" t="s">
        <v>25</v>
      </c>
      <c r="P1368" s="1" t="s">
        <v>25</v>
      </c>
      <c r="Q1368" s="1" t="s">
        <v>25</v>
      </c>
      <c r="R1368" s="1" t="s">
        <v>25</v>
      </c>
      <c r="S1368" s="2">
        <v>0</v>
      </c>
    </row>
    <row r="1369" spans="1:19" x14ac:dyDescent="0.3">
      <c r="A1369" t="s">
        <v>2739</v>
      </c>
      <c r="B1369" s="5" t="e" cm="1">
        <f t="array" ref="B1369">MAX(#REF!,MIN(#REF!,#REF!+SUMPRODUCT(--(FoodData[[#This Row],[Healthy]:[Refined]]="Yes"),#REF!)+FoodData[[#This Row],[Adjust]]))</f>
        <v>#REF!</v>
      </c>
      <c r="C1369" s="1" t="e">
        <f>LOOKUP(FoodData[[#This Row],[Score]],#REF!,#REF!)</f>
        <v>#REF!</v>
      </c>
      <c r="D1369" t="s">
        <v>2446</v>
      </c>
      <c r="E1369" t="s">
        <v>556</v>
      </c>
      <c r="F1369" t="s">
        <v>22</v>
      </c>
      <c r="G1369" t="s">
        <v>489</v>
      </c>
      <c r="H1369" t="s">
        <v>2740</v>
      </c>
      <c r="I1369" s="1" t="s">
        <v>25</v>
      </c>
      <c r="J1369" s="1" t="s">
        <v>25</v>
      </c>
      <c r="K1369" s="1" t="s">
        <v>25</v>
      </c>
      <c r="L1369" s="1" t="s">
        <v>25</v>
      </c>
      <c r="M1369" s="1" t="s">
        <v>26</v>
      </c>
      <c r="N1369" s="1" t="s">
        <v>25</v>
      </c>
      <c r="O1369" s="1" t="s">
        <v>26</v>
      </c>
      <c r="P1369" s="1" t="s">
        <v>25</v>
      </c>
      <c r="Q1369" s="1" t="s">
        <v>25</v>
      </c>
      <c r="R1369" s="1" t="s">
        <v>25</v>
      </c>
      <c r="S1369" s="2">
        <v>0</v>
      </c>
    </row>
    <row r="1370" spans="1:19" x14ac:dyDescent="0.3">
      <c r="A1370" t="s">
        <v>2741</v>
      </c>
      <c r="B1370" s="5" t="e" cm="1">
        <f t="array" ref="B1370">MAX(#REF!,MIN(#REF!,#REF!+SUMPRODUCT(--(FoodData[[#This Row],[Healthy]:[Refined]]="Yes"),#REF!)+FoodData[[#This Row],[Adjust]]))</f>
        <v>#REF!</v>
      </c>
      <c r="C1370" s="1" t="e">
        <f>LOOKUP(FoodData[[#This Row],[Score]],#REF!,#REF!)</f>
        <v>#REF!</v>
      </c>
      <c r="D1370" t="s">
        <v>2446</v>
      </c>
      <c r="E1370" t="s">
        <v>556</v>
      </c>
      <c r="F1370" t="s">
        <v>22</v>
      </c>
      <c r="G1370" t="s">
        <v>489</v>
      </c>
      <c r="H1370" t="s">
        <v>2742</v>
      </c>
      <c r="I1370" s="1" t="s">
        <v>25</v>
      </c>
      <c r="J1370" s="1" t="s">
        <v>25</v>
      </c>
      <c r="K1370" s="1" t="s">
        <v>25</v>
      </c>
      <c r="L1370" s="1" t="s">
        <v>25</v>
      </c>
      <c r="M1370" s="1" t="s">
        <v>26</v>
      </c>
      <c r="N1370" s="1" t="s">
        <v>25</v>
      </c>
      <c r="O1370" s="1" t="s">
        <v>26</v>
      </c>
      <c r="P1370" s="1" t="s">
        <v>26</v>
      </c>
      <c r="Q1370" s="1" t="s">
        <v>25</v>
      </c>
      <c r="R1370" s="1" t="s">
        <v>25</v>
      </c>
      <c r="S1370" s="2">
        <v>0</v>
      </c>
    </row>
    <row r="1371" spans="1:19" x14ac:dyDescent="0.3">
      <c r="A1371" t="s">
        <v>2743</v>
      </c>
      <c r="B1371" s="5" t="e" cm="1">
        <f t="array" ref="B1371">MAX(#REF!,MIN(#REF!,#REF!+SUMPRODUCT(--(FoodData[[#This Row],[Healthy]:[Refined]]="Yes"),#REF!)+FoodData[[#This Row],[Adjust]]))</f>
        <v>#REF!</v>
      </c>
      <c r="C1371" s="1" t="e">
        <f>LOOKUP(FoodData[[#This Row],[Score]],#REF!,#REF!)</f>
        <v>#REF!</v>
      </c>
      <c r="D1371" t="s">
        <v>2446</v>
      </c>
      <c r="E1371" t="s">
        <v>556</v>
      </c>
      <c r="F1371" t="s">
        <v>22</v>
      </c>
      <c r="G1371" t="s">
        <v>489</v>
      </c>
      <c r="H1371" t="s">
        <v>2744</v>
      </c>
      <c r="I1371" s="1" t="s">
        <v>25</v>
      </c>
      <c r="J1371" s="1" t="s">
        <v>25</v>
      </c>
      <c r="K1371" s="1" t="s">
        <v>26</v>
      </c>
      <c r="L1371" s="1" t="s">
        <v>25</v>
      </c>
      <c r="M1371" s="1" t="s">
        <v>25</v>
      </c>
      <c r="N1371" s="1" t="s">
        <v>25</v>
      </c>
      <c r="O1371" s="1" t="s">
        <v>25</v>
      </c>
      <c r="P1371" s="1" t="s">
        <v>25</v>
      </c>
      <c r="Q1371" s="1" t="s">
        <v>25</v>
      </c>
      <c r="R1371" s="1" t="s">
        <v>26</v>
      </c>
      <c r="S1371" s="2">
        <v>0</v>
      </c>
    </row>
    <row r="1372" spans="1:19" x14ac:dyDescent="0.3">
      <c r="A1372" t="s">
        <v>2745</v>
      </c>
      <c r="B1372" s="5" t="e" cm="1">
        <f t="array" ref="B1372">MAX(#REF!,MIN(#REF!,#REF!+SUMPRODUCT(--(FoodData[[#This Row],[Healthy]:[Refined]]="Yes"),#REF!)+FoodData[[#This Row],[Adjust]]))</f>
        <v>#REF!</v>
      </c>
      <c r="C1372" s="1" t="e">
        <f>LOOKUP(FoodData[[#This Row],[Score]],#REF!,#REF!)</f>
        <v>#REF!</v>
      </c>
      <c r="D1372" t="s">
        <v>2446</v>
      </c>
      <c r="E1372" t="s">
        <v>556</v>
      </c>
      <c r="F1372" t="s">
        <v>22</v>
      </c>
      <c r="G1372" t="s">
        <v>489</v>
      </c>
      <c r="H1372" t="s">
        <v>2746</v>
      </c>
      <c r="I1372" s="1" t="s">
        <v>25</v>
      </c>
      <c r="J1372" s="1" t="s">
        <v>25</v>
      </c>
      <c r="K1372" s="1" t="s">
        <v>25</v>
      </c>
      <c r="L1372" s="1" t="s">
        <v>25</v>
      </c>
      <c r="M1372" s="1" t="s">
        <v>26</v>
      </c>
      <c r="N1372" s="1" t="s">
        <v>25</v>
      </c>
      <c r="O1372" s="1" t="s">
        <v>26</v>
      </c>
      <c r="P1372" s="1" t="s">
        <v>26</v>
      </c>
      <c r="Q1372" s="1" t="s">
        <v>26</v>
      </c>
      <c r="R1372" s="1" t="s">
        <v>26</v>
      </c>
      <c r="S1372" s="2">
        <v>2</v>
      </c>
    </row>
    <row r="1373" spans="1:19" x14ac:dyDescent="0.3">
      <c r="A1373" t="s">
        <v>2747</v>
      </c>
      <c r="B1373" s="5" t="e" cm="1">
        <f t="array" ref="B1373">MAX(#REF!,MIN(#REF!,#REF!+SUMPRODUCT(--(FoodData[[#This Row],[Healthy]:[Refined]]="Yes"),#REF!)+FoodData[[#This Row],[Adjust]]))</f>
        <v>#REF!</v>
      </c>
      <c r="C1373" s="1" t="e">
        <f>LOOKUP(FoodData[[#This Row],[Score]],#REF!,#REF!)</f>
        <v>#REF!</v>
      </c>
      <c r="D1373" t="s">
        <v>2446</v>
      </c>
      <c r="E1373" t="s">
        <v>556</v>
      </c>
      <c r="F1373" t="s">
        <v>22</v>
      </c>
      <c r="G1373" t="s">
        <v>489</v>
      </c>
      <c r="H1373" t="s">
        <v>2748</v>
      </c>
      <c r="I1373" s="1" t="s">
        <v>25</v>
      </c>
      <c r="J1373" s="1" t="s">
        <v>25</v>
      </c>
      <c r="K1373" s="1" t="s">
        <v>25</v>
      </c>
      <c r="L1373" s="1" t="s">
        <v>25</v>
      </c>
      <c r="M1373" s="1" t="s">
        <v>26</v>
      </c>
      <c r="N1373" s="1" t="s">
        <v>25</v>
      </c>
      <c r="O1373" s="1" t="s">
        <v>26</v>
      </c>
      <c r="P1373" s="1" t="s">
        <v>25</v>
      </c>
      <c r="Q1373" s="1" t="s">
        <v>25</v>
      </c>
      <c r="R1373" s="1" t="s">
        <v>25</v>
      </c>
      <c r="S1373" s="2">
        <v>0</v>
      </c>
    </row>
    <row r="1374" spans="1:19" x14ac:dyDescent="0.3">
      <c r="A1374" t="s">
        <v>2749</v>
      </c>
      <c r="B1374" s="5" t="e" cm="1">
        <f t="array" ref="B1374">MAX(#REF!,MIN(#REF!,#REF!+SUMPRODUCT(--(FoodData[[#This Row],[Healthy]:[Refined]]="Yes"),#REF!)+FoodData[[#This Row],[Adjust]]))</f>
        <v>#REF!</v>
      </c>
      <c r="C1374" s="1" t="e">
        <f>LOOKUP(FoodData[[#This Row],[Score]],#REF!,#REF!)</f>
        <v>#REF!</v>
      </c>
      <c r="D1374" t="s">
        <v>2446</v>
      </c>
      <c r="E1374" t="s">
        <v>556</v>
      </c>
      <c r="F1374" t="s">
        <v>22</v>
      </c>
      <c r="G1374" t="s">
        <v>489</v>
      </c>
      <c r="H1374" t="s">
        <v>2750</v>
      </c>
      <c r="I1374" s="1" t="s">
        <v>25</v>
      </c>
      <c r="J1374" s="1" t="s">
        <v>25</v>
      </c>
      <c r="K1374" s="1" t="s">
        <v>26</v>
      </c>
      <c r="L1374" s="1" t="s">
        <v>25</v>
      </c>
      <c r="M1374" s="1" t="s">
        <v>25</v>
      </c>
      <c r="N1374" s="1" t="s">
        <v>25</v>
      </c>
      <c r="O1374" s="1" t="s">
        <v>25</v>
      </c>
      <c r="P1374" s="1" t="s">
        <v>25</v>
      </c>
      <c r="Q1374" s="1" t="s">
        <v>25</v>
      </c>
      <c r="R1374" s="1" t="s">
        <v>25</v>
      </c>
      <c r="S1374" s="2">
        <v>0</v>
      </c>
    </row>
    <row r="1375" spans="1:19" x14ac:dyDescent="0.3">
      <c r="A1375" t="s">
        <v>2751</v>
      </c>
      <c r="B1375" s="5" t="e" cm="1">
        <f t="array" ref="B1375">MAX(#REF!,MIN(#REF!,#REF!+SUMPRODUCT(--(FoodData[[#This Row],[Healthy]:[Refined]]="Yes"),#REF!)+FoodData[[#This Row],[Adjust]]))</f>
        <v>#REF!</v>
      </c>
      <c r="C1375" s="1" t="e">
        <f>LOOKUP(FoodData[[#This Row],[Score]],#REF!,#REF!)</f>
        <v>#REF!</v>
      </c>
      <c r="D1375" t="s">
        <v>2446</v>
      </c>
      <c r="E1375" t="s">
        <v>556</v>
      </c>
      <c r="F1375" t="s">
        <v>22</v>
      </c>
      <c r="G1375" t="s">
        <v>489</v>
      </c>
      <c r="H1375" t="s">
        <v>2752</v>
      </c>
      <c r="I1375" s="1" t="s">
        <v>25</v>
      </c>
      <c r="J1375" s="1" t="s">
        <v>25</v>
      </c>
      <c r="K1375" s="1" t="s">
        <v>26</v>
      </c>
      <c r="L1375" s="1" t="s">
        <v>26</v>
      </c>
      <c r="M1375" s="1" t="s">
        <v>25</v>
      </c>
      <c r="N1375" s="1" t="s">
        <v>25</v>
      </c>
      <c r="O1375" s="1" t="s">
        <v>26</v>
      </c>
      <c r="P1375" s="1" t="s">
        <v>25</v>
      </c>
      <c r="Q1375" s="1" t="s">
        <v>25</v>
      </c>
      <c r="R1375" s="1" t="s">
        <v>25</v>
      </c>
      <c r="S1375" s="2">
        <v>0</v>
      </c>
    </row>
    <row r="1376" spans="1:19" x14ac:dyDescent="0.3">
      <c r="A1376" t="s">
        <v>2753</v>
      </c>
      <c r="B1376" s="5" t="e" cm="1">
        <f t="array" ref="B1376">MAX(#REF!,MIN(#REF!,#REF!+SUMPRODUCT(--(FoodData[[#This Row],[Healthy]:[Refined]]="Yes"),#REF!)+FoodData[[#This Row],[Adjust]]))</f>
        <v>#REF!</v>
      </c>
      <c r="C1376" s="1" t="e">
        <f>LOOKUP(FoodData[[#This Row],[Score]],#REF!,#REF!)</f>
        <v>#REF!</v>
      </c>
      <c r="D1376" t="s">
        <v>2446</v>
      </c>
      <c r="E1376" t="s">
        <v>556</v>
      </c>
      <c r="F1376" t="s">
        <v>22</v>
      </c>
      <c r="G1376" t="s">
        <v>489</v>
      </c>
      <c r="H1376" t="s">
        <v>2754</v>
      </c>
      <c r="I1376" s="1" t="s">
        <v>25</v>
      </c>
      <c r="J1376" s="1" t="s">
        <v>25</v>
      </c>
      <c r="K1376" s="1" t="s">
        <v>26</v>
      </c>
      <c r="L1376" s="1" t="s">
        <v>25</v>
      </c>
      <c r="M1376" s="1" t="s">
        <v>26</v>
      </c>
      <c r="N1376" s="1" t="s">
        <v>25</v>
      </c>
      <c r="O1376" s="1" t="s">
        <v>25</v>
      </c>
      <c r="P1376" s="1" t="s">
        <v>25</v>
      </c>
      <c r="Q1376" s="1" t="s">
        <v>25</v>
      </c>
      <c r="R1376" s="1" t="s">
        <v>25</v>
      </c>
      <c r="S1376" s="2">
        <v>0</v>
      </c>
    </row>
    <row r="1377" spans="1:19" x14ac:dyDescent="0.3">
      <c r="A1377" t="s">
        <v>2755</v>
      </c>
      <c r="B1377" s="5" t="e" cm="1">
        <f t="array" ref="B1377">MAX(#REF!,MIN(#REF!,#REF!+SUMPRODUCT(--(FoodData[[#This Row],[Healthy]:[Refined]]="Yes"),#REF!)+FoodData[[#This Row],[Adjust]]))</f>
        <v>#REF!</v>
      </c>
      <c r="C1377" s="1" t="e">
        <f>LOOKUP(FoodData[[#This Row],[Score]],#REF!,#REF!)</f>
        <v>#REF!</v>
      </c>
      <c r="D1377" t="s">
        <v>2446</v>
      </c>
      <c r="E1377" t="s">
        <v>556</v>
      </c>
      <c r="F1377" t="s">
        <v>22</v>
      </c>
      <c r="G1377" t="s">
        <v>489</v>
      </c>
      <c r="H1377" t="s">
        <v>2451</v>
      </c>
      <c r="I1377" s="1" t="s">
        <v>25</v>
      </c>
      <c r="J1377" s="1" t="s">
        <v>25</v>
      </c>
      <c r="K1377" s="1" t="s">
        <v>26</v>
      </c>
      <c r="L1377" s="1" t="s">
        <v>25</v>
      </c>
      <c r="M1377" s="1" t="s">
        <v>26</v>
      </c>
      <c r="N1377" s="1" t="s">
        <v>25</v>
      </c>
      <c r="O1377" s="1" t="s">
        <v>25</v>
      </c>
      <c r="P1377" s="1" t="s">
        <v>25</v>
      </c>
      <c r="Q1377" s="1" t="s">
        <v>25</v>
      </c>
      <c r="R1377" s="1" t="s">
        <v>25</v>
      </c>
      <c r="S1377" s="2">
        <v>0</v>
      </c>
    </row>
    <row r="1378" spans="1:19" x14ac:dyDescent="0.3">
      <c r="A1378" t="s">
        <v>2756</v>
      </c>
      <c r="B1378" s="5" t="e" cm="1">
        <f t="array" ref="B1378">MAX(#REF!,MIN(#REF!,#REF!+SUMPRODUCT(--(FoodData[[#This Row],[Healthy]:[Refined]]="Yes"),#REF!)+FoodData[[#This Row],[Adjust]]))</f>
        <v>#REF!</v>
      </c>
      <c r="C1378" s="1" t="e">
        <f>LOOKUP(FoodData[[#This Row],[Score]],#REF!,#REF!)</f>
        <v>#REF!</v>
      </c>
      <c r="D1378" t="s">
        <v>2446</v>
      </c>
      <c r="E1378" t="s">
        <v>556</v>
      </c>
      <c r="F1378" t="s">
        <v>22</v>
      </c>
      <c r="G1378" t="s">
        <v>489</v>
      </c>
      <c r="H1378" t="s">
        <v>2757</v>
      </c>
      <c r="I1378" s="1" t="s">
        <v>25</v>
      </c>
      <c r="J1378" s="1" t="s">
        <v>25</v>
      </c>
      <c r="K1378" s="1" t="s">
        <v>26</v>
      </c>
      <c r="L1378" s="1" t="s">
        <v>25</v>
      </c>
      <c r="M1378" s="1" t="s">
        <v>25</v>
      </c>
      <c r="N1378" s="1" t="s">
        <v>25</v>
      </c>
      <c r="O1378" s="1" t="s">
        <v>25</v>
      </c>
      <c r="P1378" s="1" t="s">
        <v>25</v>
      </c>
      <c r="Q1378" s="1" t="s">
        <v>25</v>
      </c>
      <c r="R1378" s="1" t="s">
        <v>25</v>
      </c>
      <c r="S1378" s="2">
        <v>0</v>
      </c>
    </row>
    <row r="1379" spans="1:19" x14ac:dyDescent="0.3">
      <c r="A1379" t="s">
        <v>2758</v>
      </c>
      <c r="B1379" s="5" t="e" cm="1">
        <f t="array" ref="B1379">MAX(#REF!,MIN(#REF!,#REF!+SUMPRODUCT(--(FoodData[[#This Row],[Healthy]:[Refined]]="Yes"),#REF!)+FoodData[[#This Row],[Adjust]]))</f>
        <v>#REF!</v>
      </c>
      <c r="C1379" s="1" t="e">
        <f>LOOKUP(FoodData[[#This Row],[Score]],#REF!,#REF!)</f>
        <v>#REF!</v>
      </c>
      <c r="D1379" t="s">
        <v>2446</v>
      </c>
      <c r="E1379" t="s">
        <v>556</v>
      </c>
      <c r="F1379" t="s">
        <v>22</v>
      </c>
      <c r="G1379" t="s">
        <v>489</v>
      </c>
      <c r="H1379" t="s">
        <v>2759</v>
      </c>
      <c r="I1379" s="1" t="s">
        <v>25</v>
      </c>
      <c r="J1379" s="1" t="s">
        <v>25</v>
      </c>
      <c r="K1379" s="1" t="s">
        <v>26</v>
      </c>
      <c r="L1379" s="1" t="s">
        <v>25</v>
      </c>
      <c r="M1379" s="1" t="s">
        <v>25</v>
      </c>
      <c r="N1379" s="1" t="s">
        <v>25</v>
      </c>
      <c r="O1379" s="1" t="s">
        <v>25</v>
      </c>
      <c r="P1379" s="1" t="s">
        <v>25</v>
      </c>
      <c r="Q1379" s="1" t="s">
        <v>25</v>
      </c>
      <c r="R1379" s="1" t="s">
        <v>25</v>
      </c>
      <c r="S1379" s="2">
        <v>0</v>
      </c>
    </row>
    <row r="1380" spans="1:19" x14ac:dyDescent="0.3">
      <c r="A1380" t="s">
        <v>2760</v>
      </c>
      <c r="B1380" s="5" t="e" cm="1">
        <f t="array" ref="B1380">MAX(#REF!,MIN(#REF!,#REF!+SUMPRODUCT(--(FoodData[[#This Row],[Healthy]:[Refined]]="Yes"),#REF!)+FoodData[[#This Row],[Adjust]]))</f>
        <v>#REF!</v>
      </c>
      <c r="C1380" s="1" t="e">
        <f>LOOKUP(FoodData[[#This Row],[Score]],#REF!,#REF!)</f>
        <v>#REF!</v>
      </c>
      <c r="D1380" t="s">
        <v>2446</v>
      </c>
      <c r="E1380" t="s">
        <v>556</v>
      </c>
      <c r="F1380" t="s">
        <v>22</v>
      </c>
      <c r="G1380" t="s">
        <v>489</v>
      </c>
      <c r="H1380" t="s">
        <v>2481</v>
      </c>
      <c r="I1380" s="1" t="s">
        <v>25</v>
      </c>
      <c r="J1380" s="1" t="s">
        <v>25</v>
      </c>
      <c r="K1380" s="1" t="s">
        <v>25</v>
      </c>
      <c r="L1380" s="1" t="s">
        <v>25</v>
      </c>
      <c r="M1380" s="1" t="s">
        <v>26</v>
      </c>
      <c r="N1380" s="1" t="s">
        <v>25</v>
      </c>
      <c r="O1380" s="1" t="s">
        <v>26</v>
      </c>
      <c r="P1380" s="1" t="s">
        <v>25</v>
      </c>
      <c r="Q1380" s="1" t="s">
        <v>25</v>
      </c>
      <c r="R1380" s="1" t="s">
        <v>25</v>
      </c>
      <c r="S1380" s="2">
        <v>0</v>
      </c>
    </row>
    <row r="1381" spans="1:19" x14ac:dyDescent="0.3">
      <c r="A1381" t="s">
        <v>2761</v>
      </c>
      <c r="B1381" s="5" t="e" cm="1">
        <f t="array" ref="B1381">MAX(#REF!,MIN(#REF!,#REF!+SUMPRODUCT(--(FoodData[[#This Row],[Healthy]:[Refined]]="Yes"),#REF!)+FoodData[[#This Row],[Adjust]]))</f>
        <v>#REF!</v>
      </c>
      <c r="C1381" s="1" t="e">
        <f>LOOKUP(FoodData[[#This Row],[Score]],#REF!,#REF!)</f>
        <v>#REF!</v>
      </c>
      <c r="D1381" t="s">
        <v>2446</v>
      </c>
      <c r="E1381" t="s">
        <v>556</v>
      </c>
      <c r="F1381" t="s">
        <v>22</v>
      </c>
      <c r="G1381" t="s">
        <v>489</v>
      </c>
      <c r="H1381" t="s">
        <v>2762</v>
      </c>
      <c r="I1381" s="1" t="s">
        <v>25</v>
      </c>
      <c r="J1381" s="1" t="s">
        <v>25</v>
      </c>
      <c r="K1381" s="1" t="s">
        <v>25</v>
      </c>
      <c r="L1381" s="1" t="s">
        <v>26</v>
      </c>
      <c r="M1381" s="1" t="s">
        <v>25</v>
      </c>
      <c r="N1381" s="1" t="s">
        <v>25</v>
      </c>
      <c r="O1381" s="1" t="s">
        <v>26</v>
      </c>
      <c r="P1381" s="1" t="s">
        <v>25</v>
      </c>
      <c r="Q1381" s="1" t="s">
        <v>25</v>
      </c>
      <c r="R1381" s="1" t="s">
        <v>25</v>
      </c>
      <c r="S1381" s="2">
        <v>0</v>
      </c>
    </row>
    <row r="1382" spans="1:19" x14ac:dyDescent="0.3">
      <c r="A1382" t="s">
        <v>2763</v>
      </c>
      <c r="B1382" s="5" t="e" cm="1">
        <f t="array" ref="B1382">MAX(#REF!,MIN(#REF!,#REF!+SUMPRODUCT(--(FoodData[[#This Row],[Healthy]:[Refined]]="Yes"),#REF!)+FoodData[[#This Row],[Adjust]]))</f>
        <v>#REF!</v>
      </c>
      <c r="C1382" s="1" t="e">
        <f>LOOKUP(FoodData[[#This Row],[Score]],#REF!,#REF!)</f>
        <v>#REF!</v>
      </c>
      <c r="D1382" t="s">
        <v>2446</v>
      </c>
      <c r="E1382" t="s">
        <v>556</v>
      </c>
      <c r="F1382" t="s">
        <v>22</v>
      </c>
      <c r="G1382" t="s">
        <v>489</v>
      </c>
      <c r="H1382" t="s">
        <v>2764</v>
      </c>
      <c r="I1382" s="1" t="s">
        <v>25</v>
      </c>
      <c r="J1382" s="1" t="s">
        <v>25</v>
      </c>
      <c r="K1382" s="1" t="s">
        <v>26</v>
      </c>
      <c r="L1382" s="1" t="s">
        <v>25</v>
      </c>
      <c r="M1382" s="1" t="s">
        <v>26</v>
      </c>
      <c r="N1382" s="1" t="s">
        <v>25</v>
      </c>
      <c r="O1382" s="1" t="s">
        <v>26</v>
      </c>
      <c r="P1382" s="1" t="s">
        <v>25</v>
      </c>
      <c r="Q1382" s="1" t="s">
        <v>26</v>
      </c>
      <c r="R1382" s="1" t="s">
        <v>25</v>
      </c>
      <c r="S1382" s="2">
        <v>0</v>
      </c>
    </row>
    <row r="1383" spans="1:19" x14ac:dyDescent="0.3">
      <c r="A1383" t="s">
        <v>2765</v>
      </c>
      <c r="B1383" s="5" t="e" cm="1">
        <f t="array" ref="B1383">MAX(#REF!,MIN(#REF!,#REF!+SUMPRODUCT(--(FoodData[[#This Row],[Healthy]:[Refined]]="Yes"),#REF!)+FoodData[[#This Row],[Adjust]]))</f>
        <v>#REF!</v>
      </c>
      <c r="C1383" s="1" t="e">
        <f>LOOKUP(FoodData[[#This Row],[Score]],#REF!,#REF!)</f>
        <v>#REF!</v>
      </c>
      <c r="D1383" t="s">
        <v>2446</v>
      </c>
      <c r="E1383" t="s">
        <v>556</v>
      </c>
      <c r="F1383" t="s">
        <v>22</v>
      </c>
      <c r="G1383" t="s">
        <v>489</v>
      </c>
      <c r="H1383" t="s">
        <v>2766</v>
      </c>
      <c r="I1383" s="1" t="s">
        <v>25</v>
      </c>
      <c r="J1383" s="1" t="s">
        <v>25</v>
      </c>
      <c r="K1383" s="1" t="s">
        <v>25</v>
      </c>
      <c r="L1383" s="1" t="s">
        <v>25</v>
      </c>
      <c r="M1383" s="1" t="s">
        <v>26</v>
      </c>
      <c r="N1383" s="1" t="s">
        <v>25</v>
      </c>
      <c r="O1383" s="1" t="s">
        <v>26</v>
      </c>
      <c r="P1383" s="1" t="s">
        <v>25</v>
      </c>
      <c r="Q1383" s="1" t="s">
        <v>26</v>
      </c>
      <c r="R1383" s="1" t="s">
        <v>25</v>
      </c>
      <c r="S1383" s="2">
        <v>0</v>
      </c>
    </row>
    <row r="1384" spans="1:19" x14ac:dyDescent="0.3">
      <c r="A1384" t="s">
        <v>2767</v>
      </c>
      <c r="B1384" s="5" t="e" cm="1">
        <f t="array" ref="B1384">MAX(#REF!,MIN(#REF!,#REF!+SUMPRODUCT(--(FoodData[[#This Row],[Healthy]:[Refined]]="Yes"),#REF!)+FoodData[[#This Row],[Adjust]]))</f>
        <v>#REF!</v>
      </c>
      <c r="C1384" s="1" t="e">
        <f>LOOKUP(FoodData[[#This Row],[Score]],#REF!,#REF!)</f>
        <v>#REF!</v>
      </c>
      <c r="D1384" t="s">
        <v>2446</v>
      </c>
      <c r="E1384" t="s">
        <v>556</v>
      </c>
      <c r="F1384" t="s">
        <v>22</v>
      </c>
      <c r="G1384" t="s">
        <v>489</v>
      </c>
      <c r="H1384" t="s">
        <v>2768</v>
      </c>
      <c r="I1384" s="1" t="s">
        <v>25</v>
      </c>
      <c r="J1384" s="1" t="s">
        <v>25</v>
      </c>
      <c r="K1384" s="1" t="s">
        <v>25</v>
      </c>
      <c r="L1384" s="1" t="s">
        <v>26</v>
      </c>
      <c r="M1384" s="1" t="s">
        <v>26</v>
      </c>
      <c r="N1384" s="1" t="s">
        <v>25</v>
      </c>
      <c r="O1384" s="1" t="s">
        <v>26</v>
      </c>
      <c r="P1384" s="1" t="s">
        <v>25</v>
      </c>
      <c r="Q1384" s="1" t="s">
        <v>26</v>
      </c>
      <c r="R1384" s="1" t="s">
        <v>25</v>
      </c>
      <c r="S1384" s="2">
        <v>0</v>
      </c>
    </row>
    <row r="1385" spans="1:19" x14ac:dyDescent="0.3">
      <c r="A1385" t="s">
        <v>2769</v>
      </c>
      <c r="B1385" s="5" t="e" cm="1">
        <f t="array" ref="B1385">MAX(#REF!,MIN(#REF!,#REF!+SUMPRODUCT(--(FoodData[[#This Row],[Healthy]:[Refined]]="Yes"),#REF!)+FoodData[[#This Row],[Adjust]]))</f>
        <v>#REF!</v>
      </c>
      <c r="C1385" s="1" t="e">
        <f>LOOKUP(FoodData[[#This Row],[Score]],#REF!,#REF!)</f>
        <v>#REF!</v>
      </c>
      <c r="D1385" t="s">
        <v>2446</v>
      </c>
      <c r="E1385" t="s">
        <v>556</v>
      </c>
      <c r="F1385" t="s">
        <v>22</v>
      </c>
      <c r="G1385" t="s">
        <v>489</v>
      </c>
      <c r="H1385" t="s">
        <v>2770</v>
      </c>
      <c r="I1385" s="1" t="s">
        <v>25</v>
      </c>
      <c r="J1385" s="1" t="s">
        <v>25</v>
      </c>
      <c r="K1385" s="1" t="s">
        <v>25</v>
      </c>
      <c r="L1385" s="1" t="s">
        <v>25</v>
      </c>
      <c r="M1385" s="1" t="s">
        <v>26</v>
      </c>
      <c r="N1385" s="1" t="s">
        <v>25</v>
      </c>
      <c r="O1385" s="1" t="s">
        <v>26</v>
      </c>
      <c r="P1385" s="1" t="s">
        <v>26</v>
      </c>
      <c r="Q1385" s="1" t="s">
        <v>26</v>
      </c>
      <c r="R1385" s="1" t="s">
        <v>26</v>
      </c>
      <c r="S1385" s="2">
        <v>2</v>
      </c>
    </row>
    <row r="1386" spans="1:19" x14ac:dyDescent="0.3">
      <c r="A1386" t="s">
        <v>2771</v>
      </c>
      <c r="B1386" s="5" t="e" cm="1">
        <f t="array" ref="B1386">MAX(#REF!,MIN(#REF!,#REF!+SUMPRODUCT(--(FoodData[[#This Row],[Healthy]:[Refined]]="Yes"),#REF!)+FoodData[[#This Row],[Adjust]]))</f>
        <v>#REF!</v>
      </c>
      <c r="C1386" s="1" t="e">
        <f>LOOKUP(FoodData[[#This Row],[Score]],#REF!,#REF!)</f>
        <v>#REF!</v>
      </c>
      <c r="D1386" t="s">
        <v>2446</v>
      </c>
      <c r="E1386" t="s">
        <v>556</v>
      </c>
      <c r="F1386" t="s">
        <v>22</v>
      </c>
      <c r="G1386" t="s">
        <v>489</v>
      </c>
      <c r="H1386" t="s">
        <v>2772</v>
      </c>
      <c r="I1386" s="1" t="s">
        <v>25</v>
      </c>
      <c r="J1386" s="1" t="s">
        <v>25</v>
      </c>
      <c r="K1386" s="1" t="s">
        <v>25</v>
      </c>
      <c r="L1386" s="1" t="s">
        <v>25</v>
      </c>
      <c r="M1386" s="1" t="s">
        <v>26</v>
      </c>
      <c r="N1386" s="1" t="s">
        <v>25</v>
      </c>
      <c r="O1386" s="1" t="s">
        <v>25</v>
      </c>
      <c r="P1386" s="1" t="s">
        <v>25</v>
      </c>
      <c r="Q1386" s="1" t="s">
        <v>25</v>
      </c>
      <c r="R1386" s="1" t="s">
        <v>25</v>
      </c>
      <c r="S1386" s="2">
        <v>0</v>
      </c>
    </row>
    <row r="1387" spans="1:19" x14ac:dyDescent="0.3">
      <c r="A1387" t="s">
        <v>2773</v>
      </c>
      <c r="B1387" s="5" t="e" cm="1">
        <f t="array" ref="B1387">MAX(#REF!,MIN(#REF!,#REF!+SUMPRODUCT(--(FoodData[[#This Row],[Healthy]:[Refined]]="Yes"),#REF!)+FoodData[[#This Row],[Adjust]]))</f>
        <v>#REF!</v>
      </c>
      <c r="C1387" s="1" t="e">
        <f>LOOKUP(FoodData[[#This Row],[Score]],#REF!,#REF!)</f>
        <v>#REF!</v>
      </c>
      <c r="D1387" t="s">
        <v>2446</v>
      </c>
      <c r="E1387" t="s">
        <v>556</v>
      </c>
      <c r="F1387" t="s">
        <v>22</v>
      </c>
      <c r="G1387" t="s">
        <v>489</v>
      </c>
      <c r="H1387" t="s">
        <v>2774</v>
      </c>
      <c r="I1387" s="1" t="s">
        <v>25</v>
      </c>
      <c r="J1387" s="1" t="s">
        <v>25</v>
      </c>
      <c r="K1387" s="1" t="s">
        <v>25</v>
      </c>
      <c r="L1387" s="1" t="s">
        <v>25</v>
      </c>
      <c r="M1387" s="1" t="s">
        <v>26</v>
      </c>
      <c r="N1387" s="1" t="s">
        <v>25</v>
      </c>
      <c r="O1387" s="1" t="s">
        <v>26</v>
      </c>
      <c r="P1387" s="1" t="s">
        <v>26</v>
      </c>
      <c r="Q1387" s="1" t="s">
        <v>25</v>
      </c>
      <c r="R1387" s="1" t="s">
        <v>25</v>
      </c>
      <c r="S1387" s="2">
        <v>0</v>
      </c>
    </row>
    <row r="1388" spans="1:19" x14ac:dyDescent="0.3">
      <c r="A1388" t="s">
        <v>2775</v>
      </c>
      <c r="B1388" s="5" t="e" cm="1">
        <f t="array" ref="B1388">MAX(#REF!,MIN(#REF!,#REF!+SUMPRODUCT(--(FoodData[[#This Row],[Healthy]:[Refined]]="Yes"),#REF!)+FoodData[[#This Row],[Adjust]]))</f>
        <v>#REF!</v>
      </c>
      <c r="C1388" s="1" t="e">
        <f>LOOKUP(FoodData[[#This Row],[Score]],#REF!,#REF!)</f>
        <v>#REF!</v>
      </c>
      <c r="D1388" t="s">
        <v>2446</v>
      </c>
      <c r="E1388" t="s">
        <v>556</v>
      </c>
      <c r="F1388" t="s">
        <v>22</v>
      </c>
      <c r="G1388" t="s">
        <v>489</v>
      </c>
      <c r="H1388" t="s">
        <v>2776</v>
      </c>
      <c r="I1388" s="1" t="s">
        <v>25</v>
      </c>
      <c r="J1388" s="1" t="s">
        <v>25</v>
      </c>
      <c r="K1388" s="1" t="s">
        <v>25</v>
      </c>
      <c r="L1388" s="1" t="s">
        <v>25</v>
      </c>
      <c r="M1388" s="1" t="s">
        <v>26</v>
      </c>
      <c r="N1388" s="1" t="s">
        <v>25</v>
      </c>
      <c r="O1388" s="1" t="s">
        <v>25</v>
      </c>
      <c r="P1388" s="1" t="s">
        <v>25</v>
      </c>
      <c r="Q1388" s="1" t="s">
        <v>25</v>
      </c>
      <c r="R1388" s="1" t="s">
        <v>25</v>
      </c>
      <c r="S1388" s="2">
        <v>0</v>
      </c>
    </row>
    <row r="1389" spans="1:19" x14ac:dyDescent="0.3">
      <c r="A1389" t="s">
        <v>2777</v>
      </c>
      <c r="B1389" s="5" t="e" cm="1">
        <f t="array" ref="B1389">MAX(#REF!,MIN(#REF!,#REF!+SUMPRODUCT(--(FoodData[[#This Row],[Healthy]:[Refined]]="Yes"),#REF!)+FoodData[[#This Row],[Adjust]]))</f>
        <v>#REF!</v>
      </c>
      <c r="C1389" s="1" t="e">
        <f>LOOKUP(FoodData[[#This Row],[Score]],#REF!,#REF!)</f>
        <v>#REF!</v>
      </c>
      <c r="D1389" t="s">
        <v>2446</v>
      </c>
      <c r="E1389" t="s">
        <v>556</v>
      </c>
      <c r="F1389" t="s">
        <v>22</v>
      </c>
      <c r="G1389" t="s">
        <v>489</v>
      </c>
      <c r="H1389" t="s">
        <v>2081</v>
      </c>
      <c r="I1389" s="1" t="s">
        <v>25</v>
      </c>
      <c r="J1389" s="1" t="s">
        <v>25</v>
      </c>
      <c r="K1389" s="1" t="s">
        <v>25</v>
      </c>
      <c r="L1389" s="1" t="s">
        <v>26</v>
      </c>
      <c r="M1389" s="1" t="s">
        <v>26</v>
      </c>
      <c r="N1389" s="1" t="s">
        <v>25</v>
      </c>
      <c r="O1389" s="1" t="s">
        <v>25</v>
      </c>
      <c r="P1389" s="1" t="s">
        <v>25</v>
      </c>
      <c r="Q1389" s="1" t="s">
        <v>25</v>
      </c>
      <c r="R1389" s="1" t="s">
        <v>25</v>
      </c>
      <c r="S1389" s="2">
        <v>0</v>
      </c>
    </row>
    <row r="1390" spans="1:19" x14ac:dyDescent="0.3">
      <c r="A1390" t="s">
        <v>2778</v>
      </c>
      <c r="B1390" s="5" t="e" cm="1">
        <f t="array" ref="B1390">MAX(#REF!,MIN(#REF!,#REF!+SUMPRODUCT(--(FoodData[[#This Row],[Healthy]:[Refined]]="Yes"),#REF!)+FoodData[[#This Row],[Adjust]]))</f>
        <v>#REF!</v>
      </c>
      <c r="C1390" s="1" t="e">
        <f>LOOKUP(FoodData[[#This Row],[Score]],#REF!,#REF!)</f>
        <v>#REF!</v>
      </c>
      <c r="D1390" t="s">
        <v>2446</v>
      </c>
      <c r="E1390" t="s">
        <v>556</v>
      </c>
      <c r="F1390" t="s">
        <v>22</v>
      </c>
      <c r="G1390" t="s">
        <v>489</v>
      </c>
      <c r="H1390" t="s">
        <v>2779</v>
      </c>
      <c r="I1390" s="1" t="s">
        <v>25</v>
      </c>
      <c r="J1390" s="1" t="s">
        <v>25</v>
      </c>
      <c r="K1390" s="1" t="s">
        <v>25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25</v>
      </c>
      <c r="Q1390" s="1" t="s">
        <v>25</v>
      </c>
      <c r="R1390" s="1" t="s">
        <v>25</v>
      </c>
      <c r="S1390" s="2">
        <v>0</v>
      </c>
    </row>
    <row r="1391" spans="1:19" x14ac:dyDescent="0.3">
      <c r="A1391" t="s">
        <v>2780</v>
      </c>
      <c r="B1391" s="5" t="e" cm="1">
        <f t="array" ref="B1391">MAX(#REF!,MIN(#REF!,#REF!+SUMPRODUCT(--(FoodData[[#This Row],[Healthy]:[Refined]]="Yes"),#REF!)+FoodData[[#This Row],[Adjust]]))</f>
        <v>#REF!</v>
      </c>
      <c r="C1391" s="1" t="e">
        <f>LOOKUP(FoodData[[#This Row],[Score]],#REF!,#REF!)</f>
        <v>#REF!</v>
      </c>
      <c r="D1391" t="s">
        <v>2446</v>
      </c>
      <c r="E1391" t="s">
        <v>556</v>
      </c>
      <c r="F1391" t="s">
        <v>22</v>
      </c>
      <c r="G1391" t="s">
        <v>489</v>
      </c>
      <c r="H1391" t="s">
        <v>2781</v>
      </c>
      <c r="I1391" s="1" t="s">
        <v>25</v>
      </c>
      <c r="J1391" s="1" t="s">
        <v>25</v>
      </c>
      <c r="K1391" s="1" t="s">
        <v>25</v>
      </c>
      <c r="L1391" s="1" t="s">
        <v>25</v>
      </c>
      <c r="M1391" s="1" t="s">
        <v>26</v>
      </c>
      <c r="N1391" s="1" t="s">
        <v>25</v>
      </c>
      <c r="O1391" s="1" t="s">
        <v>25</v>
      </c>
      <c r="P1391" s="1" t="s">
        <v>25</v>
      </c>
      <c r="Q1391" s="1" t="s">
        <v>25</v>
      </c>
      <c r="R1391" s="1" t="s">
        <v>25</v>
      </c>
      <c r="S1391" s="2">
        <v>0</v>
      </c>
    </row>
    <row r="1392" spans="1:19" x14ac:dyDescent="0.3">
      <c r="A1392" t="s">
        <v>2782</v>
      </c>
      <c r="B1392" s="5" t="e" cm="1">
        <f t="array" ref="B1392">MAX(#REF!,MIN(#REF!,#REF!+SUMPRODUCT(--(FoodData[[#This Row],[Healthy]:[Refined]]="Yes"),#REF!)+FoodData[[#This Row],[Adjust]]))</f>
        <v>#REF!</v>
      </c>
      <c r="C1392" s="1" t="e">
        <f>LOOKUP(FoodData[[#This Row],[Score]],#REF!,#REF!)</f>
        <v>#REF!</v>
      </c>
      <c r="D1392" t="s">
        <v>2446</v>
      </c>
      <c r="E1392" t="s">
        <v>556</v>
      </c>
      <c r="F1392" t="s">
        <v>22</v>
      </c>
      <c r="G1392" t="s">
        <v>489</v>
      </c>
      <c r="H1392" t="s">
        <v>2783</v>
      </c>
      <c r="I1392" s="1" t="s">
        <v>25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25</v>
      </c>
      <c r="O1392" s="1" t="s">
        <v>26</v>
      </c>
      <c r="P1392" s="1" t="s">
        <v>25</v>
      </c>
      <c r="Q1392" s="1" t="s">
        <v>26</v>
      </c>
      <c r="R1392" s="1" t="s">
        <v>25</v>
      </c>
      <c r="S1392" s="2">
        <v>0</v>
      </c>
    </row>
    <row r="1393" spans="1:19" x14ac:dyDescent="0.3">
      <c r="A1393" t="s">
        <v>2784</v>
      </c>
      <c r="B1393" s="5" t="e" cm="1">
        <f t="array" ref="B1393">MAX(#REF!,MIN(#REF!,#REF!+SUMPRODUCT(--(FoodData[[#This Row],[Healthy]:[Refined]]="Yes"),#REF!)+FoodData[[#This Row],[Adjust]]))</f>
        <v>#REF!</v>
      </c>
      <c r="C1393" s="1" t="e">
        <f>LOOKUP(FoodData[[#This Row],[Score]],#REF!,#REF!)</f>
        <v>#REF!</v>
      </c>
      <c r="D1393" t="s">
        <v>2446</v>
      </c>
      <c r="E1393" t="s">
        <v>556</v>
      </c>
      <c r="F1393" t="s">
        <v>22</v>
      </c>
      <c r="G1393" t="s">
        <v>489</v>
      </c>
      <c r="H1393" t="s">
        <v>2779</v>
      </c>
      <c r="I1393" s="1" t="s">
        <v>25</v>
      </c>
      <c r="J1393" s="1" t="s">
        <v>25</v>
      </c>
      <c r="K1393" s="1" t="s">
        <v>25</v>
      </c>
      <c r="L1393" s="1" t="s">
        <v>25</v>
      </c>
      <c r="M1393" s="1" t="s">
        <v>26</v>
      </c>
      <c r="N1393" s="1" t="s">
        <v>25</v>
      </c>
      <c r="O1393" s="1" t="s">
        <v>26</v>
      </c>
      <c r="P1393" s="1" t="s">
        <v>25</v>
      </c>
      <c r="Q1393" s="1" t="s">
        <v>25</v>
      </c>
      <c r="R1393" s="1" t="s">
        <v>25</v>
      </c>
      <c r="S1393" s="2">
        <v>0</v>
      </c>
    </row>
    <row r="1394" spans="1:19" x14ac:dyDescent="0.3">
      <c r="A1394" t="s">
        <v>2785</v>
      </c>
      <c r="B1394" s="5" t="e" cm="1">
        <f t="array" ref="B1394">MAX(#REF!,MIN(#REF!,#REF!+SUMPRODUCT(--(FoodData[[#This Row],[Healthy]:[Refined]]="Yes"),#REF!)+FoodData[[#This Row],[Adjust]]))</f>
        <v>#REF!</v>
      </c>
      <c r="C1394" s="1" t="e">
        <f>LOOKUP(FoodData[[#This Row],[Score]],#REF!,#REF!)</f>
        <v>#REF!</v>
      </c>
      <c r="D1394" t="s">
        <v>2446</v>
      </c>
      <c r="E1394" t="s">
        <v>556</v>
      </c>
      <c r="F1394" t="s">
        <v>22</v>
      </c>
      <c r="G1394" t="s">
        <v>489</v>
      </c>
      <c r="H1394" t="s">
        <v>2786</v>
      </c>
      <c r="I1394" s="1" t="s">
        <v>25</v>
      </c>
      <c r="J1394" s="1" t="s">
        <v>25</v>
      </c>
      <c r="K1394" s="1" t="s">
        <v>25</v>
      </c>
      <c r="L1394" s="1" t="s">
        <v>26</v>
      </c>
      <c r="M1394" s="1" t="s">
        <v>26</v>
      </c>
      <c r="N1394" s="1" t="s">
        <v>25</v>
      </c>
      <c r="O1394" s="1" t="s">
        <v>25</v>
      </c>
      <c r="P1394" s="1" t="s">
        <v>25</v>
      </c>
      <c r="Q1394" s="1" t="s">
        <v>25</v>
      </c>
      <c r="R1394" s="1" t="s">
        <v>25</v>
      </c>
      <c r="S1394" s="2">
        <v>0</v>
      </c>
    </row>
    <row r="1395" spans="1:19" x14ac:dyDescent="0.3">
      <c r="A1395" t="s">
        <v>2787</v>
      </c>
      <c r="B1395" s="5" t="e" cm="1">
        <f t="array" ref="B1395">MAX(#REF!,MIN(#REF!,#REF!+SUMPRODUCT(--(FoodData[[#This Row],[Healthy]:[Refined]]="Yes"),#REF!)+FoodData[[#This Row],[Adjust]]))</f>
        <v>#REF!</v>
      </c>
      <c r="C1395" s="1" t="e">
        <f>LOOKUP(FoodData[[#This Row],[Score]],#REF!,#REF!)</f>
        <v>#REF!</v>
      </c>
      <c r="D1395" t="s">
        <v>2446</v>
      </c>
      <c r="E1395" t="s">
        <v>556</v>
      </c>
      <c r="F1395" t="s">
        <v>22</v>
      </c>
      <c r="G1395" t="s">
        <v>489</v>
      </c>
      <c r="H1395" t="s">
        <v>2788</v>
      </c>
      <c r="I1395" s="1" t="s">
        <v>25</v>
      </c>
      <c r="J1395" s="1" t="s">
        <v>25</v>
      </c>
      <c r="K1395" s="1" t="s">
        <v>25</v>
      </c>
      <c r="L1395" s="1" t="s">
        <v>25</v>
      </c>
      <c r="M1395" s="1" t="s">
        <v>26</v>
      </c>
      <c r="N1395" s="1" t="s">
        <v>25</v>
      </c>
      <c r="O1395" s="1" t="s">
        <v>26</v>
      </c>
      <c r="P1395" s="1" t="s">
        <v>25</v>
      </c>
      <c r="Q1395" s="1" t="s">
        <v>25</v>
      </c>
      <c r="R1395" s="1" t="s">
        <v>25</v>
      </c>
      <c r="S1395" s="2">
        <v>0</v>
      </c>
    </row>
    <row r="1396" spans="1:19" x14ac:dyDescent="0.3">
      <c r="A1396" t="s">
        <v>2789</v>
      </c>
      <c r="B1396" s="5" t="e" cm="1">
        <f t="array" ref="B1396">MAX(#REF!,MIN(#REF!,#REF!+SUMPRODUCT(--(FoodData[[#This Row],[Healthy]:[Refined]]="Yes"),#REF!)+FoodData[[#This Row],[Adjust]]))</f>
        <v>#REF!</v>
      </c>
      <c r="C1396" s="1" t="e">
        <f>LOOKUP(FoodData[[#This Row],[Score]],#REF!,#REF!)</f>
        <v>#REF!</v>
      </c>
      <c r="D1396" t="s">
        <v>2790</v>
      </c>
      <c r="E1396" t="s">
        <v>21</v>
      </c>
      <c r="F1396" t="s">
        <v>22</v>
      </c>
      <c r="G1396" t="s">
        <v>23</v>
      </c>
      <c r="H1396" t="s">
        <v>2791</v>
      </c>
      <c r="I1396" s="1" t="s">
        <v>25</v>
      </c>
      <c r="J1396" s="1" t="s">
        <v>26</v>
      </c>
      <c r="K1396" s="1" t="s">
        <v>26</v>
      </c>
      <c r="L1396" s="1" t="s">
        <v>26</v>
      </c>
      <c r="M1396" s="1" t="s">
        <v>25</v>
      </c>
      <c r="N1396" s="1" t="s">
        <v>25</v>
      </c>
      <c r="O1396" s="1" t="s">
        <v>25</v>
      </c>
      <c r="P1396" s="1" t="s">
        <v>25</v>
      </c>
      <c r="Q1396" s="1" t="s">
        <v>25</v>
      </c>
      <c r="R1396" s="1" t="s">
        <v>25</v>
      </c>
      <c r="S1396" s="2">
        <v>0</v>
      </c>
    </row>
    <row r="1397" spans="1:19" x14ac:dyDescent="0.3">
      <c r="A1397" t="s">
        <v>2792</v>
      </c>
      <c r="B1397" s="5" t="e" cm="1">
        <f t="array" ref="B1397">MAX(#REF!,MIN(#REF!,#REF!+SUMPRODUCT(--(FoodData[[#This Row],[Healthy]:[Refined]]="Yes"),#REF!)+FoodData[[#This Row],[Adjust]]))</f>
        <v>#REF!</v>
      </c>
      <c r="C1397" s="1" t="e">
        <f>LOOKUP(FoodData[[#This Row],[Score]],#REF!,#REF!)</f>
        <v>#REF!</v>
      </c>
      <c r="D1397" t="s">
        <v>2790</v>
      </c>
      <c r="E1397" t="s">
        <v>21</v>
      </c>
      <c r="F1397" t="s">
        <v>22</v>
      </c>
      <c r="G1397" t="s">
        <v>23</v>
      </c>
      <c r="H1397" t="s">
        <v>2793</v>
      </c>
      <c r="I1397" s="1" t="s">
        <v>26</v>
      </c>
      <c r="J1397" s="1" t="s">
        <v>26</v>
      </c>
      <c r="K1397" s="1" t="s">
        <v>26</v>
      </c>
      <c r="L1397" s="1" t="s">
        <v>26</v>
      </c>
      <c r="M1397" s="1" t="s">
        <v>25</v>
      </c>
      <c r="N1397" s="1" t="s">
        <v>25</v>
      </c>
      <c r="O1397" s="1" t="s">
        <v>25</v>
      </c>
      <c r="P1397" s="1" t="s">
        <v>25</v>
      </c>
      <c r="Q1397" s="1" t="s">
        <v>25</v>
      </c>
      <c r="R1397" s="1" t="s">
        <v>25</v>
      </c>
      <c r="S1397" s="2">
        <v>0</v>
      </c>
    </row>
    <row r="1398" spans="1:19" x14ac:dyDescent="0.3">
      <c r="A1398" t="s">
        <v>2794</v>
      </c>
      <c r="B1398" s="5" t="e" cm="1">
        <f t="array" ref="B1398">MAX(#REF!,MIN(#REF!,#REF!+SUMPRODUCT(--(FoodData[[#This Row],[Healthy]:[Refined]]="Yes"),#REF!)+FoodData[[#This Row],[Adjust]]))</f>
        <v>#REF!</v>
      </c>
      <c r="C1398" s="1" t="e">
        <f>LOOKUP(FoodData[[#This Row],[Score]],#REF!,#REF!)</f>
        <v>#REF!</v>
      </c>
      <c r="D1398" t="s">
        <v>2790</v>
      </c>
      <c r="E1398" t="s">
        <v>21</v>
      </c>
      <c r="F1398" t="s">
        <v>22</v>
      </c>
      <c r="G1398" t="s">
        <v>23</v>
      </c>
      <c r="H1398" t="s">
        <v>2795</v>
      </c>
      <c r="I1398" s="1" t="s">
        <v>25</v>
      </c>
      <c r="J1398" s="1" t="s">
        <v>25</v>
      </c>
      <c r="K1398" s="1" t="s">
        <v>25</v>
      </c>
      <c r="L1398" s="1" t="s">
        <v>25</v>
      </c>
      <c r="M1398" s="1" t="s">
        <v>25</v>
      </c>
      <c r="N1398" s="1" t="s">
        <v>26</v>
      </c>
      <c r="O1398" s="1" t="s">
        <v>25</v>
      </c>
      <c r="P1398" s="1" t="s">
        <v>25</v>
      </c>
      <c r="Q1398" s="1" t="s">
        <v>25</v>
      </c>
      <c r="R1398" s="1" t="s">
        <v>25</v>
      </c>
      <c r="S1398" s="2">
        <v>0</v>
      </c>
    </row>
    <row r="1399" spans="1:19" x14ac:dyDescent="0.3">
      <c r="A1399" t="s">
        <v>2796</v>
      </c>
      <c r="B1399" s="5" t="e" cm="1">
        <f t="array" ref="B1399">MAX(#REF!,MIN(#REF!,#REF!+SUMPRODUCT(--(FoodData[[#This Row],[Healthy]:[Refined]]="Yes"),#REF!)+FoodData[[#This Row],[Adjust]]))</f>
        <v>#REF!</v>
      </c>
      <c r="C1399" s="1" t="e">
        <f>LOOKUP(FoodData[[#This Row],[Score]],#REF!,#REF!)</f>
        <v>#REF!</v>
      </c>
      <c r="D1399" t="s">
        <v>2790</v>
      </c>
      <c r="E1399" t="s">
        <v>21</v>
      </c>
      <c r="F1399" t="s">
        <v>22</v>
      </c>
      <c r="G1399" t="s">
        <v>23</v>
      </c>
      <c r="H1399" t="s">
        <v>2797</v>
      </c>
      <c r="I1399" s="1" t="s">
        <v>25</v>
      </c>
      <c r="J1399" s="1" t="s">
        <v>25</v>
      </c>
      <c r="K1399" s="1" t="s">
        <v>25</v>
      </c>
      <c r="L1399" s="1" t="s">
        <v>25</v>
      </c>
      <c r="M1399" s="1" t="s">
        <v>25</v>
      </c>
      <c r="N1399" s="1" t="s">
        <v>26</v>
      </c>
      <c r="O1399" s="1" t="s">
        <v>26</v>
      </c>
      <c r="P1399" s="1" t="s">
        <v>25</v>
      </c>
      <c r="Q1399" s="1" t="s">
        <v>25</v>
      </c>
      <c r="R1399" s="1" t="s">
        <v>26</v>
      </c>
      <c r="S1399" s="2">
        <v>0</v>
      </c>
    </row>
    <row r="1400" spans="1:19" x14ac:dyDescent="0.3">
      <c r="A1400" t="s">
        <v>2798</v>
      </c>
      <c r="B1400" s="5" t="e" cm="1">
        <f t="array" ref="B1400">MAX(#REF!,MIN(#REF!,#REF!+SUMPRODUCT(--(FoodData[[#This Row],[Healthy]:[Refined]]="Yes"),#REF!)+FoodData[[#This Row],[Adjust]]))</f>
        <v>#REF!</v>
      </c>
      <c r="C1400" s="1" t="e">
        <f>LOOKUP(FoodData[[#This Row],[Score]],#REF!,#REF!)</f>
        <v>#REF!</v>
      </c>
      <c r="D1400" t="s">
        <v>2790</v>
      </c>
      <c r="E1400" t="s">
        <v>21</v>
      </c>
      <c r="F1400" t="s">
        <v>60</v>
      </c>
      <c r="G1400" t="s">
        <v>23</v>
      </c>
      <c r="H1400" t="s">
        <v>2799</v>
      </c>
      <c r="I1400" s="1" t="s">
        <v>25</v>
      </c>
      <c r="J1400" s="1" t="s">
        <v>26</v>
      </c>
      <c r="K1400" s="1" t="s">
        <v>26</v>
      </c>
      <c r="L1400" s="1" t="s">
        <v>25</v>
      </c>
      <c r="M1400" s="1" t="s">
        <v>25</v>
      </c>
      <c r="N1400" s="1" t="s">
        <v>26</v>
      </c>
      <c r="O1400" s="1" t="s">
        <v>25</v>
      </c>
      <c r="P1400" s="1" t="s">
        <v>25</v>
      </c>
      <c r="Q1400" s="1" t="s">
        <v>25</v>
      </c>
      <c r="R1400" s="1" t="s">
        <v>25</v>
      </c>
      <c r="S1400" s="2">
        <v>0</v>
      </c>
    </row>
    <row r="1401" spans="1:19" x14ac:dyDescent="0.3">
      <c r="A1401" t="s">
        <v>2800</v>
      </c>
      <c r="B1401" s="5" t="e" cm="1">
        <f t="array" ref="B1401">MAX(#REF!,MIN(#REF!,#REF!+SUMPRODUCT(--(FoodData[[#This Row],[Healthy]:[Refined]]="Yes"),#REF!)+FoodData[[#This Row],[Adjust]]))</f>
        <v>#REF!</v>
      </c>
      <c r="C1401" s="1" t="e">
        <f>LOOKUP(FoodData[[#This Row],[Score]],#REF!,#REF!)</f>
        <v>#REF!</v>
      </c>
      <c r="D1401" t="s">
        <v>2790</v>
      </c>
      <c r="E1401" t="s">
        <v>21</v>
      </c>
      <c r="F1401" t="s">
        <v>22</v>
      </c>
      <c r="G1401" t="s">
        <v>23</v>
      </c>
      <c r="H1401" t="s">
        <v>2801</v>
      </c>
      <c r="I1401" s="1" t="s">
        <v>25</v>
      </c>
      <c r="J1401" s="1" t="s">
        <v>26</v>
      </c>
      <c r="K1401" s="1" t="s">
        <v>25</v>
      </c>
      <c r="L1401" s="1" t="s">
        <v>25</v>
      </c>
      <c r="M1401" s="1" t="s">
        <v>25</v>
      </c>
      <c r="N1401" s="1" t="s">
        <v>26</v>
      </c>
      <c r="O1401" s="1" t="s">
        <v>25</v>
      </c>
      <c r="P1401" s="1" t="s">
        <v>25</v>
      </c>
      <c r="Q1401" s="1" t="s">
        <v>25</v>
      </c>
      <c r="R1401" s="1" t="s">
        <v>25</v>
      </c>
      <c r="S1401" s="2">
        <v>0</v>
      </c>
    </row>
    <row r="1402" spans="1:19" x14ac:dyDescent="0.3">
      <c r="A1402" t="s">
        <v>2802</v>
      </c>
      <c r="B1402" s="5" t="e" cm="1">
        <f t="array" ref="B1402">MAX(#REF!,MIN(#REF!,#REF!+SUMPRODUCT(--(FoodData[[#This Row],[Healthy]:[Refined]]="Yes"),#REF!)+FoodData[[#This Row],[Adjust]]))</f>
        <v>#REF!</v>
      </c>
      <c r="C1402" s="1" t="e">
        <f>LOOKUP(FoodData[[#This Row],[Score]],#REF!,#REF!)</f>
        <v>#REF!</v>
      </c>
      <c r="D1402" t="s">
        <v>2790</v>
      </c>
      <c r="E1402" t="s">
        <v>63</v>
      </c>
      <c r="F1402" t="s">
        <v>22</v>
      </c>
      <c r="G1402" t="s">
        <v>23</v>
      </c>
      <c r="H1402" t="s">
        <v>2803</v>
      </c>
      <c r="I1402" s="1" t="s">
        <v>26</v>
      </c>
      <c r="J1402" s="1" t="s">
        <v>26</v>
      </c>
      <c r="K1402" s="1" t="s">
        <v>26</v>
      </c>
      <c r="L1402" s="1" t="s">
        <v>26</v>
      </c>
      <c r="M1402" s="1" t="s">
        <v>25</v>
      </c>
      <c r="N1402" s="1" t="s">
        <v>25</v>
      </c>
      <c r="O1402" s="1" t="s">
        <v>25</v>
      </c>
      <c r="P1402" s="1" t="s">
        <v>25</v>
      </c>
      <c r="Q1402" s="1" t="s">
        <v>25</v>
      </c>
      <c r="R1402" s="1" t="s">
        <v>25</v>
      </c>
      <c r="S1402" s="2">
        <v>0</v>
      </c>
    </row>
    <row r="1403" spans="1:19" x14ac:dyDescent="0.3">
      <c r="A1403" t="s">
        <v>2804</v>
      </c>
      <c r="B1403" s="5" t="e" cm="1">
        <f t="array" ref="B1403">MAX(#REF!,MIN(#REF!,#REF!+SUMPRODUCT(--(FoodData[[#This Row],[Healthy]:[Refined]]="Yes"),#REF!)+FoodData[[#This Row],[Adjust]]))</f>
        <v>#REF!</v>
      </c>
      <c r="C1403" s="1" t="e">
        <f>LOOKUP(FoodData[[#This Row],[Score]],#REF!,#REF!)</f>
        <v>#REF!</v>
      </c>
      <c r="D1403" t="s">
        <v>2790</v>
      </c>
      <c r="E1403" t="s">
        <v>21</v>
      </c>
      <c r="F1403" t="s">
        <v>22</v>
      </c>
      <c r="G1403" t="s">
        <v>23</v>
      </c>
      <c r="H1403" t="s">
        <v>2805</v>
      </c>
      <c r="I1403" s="1" t="s">
        <v>26</v>
      </c>
      <c r="J1403" s="1" t="s">
        <v>26</v>
      </c>
      <c r="K1403" s="1" t="s">
        <v>26</v>
      </c>
      <c r="L1403" s="1" t="s">
        <v>26</v>
      </c>
      <c r="M1403" s="1" t="s">
        <v>25</v>
      </c>
      <c r="N1403" s="1" t="s">
        <v>25</v>
      </c>
      <c r="O1403" s="1" t="s">
        <v>25</v>
      </c>
      <c r="P1403" s="1" t="s">
        <v>25</v>
      </c>
      <c r="Q1403" s="1" t="s">
        <v>25</v>
      </c>
      <c r="R1403" s="1" t="s">
        <v>25</v>
      </c>
      <c r="S1403" s="2">
        <v>0</v>
      </c>
    </row>
    <row r="1404" spans="1:19" x14ac:dyDescent="0.3">
      <c r="A1404" t="s">
        <v>2806</v>
      </c>
      <c r="B1404" s="5" t="e" cm="1">
        <f t="array" ref="B1404">MAX(#REF!,MIN(#REF!,#REF!+SUMPRODUCT(--(FoodData[[#This Row],[Healthy]:[Refined]]="Yes"),#REF!)+FoodData[[#This Row],[Adjust]]))</f>
        <v>#REF!</v>
      </c>
      <c r="C1404" s="1" t="e">
        <f>LOOKUP(FoodData[[#This Row],[Score]],#REF!,#REF!)</f>
        <v>#REF!</v>
      </c>
      <c r="D1404" t="s">
        <v>2790</v>
      </c>
      <c r="E1404" t="s">
        <v>21</v>
      </c>
      <c r="F1404" t="s">
        <v>22</v>
      </c>
      <c r="G1404" t="s">
        <v>23</v>
      </c>
      <c r="H1404" t="s">
        <v>2807</v>
      </c>
      <c r="I1404" s="1" t="s">
        <v>25</v>
      </c>
      <c r="J1404" s="1" t="s">
        <v>25</v>
      </c>
      <c r="K1404" s="1" t="s">
        <v>25</v>
      </c>
      <c r="L1404" s="1" t="s">
        <v>25</v>
      </c>
      <c r="M1404" s="1" t="s">
        <v>26</v>
      </c>
      <c r="N1404" s="1" t="s">
        <v>25</v>
      </c>
      <c r="O1404" s="1" t="s">
        <v>25</v>
      </c>
      <c r="P1404" s="1" t="s">
        <v>26</v>
      </c>
      <c r="Q1404" s="1" t="s">
        <v>25</v>
      </c>
      <c r="R1404" s="1" t="s">
        <v>26</v>
      </c>
      <c r="S1404" s="2">
        <v>0</v>
      </c>
    </row>
    <row r="1405" spans="1:19" x14ac:dyDescent="0.3">
      <c r="A1405" t="s">
        <v>2808</v>
      </c>
      <c r="B1405" s="5" t="e" cm="1">
        <f t="array" ref="B1405">MAX(#REF!,MIN(#REF!,#REF!+SUMPRODUCT(--(FoodData[[#This Row],[Healthy]:[Refined]]="Yes"),#REF!)+FoodData[[#This Row],[Adjust]]))</f>
        <v>#REF!</v>
      </c>
      <c r="C1405" s="1" t="e">
        <f>LOOKUP(FoodData[[#This Row],[Score]],#REF!,#REF!)</f>
        <v>#REF!</v>
      </c>
      <c r="D1405" t="s">
        <v>2790</v>
      </c>
      <c r="E1405" t="s">
        <v>21</v>
      </c>
      <c r="F1405" t="s">
        <v>60</v>
      </c>
      <c r="G1405" t="s">
        <v>23</v>
      </c>
      <c r="H1405" t="s">
        <v>2809</v>
      </c>
      <c r="I1405" s="1" t="s">
        <v>26</v>
      </c>
      <c r="J1405" s="1" t="s">
        <v>25</v>
      </c>
      <c r="K1405" s="1" t="s">
        <v>26</v>
      </c>
      <c r="L1405" s="1" t="s">
        <v>25</v>
      </c>
      <c r="M1405" s="1" t="s">
        <v>25</v>
      </c>
      <c r="N1405" s="1" t="s">
        <v>25</v>
      </c>
      <c r="O1405" s="1" t="s">
        <v>25</v>
      </c>
      <c r="P1405" s="1" t="s">
        <v>25</v>
      </c>
      <c r="Q1405" s="1" t="s">
        <v>25</v>
      </c>
      <c r="R1405" s="1" t="s">
        <v>25</v>
      </c>
      <c r="S1405" s="2">
        <v>0</v>
      </c>
    </row>
    <row r="1406" spans="1:19" x14ac:dyDescent="0.3">
      <c r="A1406" t="s">
        <v>2810</v>
      </c>
      <c r="B1406" s="5" t="e" cm="1">
        <f t="array" ref="B1406">MAX(#REF!,MIN(#REF!,#REF!+SUMPRODUCT(--(FoodData[[#This Row],[Healthy]:[Refined]]="Yes"),#REF!)+FoodData[[#This Row],[Adjust]]))</f>
        <v>#REF!</v>
      </c>
      <c r="C1406" s="1" t="e">
        <f>LOOKUP(FoodData[[#This Row],[Score]],#REF!,#REF!)</f>
        <v>#REF!</v>
      </c>
      <c r="D1406" t="s">
        <v>2790</v>
      </c>
      <c r="E1406" t="s">
        <v>21</v>
      </c>
      <c r="F1406" t="s">
        <v>22</v>
      </c>
      <c r="G1406" t="s">
        <v>23</v>
      </c>
      <c r="H1406" t="s">
        <v>2811</v>
      </c>
      <c r="I1406" s="1" t="s">
        <v>25</v>
      </c>
      <c r="J1406" s="1" t="s">
        <v>25</v>
      </c>
      <c r="K1406" s="1" t="s">
        <v>25</v>
      </c>
      <c r="L1406" s="1" t="s">
        <v>25</v>
      </c>
      <c r="M1406" s="1" t="s">
        <v>25</v>
      </c>
      <c r="N1406" s="1" t="s">
        <v>25</v>
      </c>
      <c r="O1406" s="1" t="s">
        <v>26</v>
      </c>
      <c r="P1406" s="1" t="s">
        <v>25</v>
      </c>
      <c r="Q1406" s="1" t="s">
        <v>25</v>
      </c>
      <c r="R1406" s="1" t="s">
        <v>25</v>
      </c>
      <c r="S1406" s="2">
        <v>0</v>
      </c>
    </row>
    <row r="1407" spans="1:19" x14ac:dyDescent="0.3">
      <c r="A1407" t="s">
        <v>2812</v>
      </c>
      <c r="B1407" s="5" t="e" cm="1">
        <f t="array" ref="B1407">MAX(#REF!,MIN(#REF!,#REF!+SUMPRODUCT(--(FoodData[[#This Row],[Healthy]:[Refined]]="Yes"),#REF!)+FoodData[[#This Row],[Adjust]]))</f>
        <v>#REF!</v>
      </c>
      <c r="C1407" s="1" t="e">
        <f>LOOKUP(FoodData[[#This Row],[Score]],#REF!,#REF!)</f>
        <v>#REF!</v>
      </c>
      <c r="D1407" t="s">
        <v>2790</v>
      </c>
      <c r="E1407" t="s">
        <v>21</v>
      </c>
      <c r="F1407" t="s">
        <v>22</v>
      </c>
      <c r="G1407" t="s">
        <v>23</v>
      </c>
      <c r="H1407" t="s">
        <v>2813</v>
      </c>
      <c r="I1407" s="1" t="s">
        <v>26</v>
      </c>
      <c r="J1407" s="1" t="s">
        <v>25</v>
      </c>
      <c r="K1407" s="1" t="s">
        <v>26</v>
      </c>
      <c r="L1407" s="1" t="s">
        <v>25</v>
      </c>
      <c r="M1407" s="1" t="s">
        <v>25</v>
      </c>
      <c r="N1407" s="1" t="s">
        <v>25</v>
      </c>
      <c r="O1407" s="1" t="s">
        <v>25</v>
      </c>
      <c r="P1407" s="1" t="s">
        <v>25</v>
      </c>
      <c r="Q1407" s="1" t="s">
        <v>25</v>
      </c>
      <c r="R1407" s="1" t="s">
        <v>25</v>
      </c>
      <c r="S1407" s="2">
        <v>0</v>
      </c>
    </row>
    <row r="1408" spans="1:19" x14ac:dyDescent="0.3">
      <c r="A1408" t="s">
        <v>2814</v>
      </c>
      <c r="B1408" s="5" t="e" cm="1">
        <f t="array" ref="B1408">MAX(#REF!,MIN(#REF!,#REF!+SUMPRODUCT(--(FoodData[[#This Row],[Healthy]:[Refined]]="Yes"),#REF!)+FoodData[[#This Row],[Adjust]]))</f>
        <v>#REF!</v>
      </c>
      <c r="C1408" s="1" t="e">
        <f>LOOKUP(FoodData[[#This Row],[Score]],#REF!,#REF!)</f>
        <v>#REF!</v>
      </c>
      <c r="D1408" t="s">
        <v>2790</v>
      </c>
      <c r="E1408" t="s">
        <v>21</v>
      </c>
      <c r="F1408" t="s">
        <v>22</v>
      </c>
      <c r="G1408" t="s">
        <v>23</v>
      </c>
      <c r="H1408" t="s">
        <v>2815</v>
      </c>
      <c r="I1408" s="1" t="s">
        <v>26</v>
      </c>
      <c r="J1408" s="1" t="s">
        <v>25</v>
      </c>
      <c r="K1408" s="1" t="s">
        <v>26</v>
      </c>
      <c r="L1408" s="1" t="s">
        <v>26</v>
      </c>
      <c r="M1408" s="1" t="s">
        <v>25</v>
      </c>
      <c r="N1408" s="1" t="s">
        <v>25</v>
      </c>
      <c r="O1408" s="1" t="s">
        <v>25</v>
      </c>
      <c r="P1408" s="1" t="s">
        <v>25</v>
      </c>
      <c r="Q1408" s="1" t="s">
        <v>25</v>
      </c>
      <c r="R1408" s="1" t="s">
        <v>25</v>
      </c>
      <c r="S1408" s="2">
        <v>0</v>
      </c>
    </row>
    <row r="1409" spans="1:19" x14ac:dyDescent="0.3">
      <c r="A1409" t="s">
        <v>2816</v>
      </c>
      <c r="B1409" s="5" t="e" cm="1">
        <f t="array" ref="B1409">MAX(#REF!,MIN(#REF!,#REF!+SUMPRODUCT(--(FoodData[[#This Row],[Healthy]:[Refined]]="Yes"),#REF!)+FoodData[[#This Row],[Adjust]]))</f>
        <v>#REF!</v>
      </c>
      <c r="C1409" s="1" t="e">
        <f>LOOKUP(FoodData[[#This Row],[Score]],#REF!,#REF!)</f>
        <v>#REF!</v>
      </c>
      <c r="D1409" t="s">
        <v>2790</v>
      </c>
      <c r="E1409" t="s">
        <v>21</v>
      </c>
      <c r="F1409" t="s">
        <v>22</v>
      </c>
      <c r="G1409" t="s">
        <v>23</v>
      </c>
      <c r="H1409" t="s">
        <v>2815</v>
      </c>
      <c r="I1409" s="1" t="s">
        <v>26</v>
      </c>
      <c r="J1409" s="1" t="s">
        <v>25</v>
      </c>
      <c r="K1409" s="1" t="s">
        <v>26</v>
      </c>
      <c r="L1409" s="1" t="s">
        <v>25</v>
      </c>
      <c r="M1409" s="1" t="s">
        <v>25</v>
      </c>
      <c r="N1409" s="1" t="s">
        <v>25</v>
      </c>
      <c r="O1409" s="1" t="s">
        <v>25</v>
      </c>
      <c r="P1409" s="1" t="s">
        <v>25</v>
      </c>
      <c r="Q1409" s="1" t="s">
        <v>25</v>
      </c>
      <c r="R1409" s="1" t="s">
        <v>25</v>
      </c>
      <c r="S1409" s="2">
        <v>0</v>
      </c>
    </row>
    <row r="1410" spans="1:19" x14ac:dyDescent="0.3">
      <c r="A1410" t="s">
        <v>2817</v>
      </c>
      <c r="B1410" s="5" t="e" cm="1">
        <f t="array" ref="B1410">MAX(#REF!,MIN(#REF!,#REF!+SUMPRODUCT(--(FoodData[[#This Row],[Healthy]:[Refined]]="Yes"),#REF!)+FoodData[[#This Row],[Adjust]]))</f>
        <v>#REF!</v>
      </c>
      <c r="C1410" s="1" t="e">
        <f>LOOKUP(FoodData[[#This Row],[Score]],#REF!,#REF!)</f>
        <v>#REF!</v>
      </c>
      <c r="D1410" t="s">
        <v>2790</v>
      </c>
      <c r="E1410" t="s">
        <v>21</v>
      </c>
      <c r="F1410" t="s">
        <v>60</v>
      </c>
      <c r="G1410" t="s">
        <v>23</v>
      </c>
      <c r="H1410" t="s">
        <v>2818</v>
      </c>
      <c r="I1410" s="1" t="s">
        <v>26</v>
      </c>
      <c r="J1410" s="1" t="s">
        <v>26</v>
      </c>
      <c r="K1410" s="1" t="s">
        <v>26</v>
      </c>
      <c r="L1410" s="1" t="s">
        <v>25</v>
      </c>
      <c r="M1410" s="1" t="s">
        <v>25</v>
      </c>
      <c r="N1410" s="1" t="s">
        <v>25</v>
      </c>
      <c r="O1410" s="1" t="s">
        <v>25</v>
      </c>
      <c r="P1410" s="1" t="s">
        <v>25</v>
      </c>
      <c r="Q1410" s="1" t="s">
        <v>25</v>
      </c>
      <c r="R1410" s="1" t="s">
        <v>25</v>
      </c>
      <c r="S1410" s="2">
        <v>0</v>
      </c>
    </row>
    <row r="1411" spans="1:19" x14ac:dyDescent="0.3">
      <c r="A1411" t="s">
        <v>2819</v>
      </c>
      <c r="B1411" s="5" t="e" cm="1">
        <f t="array" ref="B1411">MAX(#REF!,MIN(#REF!,#REF!+SUMPRODUCT(--(FoodData[[#This Row],[Healthy]:[Refined]]="Yes"),#REF!)+FoodData[[#This Row],[Adjust]]))</f>
        <v>#REF!</v>
      </c>
      <c r="C1411" s="1" t="e">
        <f>LOOKUP(FoodData[[#This Row],[Score]],#REF!,#REF!)</f>
        <v>#REF!</v>
      </c>
      <c r="D1411" t="s">
        <v>2790</v>
      </c>
      <c r="E1411" t="s">
        <v>21</v>
      </c>
      <c r="F1411" t="s">
        <v>60</v>
      </c>
      <c r="G1411" t="s">
        <v>23</v>
      </c>
      <c r="H1411" t="s">
        <v>2820</v>
      </c>
      <c r="I1411" s="1" t="s">
        <v>25</v>
      </c>
      <c r="J1411" s="1" t="s">
        <v>25</v>
      </c>
      <c r="K1411" s="1" t="s">
        <v>26</v>
      </c>
      <c r="L1411" s="1" t="s">
        <v>25</v>
      </c>
      <c r="M1411" s="1" t="s">
        <v>25</v>
      </c>
      <c r="N1411" s="1" t="s">
        <v>26</v>
      </c>
      <c r="O1411" s="1" t="s">
        <v>25</v>
      </c>
      <c r="P1411" s="1" t="s">
        <v>25</v>
      </c>
      <c r="Q1411" s="1" t="s">
        <v>26</v>
      </c>
      <c r="R1411" s="1" t="s">
        <v>26</v>
      </c>
      <c r="S1411" s="2">
        <v>0</v>
      </c>
    </row>
    <row r="1412" spans="1:19" x14ac:dyDescent="0.3">
      <c r="A1412" t="s">
        <v>2821</v>
      </c>
      <c r="B1412" s="5" t="e" cm="1">
        <f t="array" ref="B1412">MAX(#REF!,MIN(#REF!,#REF!+SUMPRODUCT(--(FoodData[[#This Row],[Healthy]:[Refined]]="Yes"),#REF!)+FoodData[[#This Row],[Adjust]]))</f>
        <v>#REF!</v>
      </c>
      <c r="C1412" s="1" t="e">
        <f>LOOKUP(FoodData[[#This Row],[Score]],#REF!,#REF!)</f>
        <v>#REF!</v>
      </c>
      <c r="D1412" t="s">
        <v>2790</v>
      </c>
      <c r="E1412" t="s">
        <v>21</v>
      </c>
      <c r="F1412" t="s">
        <v>22</v>
      </c>
      <c r="G1412" t="s">
        <v>23</v>
      </c>
      <c r="H1412" t="s">
        <v>2822</v>
      </c>
      <c r="I1412" s="1" t="s">
        <v>25</v>
      </c>
      <c r="J1412" s="1" t="s">
        <v>25</v>
      </c>
      <c r="K1412" s="1" t="s">
        <v>25</v>
      </c>
      <c r="L1412" s="1" t="s">
        <v>25</v>
      </c>
      <c r="M1412" s="1" t="s">
        <v>25</v>
      </c>
      <c r="N1412" s="1" t="s">
        <v>26</v>
      </c>
      <c r="O1412" s="1" t="s">
        <v>26</v>
      </c>
      <c r="P1412" s="1" t="s">
        <v>25</v>
      </c>
      <c r="Q1412" s="1" t="s">
        <v>26</v>
      </c>
      <c r="R1412" s="1" t="s">
        <v>25</v>
      </c>
      <c r="S1412" s="2">
        <v>0</v>
      </c>
    </row>
    <row r="1413" spans="1:19" x14ac:dyDescent="0.3">
      <c r="A1413" t="s">
        <v>2823</v>
      </c>
      <c r="B1413" s="5" t="e" cm="1">
        <f t="array" ref="B1413">MAX(#REF!,MIN(#REF!,#REF!+SUMPRODUCT(--(FoodData[[#This Row],[Healthy]:[Refined]]="Yes"),#REF!)+FoodData[[#This Row],[Adjust]]))</f>
        <v>#REF!</v>
      </c>
      <c r="C1413" s="1" t="e">
        <f>LOOKUP(FoodData[[#This Row],[Score]],#REF!,#REF!)</f>
        <v>#REF!</v>
      </c>
      <c r="D1413" t="s">
        <v>2790</v>
      </c>
      <c r="E1413" t="s">
        <v>21</v>
      </c>
      <c r="F1413" t="s">
        <v>22</v>
      </c>
      <c r="G1413" t="s">
        <v>23</v>
      </c>
      <c r="H1413" t="s">
        <v>2824</v>
      </c>
      <c r="I1413" s="1" t="s">
        <v>25</v>
      </c>
      <c r="J1413" s="1" t="s">
        <v>25</v>
      </c>
      <c r="K1413" s="1" t="s">
        <v>25</v>
      </c>
      <c r="L1413" s="1" t="s">
        <v>25</v>
      </c>
      <c r="M1413" s="1" t="s">
        <v>25</v>
      </c>
      <c r="N1413" s="1" t="s">
        <v>26</v>
      </c>
      <c r="O1413" s="1" t="s">
        <v>26</v>
      </c>
      <c r="P1413" s="1" t="s">
        <v>25</v>
      </c>
      <c r="Q1413" s="1" t="s">
        <v>25</v>
      </c>
      <c r="R1413" s="1" t="s">
        <v>25</v>
      </c>
      <c r="S1413" s="2">
        <v>0</v>
      </c>
    </row>
    <row r="1414" spans="1:19" x14ac:dyDescent="0.3">
      <c r="A1414" t="s">
        <v>2825</v>
      </c>
      <c r="B1414" s="5" t="e" cm="1">
        <f t="array" ref="B1414">MAX(#REF!,MIN(#REF!,#REF!+SUMPRODUCT(--(FoodData[[#This Row],[Healthy]:[Refined]]="Yes"),#REF!)+FoodData[[#This Row],[Adjust]]))</f>
        <v>#REF!</v>
      </c>
      <c r="C1414" s="1" t="e">
        <f>LOOKUP(FoodData[[#This Row],[Score]],#REF!,#REF!)</f>
        <v>#REF!</v>
      </c>
      <c r="D1414" t="s">
        <v>2790</v>
      </c>
      <c r="E1414" t="s">
        <v>21</v>
      </c>
      <c r="F1414" t="s">
        <v>60</v>
      </c>
      <c r="G1414" t="s">
        <v>23</v>
      </c>
      <c r="H1414" t="s">
        <v>2826</v>
      </c>
      <c r="I1414" s="1" t="s">
        <v>25</v>
      </c>
      <c r="J1414" s="1" t="s">
        <v>25</v>
      </c>
      <c r="K1414" s="1" t="s">
        <v>26</v>
      </c>
      <c r="L1414" s="1" t="s">
        <v>25</v>
      </c>
      <c r="M1414" s="1" t="s">
        <v>25</v>
      </c>
      <c r="N1414" s="1" t="s">
        <v>26</v>
      </c>
      <c r="O1414" s="1" t="s">
        <v>25</v>
      </c>
      <c r="P1414" s="1" t="s">
        <v>25</v>
      </c>
      <c r="Q1414" s="1" t="s">
        <v>25</v>
      </c>
      <c r="R1414" s="1" t="s">
        <v>25</v>
      </c>
      <c r="S1414" s="2">
        <v>0</v>
      </c>
    </row>
    <row r="1415" spans="1:19" x14ac:dyDescent="0.3">
      <c r="A1415" t="s">
        <v>2827</v>
      </c>
      <c r="B1415" s="5" t="e" cm="1">
        <f t="array" ref="B1415">MAX(#REF!,MIN(#REF!,#REF!+SUMPRODUCT(--(FoodData[[#This Row],[Healthy]:[Refined]]="Yes"),#REF!)+FoodData[[#This Row],[Adjust]]))</f>
        <v>#REF!</v>
      </c>
      <c r="C1415" s="1" t="e">
        <f>LOOKUP(FoodData[[#This Row],[Score]],#REF!,#REF!)</f>
        <v>#REF!</v>
      </c>
      <c r="D1415" t="s">
        <v>2790</v>
      </c>
      <c r="E1415" t="s">
        <v>21</v>
      </c>
      <c r="F1415" t="s">
        <v>22</v>
      </c>
      <c r="G1415" t="s">
        <v>23</v>
      </c>
      <c r="H1415" t="s">
        <v>2828</v>
      </c>
      <c r="I1415" s="1" t="s">
        <v>25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25</v>
      </c>
      <c r="P1415" s="1" t="s">
        <v>25</v>
      </c>
      <c r="Q1415" s="1" t="s">
        <v>26</v>
      </c>
      <c r="R1415" s="1" t="s">
        <v>26</v>
      </c>
      <c r="S1415" s="2">
        <v>0</v>
      </c>
    </row>
    <row r="1416" spans="1:19" x14ac:dyDescent="0.3">
      <c r="A1416" t="s">
        <v>2829</v>
      </c>
      <c r="B1416" s="5" t="e" cm="1">
        <f t="array" ref="B1416">MAX(#REF!,MIN(#REF!,#REF!+SUMPRODUCT(--(FoodData[[#This Row],[Healthy]:[Refined]]="Yes"),#REF!)+FoodData[[#This Row],[Adjust]]))</f>
        <v>#REF!</v>
      </c>
      <c r="C1416" s="1" t="e">
        <f>LOOKUP(FoodData[[#This Row],[Score]],#REF!,#REF!)</f>
        <v>#REF!</v>
      </c>
      <c r="D1416" t="s">
        <v>2790</v>
      </c>
      <c r="E1416" t="s">
        <v>21</v>
      </c>
      <c r="F1416" t="s">
        <v>22</v>
      </c>
      <c r="G1416" t="s">
        <v>23</v>
      </c>
      <c r="H1416" t="s">
        <v>2830</v>
      </c>
      <c r="I1416" s="1" t="s">
        <v>25</v>
      </c>
      <c r="J1416" s="1" t="s">
        <v>25</v>
      </c>
      <c r="K1416" s="1" t="s">
        <v>26</v>
      </c>
      <c r="L1416" s="1" t="s">
        <v>25</v>
      </c>
      <c r="M1416" s="1" t="s">
        <v>25</v>
      </c>
      <c r="N1416" s="1" t="s">
        <v>26</v>
      </c>
      <c r="O1416" s="1" t="s">
        <v>25</v>
      </c>
      <c r="P1416" s="1" t="s">
        <v>26</v>
      </c>
      <c r="Q1416" s="1" t="s">
        <v>25</v>
      </c>
      <c r="R1416" s="1" t="s">
        <v>26</v>
      </c>
      <c r="S1416" s="2">
        <v>0</v>
      </c>
    </row>
    <row r="1417" spans="1:19" x14ac:dyDescent="0.3">
      <c r="A1417" t="s">
        <v>2831</v>
      </c>
      <c r="B1417" s="5" t="e" cm="1">
        <f t="array" ref="B1417">MAX(#REF!,MIN(#REF!,#REF!+SUMPRODUCT(--(FoodData[[#This Row],[Healthy]:[Refined]]="Yes"),#REF!)+FoodData[[#This Row],[Adjust]]))</f>
        <v>#REF!</v>
      </c>
      <c r="C1417" s="1" t="e">
        <f>LOOKUP(FoodData[[#This Row],[Score]],#REF!,#REF!)</f>
        <v>#REF!</v>
      </c>
      <c r="D1417" t="s">
        <v>2790</v>
      </c>
      <c r="E1417" t="s">
        <v>21</v>
      </c>
      <c r="F1417" t="s">
        <v>22</v>
      </c>
      <c r="G1417" t="s">
        <v>23</v>
      </c>
      <c r="H1417" t="s">
        <v>2832</v>
      </c>
      <c r="I1417" s="1" t="s">
        <v>25</v>
      </c>
      <c r="J1417" s="1" t="s">
        <v>25</v>
      </c>
      <c r="K1417" s="1" t="s">
        <v>26</v>
      </c>
      <c r="L1417" s="1" t="s">
        <v>25</v>
      </c>
      <c r="M1417" s="1" t="s">
        <v>25</v>
      </c>
      <c r="N1417" s="1" t="s">
        <v>26</v>
      </c>
      <c r="O1417" s="1" t="s">
        <v>25</v>
      </c>
      <c r="P1417" s="1" t="s">
        <v>26</v>
      </c>
      <c r="Q1417" s="1" t="s">
        <v>25</v>
      </c>
      <c r="R1417" s="1" t="s">
        <v>26</v>
      </c>
      <c r="S1417" s="2">
        <v>0</v>
      </c>
    </row>
    <row r="1418" spans="1:19" x14ac:dyDescent="0.3">
      <c r="A1418" t="s">
        <v>2833</v>
      </c>
      <c r="B1418" s="5" t="e" cm="1">
        <f t="array" ref="B1418">MAX(#REF!,MIN(#REF!,#REF!+SUMPRODUCT(--(FoodData[[#This Row],[Healthy]:[Refined]]="Yes"),#REF!)+FoodData[[#This Row],[Adjust]]))</f>
        <v>#REF!</v>
      </c>
      <c r="C1418" s="1" t="e">
        <f>LOOKUP(FoodData[[#This Row],[Score]],#REF!,#REF!)</f>
        <v>#REF!</v>
      </c>
      <c r="D1418" t="s">
        <v>2790</v>
      </c>
      <c r="E1418" t="s">
        <v>21</v>
      </c>
      <c r="F1418" t="s">
        <v>22</v>
      </c>
      <c r="G1418" t="s">
        <v>23</v>
      </c>
      <c r="H1418" t="s">
        <v>2834</v>
      </c>
      <c r="I1418" s="1" t="s">
        <v>26</v>
      </c>
      <c r="J1418" s="1" t="s">
        <v>25</v>
      </c>
      <c r="K1418" s="1" t="s">
        <v>25</v>
      </c>
      <c r="L1418" s="1" t="s">
        <v>26</v>
      </c>
      <c r="M1418" s="1" t="s">
        <v>26</v>
      </c>
      <c r="N1418" s="1" t="s">
        <v>25</v>
      </c>
      <c r="O1418" s="1" t="s">
        <v>25</v>
      </c>
      <c r="P1418" s="1" t="s">
        <v>25</v>
      </c>
      <c r="Q1418" s="1" t="s">
        <v>25</v>
      </c>
      <c r="R1418" s="1" t="s">
        <v>25</v>
      </c>
      <c r="S1418" s="2">
        <v>0</v>
      </c>
    </row>
    <row r="1419" spans="1:19" x14ac:dyDescent="0.3">
      <c r="A1419" t="s">
        <v>2835</v>
      </c>
      <c r="B1419" s="5" t="e" cm="1">
        <f t="array" ref="B1419">MAX(#REF!,MIN(#REF!,#REF!+SUMPRODUCT(--(FoodData[[#This Row],[Healthy]:[Refined]]="Yes"),#REF!)+FoodData[[#This Row],[Adjust]]))</f>
        <v>#REF!</v>
      </c>
      <c r="C1419" s="1" t="e">
        <f>LOOKUP(FoodData[[#This Row],[Score]],#REF!,#REF!)</f>
        <v>#REF!</v>
      </c>
      <c r="D1419" t="s">
        <v>2790</v>
      </c>
      <c r="E1419" t="s">
        <v>21</v>
      </c>
      <c r="F1419" t="s">
        <v>22</v>
      </c>
      <c r="G1419" t="s">
        <v>23</v>
      </c>
      <c r="H1419" t="s">
        <v>2836</v>
      </c>
      <c r="I1419" s="1" t="s">
        <v>26</v>
      </c>
      <c r="J1419" s="1" t="s">
        <v>26</v>
      </c>
      <c r="K1419" s="1" t="s">
        <v>25</v>
      </c>
      <c r="L1419" s="1" t="s">
        <v>26</v>
      </c>
      <c r="M1419" s="1" t="s">
        <v>25</v>
      </c>
      <c r="N1419" s="1" t="s">
        <v>25</v>
      </c>
      <c r="O1419" s="1" t="s">
        <v>25</v>
      </c>
      <c r="P1419" s="1" t="s">
        <v>25</v>
      </c>
      <c r="Q1419" s="1" t="s">
        <v>25</v>
      </c>
      <c r="R1419" s="1" t="s">
        <v>25</v>
      </c>
      <c r="S1419" s="2">
        <v>0</v>
      </c>
    </row>
    <row r="1420" spans="1:19" x14ac:dyDescent="0.3">
      <c r="A1420" t="s">
        <v>2837</v>
      </c>
      <c r="B1420" s="5" t="e" cm="1">
        <f t="array" ref="B1420">MAX(#REF!,MIN(#REF!,#REF!+SUMPRODUCT(--(FoodData[[#This Row],[Healthy]:[Refined]]="Yes"),#REF!)+FoodData[[#This Row],[Adjust]]))</f>
        <v>#REF!</v>
      </c>
      <c r="C1420" s="1" t="e">
        <f>LOOKUP(FoodData[[#This Row],[Score]],#REF!,#REF!)</f>
        <v>#REF!</v>
      </c>
      <c r="D1420" t="s">
        <v>2790</v>
      </c>
      <c r="E1420" t="s">
        <v>21</v>
      </c>
      <c r="F1420" t="s">
        <v>22</v>
      </c>
      <c r="G1420" t="s">
        <v>23</v>
      </c>
      <c r="H1420" t="s">
        <v>2838</v>
      </c>
      <c r="I1420" s="1" t="s">
        <v>25</v>
      </c>
      <c r="J1420" s="1" t="s">
        <v>25</v>
      </c>
      <c r="K1420" s="1" t="s">
        <v>25</v>
      </c>
      <c r="L1420" s="1" t="s">
        <v>25</v>
      </c>
      <c r="M1420" s="1" t="s">
        <v>25</v>
      </c>
      <c r="N1420" s="1" t="s">
        <v>26</v>
      </c>
      <c r="O1420" s="1" t="s">
        <v>26</v>
      </c>
      <c r="P1420" s="1" t="s">
        <v>25</v>
      </c>
      <c r="Q1420" s="1" t="s">
        <v>25</v>
      </c>
      <c r="R1420" s="1" t="s">
        <v>25</v>
      </c>
      <c r="S1420" s="2">
        <v>0</v>
      </c>
    </row>
    <row r="1421" spans="1:19" x14ac:dyDescent="0.3">
      <c r="A1421" t="s">
        <v>2839</v>
      </c>
      <c r="B1421" s="5" t="e" cm="1">
        <f t="array" ref="B1421">MAX(#REF!,MIN(#REF!,#REF!+SUMPRODUCT(--(FoodData[[#This Row],[Healthy]:[Refined]]="Yes"),#REF!)+FoodData[[#This Row],[Adjust]]))</f>
        <v>#REF!</v>
      </c>
      <c r="C1421" s="1" t="e">
        <f>LOOKUP(FoodData[[#This Row],[Score]],#REF!,#REF!)</f>
        <v>#REF!</v>
      </c>
      <c r="D1421" t="s">
        <v>2790</v>
      </c>
      <c r="E1421" t="s">
        <v>63</v>
      </c>
      <c r="F1421" t="s">
        <v>22</v>
      </c>
      <c r="G1421" t="s">
        <v>23</v>
      </c>
      <c r="H1421" t="s">
        <v>2840</v>
      </c>
      <c r="I1421" s="1" t="s">
        <v>25</v>
      </c>
      <c r="J1421" s="1" t="s">
        <v>25</v>
      </c>
      <c r="K1421" s="1" t="s">
        <v>26</v>
      </c>
      <c r="L1421" s="1" t="s">
        <v>25</v>
      </c>
      <c r="M1421" s="1" t="s">
        <v>25</v>
      </c>
      <c r="N1421" s="1" t="s">
        <v>25</v>
      </c>
      <c r="O1421" s="1" t="s">
        <v>25</v>
      </c>
      <c r="P1421" s="1" t="s">
        <v>25</v>
      </c>
      <c r="Q1421" s="1" t="s">
        <v>25</v>
      </c>
      <c r="R1421" s="1" t="s">
        <v>25</v>
      </c>
      <c r="S1421" s="2">
        <v>0</v>
      </c>
    </row>
    <row r="1422" spans="1:19" x14ac:dyDescent="0.3">
      <c r="A1422" t="s">
        <v>2841</v>
      </c>
      <c r="B1422" s="5" t="e" cm="1">
        <f t="array" ref="B1422">MAX(#REF!,MIN(#REF!,#REF!+SUMPRODUCT(--(FoodData[[#This Row],[Healthy]:[Refined]]="Yes"),#REF!)+FoodData[[#This Row],[Adjust]]))</f>
        <v>#REF!</v>
      </c>
      <c r="C1422" s="1" t="e">
        <f>LOOKUP(FoodData[[#This Row],[Score]],#REF!,#REF!)</f>
        <v>#REF!</v>
      </c>
      <c r="D1422" t="s">
        <v>2790</v>
      </c>
      <c r="E1422" t="s">
        <v>63</v>
      </c>
      <c r="F1422" t="s">
        <v>22</v>
      </c>
      <c r="G1422" t="s">
        <v>23</v>
      </c>
      <c r="H1422" t="s">
        <v>2842</v>
      </c>
      <c r="I1422" s="1" t="s">
        <v>26</v>
      </c>
      <c r="J1422" s="1" t="s">
        <v>26</v>
      </c>
      <c r="K1422" s="1" t="s">
        <v>26</v>
      </c>
      <c r="L1422" s="1" t="s">
        <v>26</v>
      </c>
      <c r="M1422" s="1" t="s">
        <v>25</v>
      </c>
      <c r="N1422" s="1" t="s">
        <v>25</v>
      </c>
      <c r="O1422" s="1" t="s">
        <v>25</v>
      </c>
      <c r="P1422" s="1" t="s">
        <v>25</v>
      </c>
      <c r="Q1422" s="1" t="s">
        <v>25</v>
      </c>
      <c r="R1422" s="1" t="s">
        <v>25</v>
      </c>
      <c r="S1422" s="2">
        <v>0</v>
      </c>
    </row>
    <row r="1423" spans="1:19" x14ac:dyDescent="0.3">
      <c r="A1423" t="s">
        <v>2843</v>
      </c>
      <c r="B1423" s="5" t="e" cm="1">
        <f t="array" ref="B1423">MAX(#REF!,MIN(#REF!,#REF!+SUMPRODUCT(--(FoodData[[#This Row],[Healthy]:[Refined]]="Yes"),#REF!)+FoodData[[#This Row],[Adjust]]))</f>
        <v>#REF!</v>
      </c>
      <c r="C1423" s="1" t="e">
        <f>LOOKUP(FoodData[[#This Row],[Score]],#REF!,#REF!)</f>
        <v>#REF!</v>
      </c>
      <c r="D1423" t="s">
        <v>2790</v>
      </c>
      <c r="E1423" t="s">
        <v>21</v>
      </c>
      <c r="F1423" t="s">
        <v>60</v>
      </c>
      <c r="G1423" t="s">
        <v>23</v>
      </c>
      <c r="H1423" t="s">
        <v>2844</v>
      </c>
      <c r="I1423" s="1" t="s">
        <v>26</v>
      </c>
      <c r="J1423" s="1" t="s">
        <v>25</v>
      </c>
      <c r="K1423" s="1" t="s">
        <v>26</v>
      </c>
      <c r="L1423" s="1" t="s">
        <v>26</v>
      </c>
      <c r="M1423" s="1" t="s">
        <v>25</v>
      </c>
      <c r="N1423" s="1" t="s">
        <v>26</v>
      </c>
      <c r="O1423" s="1" t="s">
        <v>25</v>
      </c>
      <c r="P1423" s="1" t="s">
        <v>25</v>
      </c>
      <c r="Q1423" s="1" t="s">
        <v>25</v>
      </c>
      <c r="R1423" s="1" t="s">
        <v>25</v>
      </c>
      <c r="S1423" s="2">
        <v>0</v>
      </c>
    </row>
    <row r="1424" spans="1:19" x14ac:dyDescent="0.3">
      <c r="A1424" t="s">
        <v>2845</v>
      </c>
      <c r="B1424" s="5" t="e" cm="1">
        <f t="array" ref="B1424">MAX(#REF!,MIN(#REF!,#REF!+SUMPRODUCT(--(FoodData[[#This Row],[Healthy]:[Refined]]="Yes"),#REF!)+FoodData[[#This Row],[Adjust]]))</f>
        <v>#REF!</v>
      </c>
      <c r="C1424" s="1" t="e">
        <f>LOOKUP(FoodData[[#This Row],[Score]],#REF!,#REF!)</f>
        <v>#REF!</v>
      </c>
      <c r="D1424" t="s">
        <v>2790</v>
      </c>
      <c r="E1424" t="s">
        <v>21</v>
      </c>
      <c r="F1424" t="s">
        <v>60</v>
      </c>
      <c r="G1424" t="s">
        <v>23</v>
      </c>
      <c r="H1424" t="s">
        <v>2846</v>
      </c>
      <c r="I1424" s="1" t="s">
        <v>26</v>
      </c>
      <c r="J1424" s="1" t="s">
        <v>26</v>
      </c>
      <c r="K1424" s="1" t="s">
        <v>26</v>
      </c>
      <c r="L1424" s="1" t="s">
        <v>26</v>
      </c>
      <c r="M1424" s="1" t="s">
        <v>25</v>
      </c>
      <c r="N1424" s="1" t="s">
        <v>25</v>
      </c>
      <c r="O1424" s="1" t="s">
        <v>25</v>
      </c>
      <c r="P1424" s="1" t="s">
        <v>25</v>
      </c>
      <c r="Q1424" s="1" t="s">
        <v>25</v>
      </c>
      <c r="R1424" s="1" t="s">
        <v>25</v>
      </c>
      <c r="S1424" s="2">
        <v>0</v>
      </c>
    </row>
    <row r="1425" spans="1:19" x14ac:dyDescent="0.3">
      <c r="A1425" t="s">
        <v>2847</v>
      </c>
      <c r="B1425" s="5" t="e" cm="1">
        <f t="array" ref="B1425">MAX(#REF!,MIN(#REF!,#REF!+SUMPRODUCT(--(FoodData[[#This Row],[Healthy]:[Refined]]="Yes"),#REF!)+FoodData[[#This Row],[Adjust]]))</f>
        <v>#REF!</v>
      </c>
      <c r="C1425" s="1" t="e">
        <f>LOOKUP(FoodData[[#This Row],[Score]],#REF!,#REF!)</f>
        <v>#REF!</v>
      </c>
      <c r="D1425" t="s">
        <v>2790</v>
      </c>
      <c r="E1425" t="s">
        <v>21</v>
      </c>
      <c r="F1425" t="s">
        <v>60</v>
      </c>
      <c r="G1425" t="s">
        <v>23</v>
      </c>
      <c r="H1425" t="s">
        <v>2848</v>
      </c>
      <c r="I1425" s="1" t="s">
        <v>25</v>
      </c>
      <c r="J1425" s="1" t="s">
        <v>25</v>
      </c>
      <c r="K1425" s="1" t="s">
        <v>26</v>
      </c>
      <c r="L1425" s="1" t="s">
        <v>25</v>
      </c>
      <c r="M1425" s="1" t="s">
        <v>25</v>
      </c>
      <c r="N1425" s="1" t="s">
        <v>26</v>
      </c>
      <c r="O1425" s="1" t="s">
        <v>25</v>
      </c>
      <c r="P1425" s="1" t="s">
        <v>25</v>
      </c>
      <c r="Q1425" s="1" t="s">
        <v>25</v>
      </c>
      <c r="R1425" s="1" t="s">
        <v>25</v>
      </c>
      <c r="S1425" s="2">
        <v>0</v>
      </c>
    </row>
    <row r="1426" spans="1:19" x14ac:dyDescent="0.3">
      <c r="A1426" t="s">
        <v>2849</v>
      </c>
      <c r="B1426" s="5" t="e" cm="1">
        <f t="array" ref="B1426">MAX(#REF!,MIN(#REF!,#REF!+SUMPRODUCT(--(FoodData[[#This Row],[Healthy]:[Refined]]="Yes"),#REF!)+FoodData[[#This Row],[Adjust]]))</f>
        <v>#REF!</v>
      </c>
      <c r="C1426" s="1" t="e">
        <f>LOOKUP(FoodData[[#This Row],[Score]],#REF!,#REF!)</f>
        <v>#REF!</v>
      </c>
      <c r="D1426" t="s">
        <v>2790</v>
      </c>
      <c r="E1426" t="s">
        <v>21</v>
      </c>
      <c r="F1426" t="s">
        <v>60</v>
      </c>
      <c r="G1426" t="s">
        <v>23</v>
      </c>
      <c r="H1426" t="s">
        <v>2850</v>
      </c>
      <c r="I1426" s="1" t="s">
        <v>25</v>
      </c>
      <c r="J1426" s="1" t="s">
        <v>25</v>
      </c>
      <c r="K1426" s="1" t="s">
        <v>26</v>
      </c>
      <c r="L1426" s="1" t="s">
        <v>25</v>
      </c>
      <c r="M1426" s="1" t="s">
        <v>25</v>
      </c>
      <c r="N1426" s="1" t="s">
        <v>26</v>
      </c>
      <c r="O1426" s="1" t="s">
        <v>25</v>
      </c>
      <c r="P1426" s="1" t="s">
        <v>25</v>
      </c>
      <c r="Q1426" s="1" t="s">
        <v>25</v>
      </c>
      <c r="R1426" s="1" t="s">
        <v>25</v>
      </c>
      <c r="S1426" s="2">
        <v>0</v>
      </c>
    </row>
    <row r="1427" spans="1:19" x14ac:dyDescent="0.3">
      <c r="A1427" t="s">
        <v>2851</v>
      </c>
      <c r="B1427" s="5" t="e" cm="1">
        <f t="array" ref="B1427">MAX(#REF!,MIN(#REF!,#REF!+SUMPRODUCT(--(FoodData[[#This Row],[Healthy]:[Refined]]="Yes"),#REF!)+FoodData[[#This Row],[Adjust]]))</f>
        <v>#REF!</v>
      </c>
      <c r="C1427" s="1" t="e">
        <f>LOOKUP(FoodData[[#This Row],[Score]],#REF!,#REF!)</f>
        <v>#REF!</v>
      </c>
      <c r="D1427" t="s">
        <v>2790</v>
      </c>
      <c r="E1427" t="s">
        <v>21</v>
      </c>
      <c r="F1427" t="s">
        <v>60</v>
      </c>
      <c r="G1427" t="s">
        <v>23</v>
      </c>
      <c r="H1427" t="s">
        <v>2852</v>
      </c>
      <c r="I1427" s="1" t="s">
        <v>25</v>
      </c>
      <c r="J1427" s="1" t="s">
        <v>25</v>
      </c>
      <c r="K1427" s="1" t="s">
        <v>26</v>
      </c>
      <c r="L1427" s="1" t="s">
        <v>25</v>
      </c>
      <c r="M1427" s="1" t="s">
        <v>25</v>
      </c>
      <c r="N1427" s="1" t="s">
        <v>26</v>
      </c>
      <c r="O1427" s="1" t="s">
        <v>25</v>
      </c>
      <c r="P1427" s="1" t="s">
        <v>25</v>
      </c>
      <c r="Q1427" s="1" t="s">
        <v>25</v>
      </c>
      <c r="R1427" s="1" t="s">
        <v>26</v>
      </c>
      <c r="S1427" s="2">
        <v>0</v>
      </c>
    </row>
    <row r="1428" spans="1:19" x14ac:dyDescent="0.3">
      <c r="A1428" t="s">
        <v>2853</v>
      </c>
      <c r="B1428" s="5" t="e" cm="1">
        <f t="array" ref="B1428">MAX(#REF!,MIN(#REF!,#REF!+SUMPRODUCT(--(FoodData[[#This Row],[Healthy]:[Refined]]="Yes"),#REF!)+FoodData[[#This Row],[Adjust]]))</f>
        <v>#REF!</v>
      </c>
      <c r="C1428" s="1" t="e">
        <f>LOOKUP(FoodData[[#This Row],[Score]],#REF!,#REF!)</f>
        <v>#REF!</v>
      </c>
      <c r="D1428" t="s">
        <v>2790</v>
      </c>
      <c r="E1428" t="s">
        <v>21</v>
      </c>
      <c r="F1428" t="s">
        <v>60</v>
      </c>
      <c r="G1428" t="s">
        <v>23</v>
      </c>
      <c r="H1428" t="s">
        <v>2854</v>
      </c>
      <c r="I1428" s="1" t="s">
        <v>26</v>
      </c>
      <c r="J1428" s="1" t="s">
        <v>26</v>
      </c>
      <c r="K1428" s="1" t="s">
        <v>26</v>
      </c>
      <c r="L1428" s="1" t="s">
        <v>25</v>
      </c>
      <c r="M1428" s="1" t="s">
        <v>25</v>
      </c>
      <c r="N1428" s="1" t="s">
        <v>25</v>
      </c>
      <c r="O1428" s="1" t="s">
        <v>25</v>
      </c>
      <c r="P1428" s="1" t="s">
        <v>25</v>
      </c>
      <c r="Q1428" s="1" t="s">
        <v>25</v>
      </c>
      <c r="R1428" s="1" t="s">
        <v>25</v>
      </c>
      <c r="S1428" s="2">
        <v>0</v>
      </c>
    </row>
    <row r="1429" spans="1:19" x14ac:dyDescent="0.3">
      <c r="A1429" t="s">
        <v>2855</v>
      </c>
      <c r="B1429" s="5" t="e" cm="1">
        <f t="array" ref="B1429">MAX(#REF!,MIN(#REF!,#REF!+SUMPRODUCT(--(FoodData[[#This Row],[Healthy]:[Refined]]="Yes"),#REF!)+FoodData[[#This Row],[Adjust]]))</f>
        <v>#REF!</v>
      </c>
      <c r="C1429" s="1" t="e">
        <f>LOOKUP(FoodData[[#This Row],[Score]],#REF!,#REF!)</f>
        <v>#REF!</v>
      </c>
      <c r="D1429" t="s">
        <v>2790</v>
      </c>
      <c r="E1429" t="s">
        <v>21</v>
      </c>
      <c r="F1429" t="s">
        <v>22</v>
      </c>
      <c r="G1429" t="s">
        <v>23</v>
      </c>
      <c r="H1429" t="s">
        <v>2856</v>
      </c>
      <c r="I1429" s="1" t="s">
        <v>26</v>
      </c>
      <c r="J1429" s="1" t="s">
        <v>26</v>
      </c>
      <c r="K1429" s="1" t="s">
        <v>26</v>
      </c>
      <c r="L1429" s="1" t="s">
        <v>26</v>
      </c>
      <c r="M1429" s="1" t="s">
        <v>25</v>
      </c>
      <c r="N1429" s="1" t="s">
        <v>25</v>
      </c>
      <c r="O1429" s="1" t="s">
        <v>25</v>
      </c>
      <c r="P1429" s="1" t="s">
        <v>25</v>
      </c>
      <c r="Q1429" s="1" t="s">
        <v>25</v>
      </c>
      <c r="R1429" s="1" t="s">
        <v>25</v>
      </c>
      <c r="S1429" s="2">
        <v>0</v>
      </c>
    </row>
    <row r="1430" spans="1:19" x14ac:dyDescent="0.3">
      <c r="A1430" t="s">
        <v>2857</v>
      </c>
      <c r="B1430" s="5" t="e" cm="1">
        <f t="array" ref="B1430">MAX(#REF!,MIN(#REF!,#REF!+SUMPRODUCT(--(FoodData[[#This Row],[Healthy]:[Refined]]="Yes"),#REF!)+FoodData[[#This Row],[Adjust]]))</f>
        <v>#REF!</v>
      </c>
      <c r="C1430" s="1" t="e">
        <f>LOOKUP(FoodData[[#This Row],[Score]],#REF!,#REF!)</f>
        <v>#REF!</v>
      </c>
      <c r="D1430" t="s">
        <v>2790</v>
      </c>
      <c r="E1430" t="s">
        <v>21</v>
      </c>
      <c r="F1430" t="s">
        <v>22</v>
      </c>
      <c r="G1430" t="s">
        <v>23</v>
      </c>
      <c r="H1430" t="s">
        <v>2858</v>
      </c>
      <c r="I1430" s="1" t="s">
        <v>25</v>
      </c>
      <c r="J1430" s="1" t="s">
        <v>26</v>
      </c>
      <c r="K1430" s="1" t="s">
        <v>25</v>
      </c>
      <c r="L1430" s="1" t="s">
        <v>25</v>
      </c>
      <c r="M1430" s="1" t="s">
        <v>25</v>
      </c>
      <c r="N1430" s="1" t="s">
        <v>25</v>
      </c>
      <c r="O1430" s="1" t="s">
        <v>26</v>
      </c>
      <c r="P1430" s="1" t="s">
        <v>25</v>
      </c>
      <c r="Q1430" s="1" t="s">
        <v>25</v>
      </c>
      <c r="R1430" s="1" t="s">
        <v>25</v>
      </c>
      <c r="S1430" s="2">
        <v>0</v>
      </c>
    </row>
    <row r="1431" spans="1:19" x14ac:dyDescent="0.3">
      <c r="A1431" t="s">
        <v>2859</v>
      </c>
      <c r="B1431" s="5" t="e" cm="1">
        <f t="array" ref="B1431">MAX(#REF!,MIN(#REF!,#REF!+SUMPRODUCT(--(FoodData[[#This Row],[Healthy]:[Refined]]="Yes"),#REF!)+FoodData[[#This Row],[Adjust]]))</f>
        <v>#REF!</v>
      </c>
      <c r="C1431" s="1" t="e">
        <f>LOOKUP(FoodData[[#This Row],[Score]],#REF!,#REF!)</f>
        <v>#REF!</v>
      </c>
      <c r="D1431" t="s">
        <v>2790</v>
      </c>
      <c r="E1431" t="s">
        <v>21</v>
      </c>
      <c r="F1431" t="s">
        <v>22</v>
      </c>
      <c r="G1431" t="s">
        <v>23</v>
      </c>
      <c r="H1431" t="s">
        <v>2860</v>
      </c>
      <c r="I1431" s="1" t="s">
        <v>25</v>
      </c>
      <c r="J1431" s="1" t="s">
        <v>26</v>
      </c>
      <c r="K1431" s="1" t="s">
        <v>25</v>
      </c>
      <c r="L1431" s="1" t="s">
        <v>25</v>
      </c>
      <c r="M1431" s="1" t="s">
        <v>25</v>
      </c>
      <c r="N1431" s="1" t="s">
        <v>26</v>
      </c>
      <c r="O1431" s="1" t="s">
        <v>26</v>
      </c>
      <c r="P1431" s="1" t="s">
        <v>25</v>
      </c>
      <c r="Q1431" s="1" t="s">
        <v>25</v>
      </c>
      <c r="R1431" s="1" t="s">
        <v>25</v>
      </c>
      <c r="S1431" s="2">
        <v>0</v>
      </c>
    </row>
    <row r="1432" spans="1:19" x14ac:dyDescent="0.3">
      <c r="A1432" t="s">
        <v>2861</v>
      </c>
      <c r="B1432" s="5" t="e" cm="1">
        <f t="array" ref="B1432">MAX(#REF!,MIN(#REF!,#REF!+SUMPRODUCT(--(FoodData[[#This Row],[Healthy]:[Refined]]="Yes"),#REF!)+FoodData[[#This Row],[Adjust]]))</f>
        <v>#REF!</v>
      </c>
      <c r="C1432" s="1" t="e">
        <f>LOOKUP(FoodData[[#This Row],[Score]],#REF!,#REF!)</f>
        <v>#REF!</v>
      </c>
      <c r="D1432" t="s">
        <v>2790</v>
      </c>
      <c r="E1432" t="s">
        <v>21</v>
      </c>
      <c r="F1432" t="s">
        <v>22</v>
      </c>
      <c r="G1432" t="s">
        <v>23</v>
      </c>
      <c r="H1432" t="s">
        <v>2862</v>
      </c>
      <c r="I1432" s="1" t="s">
        <v>25</v>
      </c>
      <c r="J1432" s="1" t="s">
        <v>25</v>
      </c>
      <c r="K1432" s="1" t="s">
        <v>25</v>
      </c>
      <c r="L1432" s="1" t="s">
        <v>25</v>
      </c>
      <c r="M1432" s="1" t="s">
        <v>25</v>
      </c>
      <c r="N1432" s="1" t="s">
        <v>26</v>
      </c>
      <c r="O1432" s="1" t="s">
        <v>26</v>
      </c>
      <c r="P1432" s="1" t="s">
        <v>25</v>
      </c>
      <c r="Q1432" s="1" t="s">
        <v>25</v>
      </c>
      <c r="R1432" s="1" t="s">
        <v>25</v>
      </c>
      <c r="S1432" s="2">
        <v>0</v>
      </c>
    </row>
    <row r="1433" spans="1:19" x14ac:dyDescent="0.3">
      <c r="A1433" t="s">
        <v>2863</v>
      </c>
      <c r="B1433" s="5" t="e" cm="1">
        <f t="array" ref="B1433">MAX(#REF!,MIN(#REF!,#REF!+SUMPRODUCT(--(FoodData[[#This Row],[Healthy]:[Refined]]="Yes"),#REF!)+FoodData[[#This Row],[Adjust]]))</f>
        <v>#REF!</v>
      </c>
      <c r="C1433" s="1" t="e">
        <f>LOOKUP(FoodData[[#This Row],[Score]],#REF!,#REF!)</f>
        <v>#REF!</v>
      </c>
      <c r="D1433" t="s">
        <v>2790</v>
      </c>
      <c r="E1433" t="s">
        <v>21</v>
      </c>
      <c r="F1433" t="s">
        <v>22</v>
      </c>
      <c r="G1433" t="s">
        <v>23</v>
      </c>
      <c r="H1433" t="s">
        <v>2864</v>
      </c>
      <c r="I1433" s="1" t="s">
        <v>25</v>
      </c>
      <c r="J1433" s="1" t="s">
        <v>25</v>
      </c>
      <c r="K1433" s="1" t="s">
        <v>25</v>
      </c>
      <c r="L1433" s="1" t="s">
        <v>25</v>
      </c>
      <c r="M1433" s="1" t="s">
        <v>26</v>
      </c>
      <c r="N1433" s="1" t="s">
        <v>25</v>
      </c>
      <c r="O1433" s="1" t="s">
        <v>26</v>
      </c>
      <c r="P1433" s="1" t="s">
        <v>26</v>
      </c>
      <c r="Q1433" s="1" t="s">
        <v>25</v>
      </c>
      <c r="R1433" s="1" t="s">
        <v>26</v>
      </c>
      <c r="S1433" s="2">
        <v>0</v>
      </c>
    </row>
    <row r="1434" spans="1:19" x14ac:dyDescent="0.3">
      <c r="A1434" t="s">
        <v>2865</v>
      </c>
      <c r="B1434" s="5" t="e" cm="1">
        <f t="array" ref="B1434">MAX(#REF!,MIN(#REF!,#REF!+SUMPRODUCT(--(FoodData[[#This Row],[Healthy]:[Refined]]="Yes"),#REF!)+FoodData[[#This Row],[Adjust]]))</f>
        <v>#REF!</v>
      </c>
      <c r="C1434" s="1" t="e">
        <f>LOOKUP(FoodData[[#This Row],[Score]],#REF!,#REF!)</f>
        <v>#REF!</v>
      </c>
      <c r="D1434" t="s">
        <v>2790</v>
      </c>
      <c r="E1434" t="s">
        <v>21</v>
      </c>
      <c r="F1434" t="s">
        <v>22</v>
      </c>
      <c r="G1434" t="s">
        <v>23</v>
      </c>
      <c r="H1434" t="s">
        <v>2866</v>
      </c>
      <c r="I1434" s="1" t="s">
        <v>25</v>
      </c>
      <c r="J1434" s="1" t="s">
        <v>26</v>
      </c>
      <c r="K1434" s="1" t="s">
        <v>25</v>
      </c>
      <c r="L1434" s="1" t="s">
        <v>26</v>
      </c>
      <c r="M1434" s="1" t="s">
        <v>25</v>
      </c>
      <c r="N1434" s="1" t="s">
        <v>26</v>
      </c>
      <c r="O1434" s="1" t="s">
        <v>25</v>
      </c>
      <c r="P1434" s="1" t="s">
        <v>25</v>
      </c>
      <c r="Q1434" s="1" t="s">
        <v>25</v>
      </c>
      <c r="R1434" s="1" t="s">
        <v>25</v>
      </c>
      <c r="S1434" s="2">
        <v>0</v>
      </c>
    </row>
    <row r="1435" spans="1:19" x14ac:dyDescent="0.3">
      <c r="A1435" t="s">
        <v>2867</v>
      </c>
      <c r="B1435" s="5" t="e" cm="1">
        <f t="array" ref="B1435">MAX(#REF!,MIN(#REF!,#REF!+SUMPRODUCT(--(FoodData[[#This Row],[Healthy]:[Refined]]="Yes"),#REF!)+FoodData[[#This Row],[Adjust]]))</f>
        <v>#REF!</v>
      </c>
      <c r="C1435" s="1" t="e">
        <f>LOOKUP(FoodData[[#This Row],[Score]],#REF!,#REF!)</f>
        <v>#REF!</v>
      </c>
      <c r="D1435" t="s">
        <v>2790</v>
      </c>
      <c r="E1435" t="s">
        <v>63</v>
      </c>
      <c r="F1435" t="s">
        <v>22</v>
      </c>
      <c r="G1435" t="s">
        <v>23</v>
      </c>
      <c r="H1435" t="s">
        <v>2868</v>
      </c>
      <c r="I1435" s="1" t="s">
        <v>25</v>
      </c>
      <c r="J1435" s="1" t="s">
        <v>25</v>
      </c>
      <c r="K1435" s="1" t="s">
        <v>25</v>
      </c>
      <c r="L1435" s="1" t="s">
        <v>25</v>
      </c>
      <c r="M1435" s="1" t="s">
        <v>25</v>
      </c>
      <c r="N1435" s="1" t="s">
        <v>25</v>
      </c>
      <c r="O1435" s="1" t="s">
        <v>25</v>
      </c>
      <c r="P1435" s="1" t="s">
        <v>25</v>
      </c>
      <c r="Q1435" s="1" t="s">
        <v>25</v>
      </c>
      <c r="R1435" s="1" t="s">
        <v>25</v>
      </c>
      <c r="S1435" s="2">
        <v>0</v>
      </c>
    </row>
    <row r="1436" spans="1:19" x14ac:dyDescent="0.3">
      <c r="A1436" t="s">
        <v>2869</v>
      </c>
      <c r="B1436" s="5" t="e" cm="1">
        <f t="array" ref="B1436">MAX(#REF!,MIN(#REF!,#REF!+SUMPRODUCT(--(FoodData[[#This Row],[Healthy]:[Refined]]="Yes"),#REF!)+FoodData[[#This Row],[Adjust]]))</f>
        <v>#REF!</v>
      </c>
      <c r="C1436" s="1" t="e">
        <f>LOOKUP(FoodData[[#This Row],[Score]],#REF!,#REF!)</f>
        <v>#REF!</v>
      </c>
      <c r="D1436" t="s">
        <v>2790</v>
      </c>
      <c r="E1436" t="s">
        <v>21</v>
      </c>
      <c r="F1436" t="s">
        <v>22</v>
      </c>
      <c r="G1436" t="s">
        <v>23</v>
      </c>
      <c r="H1436" t="s">
        <v>2870</v>
      </c>
      <c r="I1436" s="1" t="s">
        <v>25</v>
      </c>
      <c r="J1436" s="1" t="s">
        <v>26</v>
      </c>
      <c r="K1436" s="1" t="s">
        <v>25</v>
      </c>
      <c r="L1436" s="1" t="s">
        <v>25</v>
      </c>
      <c r="M1436" s="1" t="s">
        <v>26</v>
      </c>
      <c r="N1436" s="1" t="s">
        <v>25</v>
      </c>
      <c r="O1436" s="1" t="s">
        <v>25</v>
      </c>
      <c r="P1436" s="1" t="s">
        <v>25</v>
      </c>
      <c r="Q1436" s="1" t="s">
        <v>25</v>
      </c>
      <c r="R1436" s="1" t="s">
        <v>25</v>
      </c>
      <c r="S1436" s="2">
        <v>0</v>
      </c>
    </row>
    <row r="1437" spans="1:19" x14ac:dyDescent="0.3">
      <c r="A1437" t="s">
        <v>2871</v>
      </c>
      <c r="B1437" s="5" t="e" cm="1">
        <f t="array" ref="B1437">MAX(#REF!,MIN(#REF!,#REF!+SUMPRODUCT(--(FoodData[[#This Row],[Healthy]:[Refined]]="Yes"),#REF!)+FoodData[[#This Row],[Adjust]]))</f>
        <v>#REF!</v>
      </c>
      <c r="C1437" s="1" t="e">
        <f>LOOKUP(FoodData[[#This Row],[Score]],#REF!,#REF!)</f>
        <v>#REF!</v>
      </c>
      <c r="D1437" t="s">
        <v>2790</v>
      </c>
      <c r="E1437" t="s">
        <v>21</v>
      </c>
      <c r="F1437" t="s">
        <v>22</v>
      </c>
      <c r="G1437" t="s">
        <v>23</v>
      </c>
      <c r="H1437" t="s">
        <v>2872</v>
      </c>
      <c r="I1437" s="1" t="s">
        <v>25</v>
      </c>
      <c r="J1437" s="1" t="s">
        <v>26</v>
      </c>
      <c r="K1437" s="1" t="s">
        <v>25</v>
      </c>
      <c r="L1437" s="1" t="s">
        <v>25</v>
      </c>
      <c r="M1437" s="1" t="s">
        <v>25</v>
      </c>
      <c r="N1437" s="1" t="s">
        <v>26</v>
      </c>
      <c r="O1437" s="1" t="s">
        <v>25</v>
      </c>
      <c r="P1437" s="1" t="s">
        <v>25</v>
      </c>
      <c r="Q1437" s="1" t="s">
        <v>25</v>
      </c>
      <c r="R1437" s="1" t="s">
        <v>25</v>
      </c>
      <c r="S1437" s="2">
        <v>0</v>
      </c>
    </row>
    <row r="1438" spans="1:19" x14ac:dyDescent="0.3">
      <c r="A1438" t="s">
        <v>2873</v>
      </c>
      <c r="B1438" s="5" t="e" cm="1">
        <f t="array" ref="B1438">MAX(#REF!,MIN(#REF!,#REF!+SUMPRODUCT(--(FoodData[[#This Row],[Healthy]:[Refined]]="Yes"),#REF!)+FoodData[[#This Row],[Adjust]]))</f>
        <v>#REF!</v>
      </c>
      <c r="C1438" s="1" t="e">
        <f>LOOKUP(FoodData[[#This Row],[Score]],#REF!,#REF!)</f>
        <v>#REF!</v>
      </c>
      <c r="D1438" t="s">
        <v>2790</v>
      </c>
      <c r="E1438" t="s">
        <v>63</v>
      </c>
      <c r="F1438" t="s">
        <v>22</v>
      </c>
      <c r="G1438" t="s">
        <v>23</v>
      </c>
      <c r="H1438" t="s">
        <v>2874</v>
      </c>
      <c r="I1438" s="1" t="s">
        <v>26</v>
      </c>
      <c r="J1438" s="1" t="s">
        <v>26</v>
      </c>
      <c r="K1438" s="1" t="s">
        <v>26</v>
      </c>
      <c r="L1438" s="1" t="s">
        <v>26</v>
      </c>
      <c r="M1438" s="1" t="s">
        <v>25</v>
      </c>
      <c r="N1438" s="1" t="s">
        <v>25</v>
      </c>
      <c r="O1438" s="1" t="s">
        <v>25</v>
      </c>
      <c r="P1438" s="1" t="s">
        <v>25</v>
      </c>
      <c r="Q1438" s="1" t="s">
        <v>25</v>
      </c>
      <c r="R1438" s="1" t="s">
        <v>25</v>
      </c>
      <c r="S1438" s="2">
        <v>0</v>
      </c>
    </row>
    <row r="1439" spans="1:19" x14ac:dyDescent="0.3">
      <c r="A1439" t="s">
        <v>2875</v>
      </c>
      <c r="B1439" s="5" t="e" cm="1">
        <f t="array" ref="B1439">MAX(#REF!,MIN(#REF!,#REF!+SUMPRODUCT(--(FoodData[[#This Row],[Healthy]:[Refined]]="Yes"),#REF!)+FoodData[[#This Row],[Adjust]]))</f>
        <v>#REF!</v>
      </c>
      <c r="C1439" s="1" t="e">
        <f>LOOKUP(FoodData[[#This Row],[Score]],#REF!,#REF!)</f>
        <v>#REF!</v>
      </c>
      <c r="D1439" t="s">
        <v>2790</v>
      </c>
      <c r="E1439" t="s">
        <v>21</v>
      </c>
      <c r="F1439" t="s">
        <v>22</v>
      </c>
      <c r="G1439" t="s">
        <v>23</v>
      </c>
      <c r="H1439" t="s">
        <v>2876</v>
      </c>
      <c r="I1439" s="1" t="s">
        <v>25</v>
      </c>
      <c r="J1439" s="1" t="s">
        <v>25</v>
      </c>
      <c r="K1439" s="1" t="s">
        <v>25</v>
      </c>
      <c r="L1439" s="1" t="s">
        <v>25</v>
      </c>
      <c r="M1439" s="1" t="s">
        <v>25</v>
      </c>
      <c r="N1439" s="1" t="s">
        <v>26</v>
      </c>
      <c r="O1439" s="1" t="s">
        <v>25</v>
      </c>
      <c r="P1439" s="1" t="s">
        <v>26</v>
      </c>
      <c r="Q1439" s="1" t="s">
        <v>25</v>
      </c>
      <c r="R1439" s="1" t="s">
        <v>25</v>
      </c>
      <c r="S1439" s="2">
        <v>0</v>
      </c>
    </row>
    <row r="1440" spans="1:19" x14ac:dyDescent="0.3">
      <c r="A1440" t="s">
        <v>2877</v>
      </c>
      <c r="B1440" s="5" t="e" cm="1">
        <f t="array" ref="B1440">MAX(#REF!,MIN(#REF!,#REF!+SUMPRODUCT(--(FoodData[[#This Row],[Healthy]:[Refined]]="Yes"),#REF!)+FoodData[[#This Row],[Adjust]]))</f>
        <v>#REF!</v>
      </c>
      <c r="C1440" s="1" t="e">
        <f>LOOKUP(FoodData[[#This Row],[Score]],#REF!,#REF!)</f>
        <v>#REF!</v>
      </c>
      <c r="D1440" t="s">
        <v>2790</v>
      </c>
      <c r="E1440" t="s">
        <v>21</v>
      </c>
      <c r="F1440" t="s">
        <v>22</v>
      </c>
      <c r="G1440" t="s">
        <v>23</v>
      </c>
      <c r="H1440" t="s">
        <v>2878</v>
      </c>
      <c r="I1440" s="1" t="s">
        <v>26</v>
      </c>
      <c r="J1440" s="1" t="s">
        <v>26</v>
      </c>
      <c r="K1440" s="1" t="s">
        <v>25</v>
      </c>
      <c r="L1440" s="1" t="s">
        <v>26</v>
      </c>
      <c r="M1440" s="1" t="s">
        <v>25</v>
      </c>
      <c r="N1440" s="1" t="s">
        <v>25</v>
      </c>
      <c r="O1440" s="1" t="s">
        <v>25</v>
      </c>
      <c r="P1440" s="1" t="s">
        <v>25</v>
      </c>
      <c r="Q1440" s="1" t="s">
        <v>25</v>
      </c>
      <c r="R1440" s="1" t="s">
        <v>25</v>
      </c>
      <c r="S1440" s="2">
        <v>0</v>
      </c>
    </row>
    <row r="1441" spans="1:19" x14ac:dyDescent="0.3">
      <c r="A1441" t="s">
        <v>2879</v>
      </c>
      <c r="B1441" s="5" t="e" cm="1">
        <f t="array" ref="B1441">MAX(#REF!,MIN(#REF!,#REF!+SUMPRODUCT(--(FoodData[[#This Row],[Healthy]:[Refined]]="Yes"),#REF!)+FoodData[[#This Row],[Adjust]]))</f>
        <v>#REF!</v>
      </c>
      <c r="C1441" s="1" t="e">
        <f>LOOKUP(FoodData[[#This Row],[Score]],#REF!,#REF!)</f>
        <v>#REF!</v>
      </c>
      <c r="D1441" t="s">
        <v>2790</v>
      </c>
      <c r="E1441" t="s">
        <v>21</v>
      </c>
      <c r="F1441" t="s">
        <v>22</v>
      </c>
      <c r="G1441" t="s">
        <v>23</v>
      </c>
      <c r="H1441" t="s">
        <v>2880</v>
      </c>
      <c r="I1441" s="1" t="s">
        <v>26</v>
      </c>
      <c r="J1441" s="1" t="s">
        <v>26</v>
      </c>
      <c r="K1441" s="1" t="s">
        <v>25</v>
      </c>
      <c r="L1441" s="1" t="s">
        <v>26</v>
      </c>
      <c r="M1441" s="1" t="s">
        <v>25</v>
      </c>
      <c r="N1441" s="1" t="s">
        <v>25</v>
      </c>
      <c r="O1441" s="1" t="s">
        <v>25</v>
      </c>
      <c r="P1441" s="1" t="s">
        <v>25</v>
      </c>
      <c r="Q1441" s="1" t="s">
        <v>25</v>
      </c>
      <c r="R1441" s="1" t="s">
        <v>25</v>
      </c>
      <c r="S1441" s="2">
        <v>0</v>
      </c>
    </row>
    <row r="1442" spans="1:19" x14ac:dyDescent="0.3">
      <c r="A1442" t="s">
        <v>2881</v>
      </c>
      <c r="B1442" s="5" t="e" cm="1">
        <f t="array" ref="B1442">MAX(#REF!,MIN(#REF!,#REF!+SUMPRODUCT(--(FoodData[[#This Row],[Healthy]:[Refined]]="Yes"),#REF!)+FoodData[[#This Row],[Adjust]]))</f>
        <v>#REF!</v>
      </c>
      <c r="C1442" s="1" t="e">
        <f>LOOKUP(FoodData[[#This Row],[Score]],#REF!,#REF!)</f>
        <v>#REF!</v>
      </c>
      <c r="D1442" t="s">
        <v>2790</v>
      </c>
      <c r="E1442" t="s">
        <v>21</v>
      </c>
      <c r="F1442" t="s">
        <v>22</v>
      </c>
      <c r="G1442" t="s">
        <v>23</v>
      </c>
      <c r="H1442" t="s">
        <v>2882</v>
      </c>
      <c r="I1442" s="1" t="s">
        <v>25</v>
      </c>
      <c r="J1442" s="1" t="s">
        <v>26</v>
      </c>
      <c r="K1442" s="1" t="s">
        <v>25</v>
      </c>
      <c r="L1442" s="1" t="s">
        <v>25</v>
      </c>
      <c r="M1442" s="1" t="s">
        <v>25</v>
      </c>
      <c r="N1442" s="1" t="s">
        <v>25</v>
      </c>
      <c r="O1442" s="1" t="s">
        <v>26</v>
      </c>
      <c r="P1442" s="1" t="s">
        <v>25</v>
      </c>
      <c r="Q1442" s="1" t="s">
        <v>25</v>
      </c>
      <c r="R1442" s="1" t="s">
        <v>25</v>
      </c>
      <c r="S1442" s="2">
        <v>0</v>
      </c>
    </row>
    <row r="1443" spans="1:19" x14ac:dyDescent="0.3">
      <c r="A1443" t="s">
        <v>2883</v>
      </c>
      <c r="B1443" s="5" t="e" cm="1">
        <f t="array" ref="B1443">MAX(#REF!,MIN(#REF!,#REF!+SUMPRODUCT(--(FoodData[[#This Row],[Healthy]:[Refined]]="Yes"),#REF!)+FoodData[[#This Row],[Adjust]]))</f>
        <v>#REF!</v>
      </c>
      <c r="C1443" s="1" t="e">
        <f>LOOKUP(FoodData[[#This Row],[Score]],#REF!,#REF!)</f>
        <v>#REF!</v>
      </c>
      <c r="D1443" t="s">
        <v>2790</v>
      </c>
      <c r="E1443" t="s">
        <v>21</v>
      </c>
      <c r="F1443" t="s">
        <v>22</v>
      </c>
      <c r="G1443" t="s">
        <v>23</v>
      </c>
      <c r="H1443" t="s">
        <v>2884</v>
      </c>
      <c r="I1443" s="1" t="s">
        <v>25</v>
      </c>
      <c r="J1443" s="1" t="s">
        <v>25</v>
      </c>
      <c r="K1443" s="1" t="s">
        <v>25</v>
      </c>
      <c r="L1443" s="1" t="s">
        <v>26</v>
      </c>
      <c r="M1443" s="1" t="s">
        <v>25</v>
      </c>
      <c r="N1443" s="1" t="s">
        <v>26</v>
      </c>
      <c r="O1443" s="1" t="s">
        <v>25</v>
      </c>
      <c r="P1443" s="1" t="s">
        <v>25</v>
      </c>
      <c r="Q1443" s="1" t="s">
        <v>25</v>
      </c>
      <c r="R1443" s="1" t="s">
        <v>25</v>
      </c>
      <c r="S1443" s="2">
        <v>0</v>
      </c>
    </row>
    <row r="1444" spans="1:19" x14ac:dyDescent="0.3">
      <c r="A1444" t="s">
        <v>2885</v>
      </c>
      <c r="B1444" s="5" t="e" cm="1">
        <f t="array" ref="B1444">MAX(#REF!,MIN(#REF!,#REF!+SUMPRODUCT(--(FoodData[[#This Row],[Healthy]:[Refined]]="Yes"),#REF!)+FoodData[[#This Row],[Adjust]]))</f>
        <v>#REF!</v>
      </c>
      <c r="C1444" s="1" t="e">
        <f>LOOKUP(FoodData[[#This Row],[Score]],#REF!,#REF!)</f>
        <v>#REF!</v>
      </c>
      <c r="D1444" t="s">
        <v>2790</v>
      </c>
      <c r="E1444" t="s">
        <v>63</v>
      </c>
      <c r="F1444" t="s">
        <v>22</v>
      </c>
      <c r="G1444" t="s">
        <v>29</v>
      </c>
      <c r="H1444" t="s">
        <v>2886</v>
      </c>
      <c r="I1444" s="1" t="s">
        <v>26</v>
      </c>
      <c r="J1444" s="1" t="s">
        <v>25</v>
      </c>
      <c r="K1444" s="1" t="s">
        <v>25</v>
      </c>
      <c r="L1444" s="1" t="s">
        <v>26</v>
      </c>
      <c r="M1444" s="1" t="s">
        <v>25</v>
      </c>
      <c r="N1444" s="1" t="s">
        <v>25</v>
      </c>
      <c r="O1444" s="1" t="s">
        <v>25</v>
      </c>
      <c r="P1444" s="1" t="s">
        <v>25</v>
      </c>
      <c r="Q1444" s="1" t="s">
        <v>25</v>
      </c>
      <c r="R1444" s="1" t="s">
        <v>25</v>
      </c>
      <c r="S1444" s="2">
        <v>0</v>
      </c>
    </row>
    <row r="1445" spans="1:19" x14ac:dyDescent="0.3">
      <c r="A1445" t="s">
        <v>2887</v>
      </c>
      <c r="B1445" s="5" t="e" cm="1">
        <f t="array" ref="B1445">MAX(#REF!,MIN(#REF!,#REF!+SUMPRODUCT(--(FoodData[[#This Row],[Healthy]:[Refined]]="Yes"),#REF!)+FoodData[[#This Row],[Adjust]]))</f>
        <v>#REF!</v>
      </c>
      <c r="C1445" s="1" t="e">
        <f>LOOKUP(FoodData[[#This Row],[Score]],#REF!,#REF!)</f>
        <v>#REF!</v>
      </c>
      <c r="D1445" t="s">
        <v>2790</v>
      </c>
      <c r="E1445" t="s">
        <v>21</v>
      </c>
      <c r="F1445" t="s">
        <v>60</v>
      </c>
      <c r="G1445" t="s">
        <v>23</v>
      </c>
      <c r="H1445" t="s">
        <v>2888</v>
      </c>
      <c r="I1445" s="1" t="s">
        <v>25</v>
      </c>
      <c r="J1445" s="1" t="s">
        <v>25</v>
      </c>
      <c r="K1445" s="1" t="s">
        <v>25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25</v>
      </c>
      <c r="Q1445" s="1" t="s">
        <v>25</v>
      </c>
      <c r="R1445" s="1" t="s">
        <v>25</v>
      </c>
      <c r="S1445" s="2">
        <v>0</v>
      </c>
    </row>
    <row r="1446" spans="1:19" x14ac:dyDescent="0.3">
      <c r="A1446" t="s">
        <v>2889</v>
      </c>
      <c r="B1446" s="5" t="e" cm="1">
        <f t="array" ref="B1446">MAX(#REF!,MIN(#REF!,#REF!+SUMPRODUCT(--(FoodData[[#This Row],[Healthy]:[Refined]]="Yes"),#REF!)+FoodData[[#This Row],[Adjust]]))</f>
        <v>#REF!</v>
      </c>
      <c r="C1446" s="1" t="e">
        <f>LOOKUP(FoodData[[#This Row],[Score]],#REF!,#REF!)</f>
        <v>#REF!</v>
      </c>
      <c r="D1446" t="s">
        <v>2790</v>
      </c>
      <c r="E1446" t="s">
        <v>21</v>
      </c>
      <c r="F1446" t="s">
        <v>22</v>
      </c>
      <c r="G1446" t="s">
        <v>23</v>
      </c>
      <c r="H1446" t="s">
        <v>2890</v>
      </c>
      <c r="I1446" s="1" t="s">
        <v>25</v>
      </c>
      <c r="J1446" s="1" t="s">
        <v>25</v>
      </c>
      <c r="K1446" s="1" t="s">
        <v>26</v>
      </c>
      <c r="L1446" s="1" t="s">
        <v>26</v>
      </c>
      <c r="M1446" s="1" t="s">
        <v>25</v>
      </c>
      <c r="N1446" s="1" t="s">
        <v>26</v>
      </c>
      <c r="O1446" s="1" t="s">
        <v>25</v>
      </c>
      <c r="P1446" s="1" t="s">
        <v>26</v>
      </c>
      <c r="Q1446" s="1" t="s">
        <v>25</v>
      </c>
      <c r="R1446" s="1" t="s">
        <v>25</v>
      </c>
      <c r="S1446" s="2">
        <v>0</v>
      </c>
    </row>
    <row r="1447" spans="1:19" x14ac:dyDescent="0.3">
      <c r="A1447" t="s">
        <v>2891</v>
      </c>
      <c r="B1447" s="5" t="e" cm="1">
        <f t="array" ref="B1447">MAX(#REF!,MIN(#REF!,#REF!+SUMPRODUCT(--(FoodData[[#This Row],[Healthy]:[Refined]]="Yes"),#REF!)+FoodData[[#This Row],[Adjust]]))</f>
        <v>#REF!</v>
      </c>
      <c r="C1447" s="1" t="e">
        <f>LOOKUP(FoodData[[#This Row],[Score]],#REF!,#REF!)</f>
        <v>#REF!</v>
      </c>
      <c r="D1447" t="s">
        <v>2790</v>
      </c>
      <c r="E1447" t="s">
        <v>21</v>
      </c>
      <c r="F1447" t="s">
        <v>22</v>
      </c>
      <c r="G1447" t="s">
        <v>23</v>
      </c>
      <c r="H1447" t="s">
        <v>2892</v>
      </c>
      <c r="I1447" s="1" t="s">
        <v>25</v>
      </c>
      <c r="J1447" s="1" t="s">
        <v>25</v>
      </c>
      <c r="K1447" s="1" t="s">
        <v>25</v>
      </c>
      <c r="L1447" s="1" t="s">
        <v>25</v>
      </c>
      <c r="M1447" s="1" t="s">
        <v>25</v>
      </c>
      <c r="N1447" s="1" t="s">
        <v>26</v>
      </c>
      <c r="O1447" s="1" t="s">
        <v>25</v>
      </c>
      <c r="P1447" s="1" t="s">
        <v>25</v>
      </c>
      <c r="Q1447" s="1" t="s">
        <v>25</v>
      </c>
      <c r="R1447" s="1" t="s">
        <v>26</v>
      </c>
      <c r="S1447" s="2">
        <v>0</v>
      </c>
    </row>
    <row r="1448" spans="1:19" x14ac:dyDescent="0.3">
      <c r="A1448" t="s">
        <v>2893</v>
      </c>
      <c r="B1448" s="5" t="e" cm="1">
        <f t="array" ref="B1448">MAX(#REF!,MIN(#REF!,#REF!+SUMPRODUCT(--(FoodData[[#This Row],[Healthy]:[Refined]]="Yes"),#REF!)+FoodData[[#This Row],[Adjust]]))</f>
        <v>#REF!</v>
      </c>
      <c r="C1448" s="1" t="e">
        <f>LOOKUP(FoodData[[#This Row],[Score]],#REF!,#REF!)</f>
        <v>#REF!</v>
      </c>
      <c r="D1448" t="s">
        <v>2790</v>
      </c>
      <c r="E1448" t="s">
        <v>21</v>
      </c>
      <c r="F1448" t="s">
        <v>22</v>
      </c>
      <c r="G1448" t="s">
        <v>489</v>
      </c>
      <c r="H1448" t="s">
        <v>2894</v>
      </c>
      <c r="I1448" s="1" t="s">
        <v>25</v>
      </c>
      <c r="J1448" s="1" t="s">
        <v>25</v>
      </c>
      <c r="K1448" s="1" t="s">
        <v>25</v>
      </c>
      <c r="L1448" s="1" t="s">
        <v>25</v>
      </c>
      <c r="M1448" s="1" t="s">
        <v>26</v>
      </c>
      <c r="N1448" s="1" t="s">
        <v>25</v>
      </c>
      <c r="O1448" s="1" t="s">
        <v>26</v>
      </c>
      <c r="P1448" s="1" t="s">
        <v>25</v>
      </c>
      <c r="Q1448" s="1" t="s">
        <v>25</v>
      </c>
      <c r="R1448" s="1" t="s">
        <v>26</v>
      </c>
      <c r="S1448" s="2">
        <v>0</v>
      </c>
    </row>
    <row r="1449" spans="1:19" x14ac:dyDescent="0.3">
      <c r="A1449" t="s">
        <v>2895</v>
      </c>
      <c r="B1449" s="5" t="e" cm="1">
        <f t="array" ref="B1449">MAX(#REF!,MIN(#REF!,#REF!+SUMPRODUCT(--(FoodData[[#This Row],[Healthy]:[Refined]]="Yes"),#REF!)+FoodData[[#This Row],[Adjust]]))</f>
        <v>#REF!</v>
      </c>
      <c r="C1449" s="1" t="e">
        <f>LOOKUP(FoodData[[#This Row],[Score]],#REF!,#REF!)</f>
        <v>#REF!</v>
      </c>
      <c r="D1449" t="s">
        <v>2790</v>
      </c>
      <c r="E1449" t="s">
        <v>21</v>
      </c>
      <c r="F1449" t="s">
        <v>22</v>
      </c>
      <c r="G1449" t="s">
        <v>23</v>
      </c>
      <c r="H1449" t="s">
        <v>2896</v>
      </c>
      <c r="I1449" s="1" t="s">
        <v>26</v>
      </c>
      <c r="J1449" s="1" t="s">
        <v>26</v>
      </c>
      <c r="K1449" s="1" t="s">
        <v>25</v>
      </c>
      <c r="L1449" s="1" t="s">
        <v>25</v>
      </c>
      <c r="M1449" s="1" t="s">
        <v>25</v>
      </c>
      <c r="N1449" s="1" t="s">
        <v>25</v>
      </c>
      <c r="O1449" s="1" t="s">
        <v>25</v>
      </c>
      <c r="P1449" s="1" t="s">
        <v>25</v>
      </c>
      <c r="Q1449" s="1" t="s">
        <v>25</v>
      </c>
      <c r="R1449" s="1" t="s">
        <v>25</v>
      </c>
      <c r="S1449" s="2">
        <v>0</v>
      </c>
    </row>
    <row r="1450" spans="1:19" x14ac:dyDescent="0.3">
      <c r="A1450" t="s">
        <v>2897</v>
      </c>
      <c r="B1450" s="5" t="e" cm="1">
        <f t="array" ref="B1450">MAX(#REF!,MIN(#REF!,#REF!+SUMPRODUCT(--(FoodData[[#This Row],[Healthy]:[Refined]]="Yes"),#REF!)+FoodData[[#This Row],[Adjust]]))</f>
        <v>#REF!</v>
      </c>
      <c r="C1450" s="1" t="e">
        <f>LOOKUP(FoodData[[#This Row],[Score]],#REF!,#REF!)</f>
        <v>#REF!</v>
      </c>
      <c r="D1450" t="s">
        <v>2790</v>
      </c>
      <c r="E1450" t="s">
        <v>21</v>
      </c>
      <c r="F1450" t="s">
        <v>22</v>
      </c>
      <c r="G1450" t="s">
        <v>23</v>
      </c>
      <c r="H1450" t="s">
        <v>2898</v>
      </c>
      <c r="I1450" s="1" t="s">
        <v>25</v>
      </c>
      <c r="J1450" s="1" t="s">
        <v>25</v>
      </c>
      <c r="K1450" s="1" t="s">
        <v>25</v>
      </c>
      <c r="L1450" s="1" t="s">
        <v>25</v>
      </c>
      <c r="M1450" s="1" t="s">
        <v>25</v>
      </c>
      <c r="N1450" s="1" t="s">
        <v>26</v>
      </c>
      <c r="O1450" s="1" t="s">
        <v>25</v>
      </c>
      <c r="P1450" s="1" t="s">
        <v>25</v>
      </c>
      <c r="Q1450" s="1" t="s">
        <v>25</v>
      </c>
      <c r="R1450" s="1" t="s">
        <v>26</v>
      </c>
      <c r="S1450" s="2">
        <v>0</v>
      </c>
    </row>
    <row r="1451" spans="1:19" x14ac:dyDescent="0.3">
      <c r="A1451" t="s">
        <v>2899</v>
      </c>
      <c r="B1451" s="5" t="e" cm="1">
        <f t="array" ref="B1451">MAX(#REF!,MIN(#REF!,#REF!+SUMPRODUCT(--(FoodData[[#This Row],[Healthy]:[Refined]]="Yes"),#REF!)+FoodData[[#This Row],[Adjust]]))</f>
        <v>#REF!</v>
      </c>
      <c r="C1451" s="1" t="e">
        <f>LOOKUP(FoodData[[#This Row],[Score]],#REF!,#REF!)</f>
        <v>#REF!</v>
      </c>
      <c r="D1451" t="s">
        <v>2790</v>
      </c>
      <c r="E1451" t="s">
        <v>21</v>
      </c>
      <c r="F1451" t="s">
        <v>60</v>
      </c>
      <c r="G1451" t="s">
        <v>23</v>
      </c>
      <c r="H1451" t="s">
        <v>2900</v>
      </c>
      <c r="I1451" s="1" t="s">
        <v>25</v>
      </c>
      <c r="J1451" s="1" t="s">
        <v>25</v>
      </c>
      <c r="K1451" s="1" t="s">
        <v>26</v>
      </c>
      <c r="L1451" s="1" t="s">
        <v>25</v>
      </c>
      <c r="M1451" s="1" t="s">
        <v>25</v>
      </c>
      <c r="N1451" s="1" t="s">
        <v>26</v>
      </c>
      <c r="O1451" s="1" t="s">
        <v>25</v>
      </c>
      <c r="P1451" s="1" t="s">
        <v>25</v>
      </c>
      <c r="Q1451" s="1" t="s">
        <v>25</v>
      </c>
      <c r="R1451" s="1" t="s">
        <v>26</v>
      </c>
      <c r="S1451" s="2">
        <v>0</v>
      </c>
    </row>
    <row r="1452" spans="1:19" x14ac:dyDescent="0.3">
      <c r="A1452" t="s">
        <v>2901</v>
      </c>
      <c r="B1452" s="5" t="e" cm="1">
        <f t="array" ref="B1452">MAX(#REF!,MIN(#REF!,#REF!+SUMPRODUCT(--(FoodData[[#This Row],[Healthy]:[Refined]]="Yes"),#REF!)+FoodData[[#This Row],[Adjust]]))</f>
        <v>#REF!</v>
      </c>
      <c r="C1452" s="1" t="e">
        <f>LOOKUP(FoodData[[#This Row],[Score]],#REF!,#REF!)</f>
        <v>#REF!</v>
      </c>
      <c r="D1452" t="s">
        <v>2790</v>
      </c>
      <c r="E1452" t="s">
        <v>21</v>
      </c>
      <c r="F1452" t="s">
        <v>22</v>
      </c>
      <c r="G1452" t="s">
        <v>23</v>
      </c>
      <c r="H1452" t="s">
        <v>2902</v>
      </c>
      <c r="I1452" s="1" t="s">
        <v>25</v>
      </c>
      <c r="J1452" s="1" t="s">
        <v>25</v>
      </c>
      <c r="K1452" s="1" t="s">
        <v>25</v>
      </c>
      <c r="L1452" s="1" t="s">
        <v>25</v>
      </c>
      <c r="M1452" s="1" t="s">
        <v>25</v>
      </c>
      <c r="N1452" s="1" t="s">
        <v>26</v>
      </c>
      <c r="O1452" s="1" t="s">
        <v>26</v>
      </c>
      <c r="P1452" s="1" t="s">
        <v>25</v>
      </c>
      <c r="Q1452" s="1" t="s">
        <v>25</v>
      </c>
      <c r="R1452" s="1" t="s">
        <v>25</v>
      </c>
      <c r="S1452" s="2">
        <v>0</v>
      </c>
    </row>
    <row r="1453" spans="1:19" x14ac:dyDescent="0.3">
      <c r="A1453" t="s">
        <v>2903</v>
      </c>
      <c r="B1453" s="5" t="e" cm="1">
        <f t="array" ref="B1453">MAX(#REF!,MIN(#REF!,#REF!+SUMPRODUCT(--(FoodData[[#This Row],[Healthy]:[Refined]]="Yes"),#REF!)+FoodData[[#This Row],[Adjust]]))</f>
        <v>#REF!</v>
      </c>
      <c r="C1453" s="1" t="e">
        <f>LOOKUP(FoodData[[#This Row],[Score]],#REF!,#REF!)</f>
        <v>#REF!</v>
      </c>
      <c r="D1453" t="s">
        <v>2790</v>
      </c>
      <c r="E1453" t="s">
        <v>21</v>
      </c>
      <c r="F1453" t="s">
        <v>22</v>
      </c>
      <c r="G1453" t="s">
        <v>23</v>
      </c>
      <c r="H1453" t="s">
        <v>2904</v>
      </c>
      <c r="I1453" s="1" t="s">
        <v>25</v>
      </c>
      <c r="J1453" s="1" t="s">
        <v>25</v>
      </c>
      <c r="K1453" s="1" t="s">
        <v>25</v>
      </c>
      <c r="L1453" s="1" t="s">
        <v>25</v>
      </c>
      <c r="M1453" s="1" t="s">
        <v>25</v>
      </c>
      <c r="N1453" s="1" t="s">
        <v>26</v>
      </c>
      <c r="O1453" s="1" t="s">
        <v>25</v>
      </c>
      <c r="P1453" s="1" t="s">
        <v>26</v>
      </c>
      <c r="Q1453" s="1" t="s">
        <v>25</v>
      </c>
      <c r="R1453" s="1" t="s">
        <v>26</v>
      </c>
      <c r="S1453" s="2">
        <v>0</v>
      </c>
    </row>
    <row r="1454" spans="1:19" x14ac:dyDescent="0.3">
      <c r="A1454" t="s">
        <v>2905</v>
      </c>
      <c r="B1454" s="5" t="e" cm="1">
        <f t="array" ref="B1454">MAX(#REF!,MIN(#REF!,#REF!+SUMPRODUCT(--(FoodData[[#This Row],[Healthy]:[Refined]]="Yes"),#REF!)+FoodData[[#This Row],[Adjust]]))</f>
        <v>#REF!</v>
      </c>
      <c r="C1454" s="1" t="e">
        <f>LOOKUP(FoodData[[#This Row],[Score]],#REF!,#REF!)</f>
        <v>#REF!</v>
      </c>
      <c r="D1454" t="s">
        <v>2790</v>
      </c>
      <c r="E1454" t="s">
        <v>21</v>
      </c>
      <c r="F1454" t="s">
        <v>22</v>
      </c>
      <c r="G1454" t="s">
        <v>23</v>
      </c>
      <c r="H1454" t="s">
        <v>2906</v>
      </c>
      <c r="I1454" s="1" t="s">
        <v>25</v>
      </c>
      <c r="J1454" s="1" t="s">
        <v>25</v>
      </c>
      <c r="K1454" s="1" t="s">
        <v>25</v>
      </c>
      <c r="L1454" s="1" t="s">
        <v>25</v>
      </c>
      <c r="M1454" s="1" t="s">
        <v>25</v>
      </c>
      <c r="N1454" s="1" t="s">
        <v>26</v>
      </c>
      <c r="O1454" s="1" t="s">
        <v>25</v>
      </c>
      <c r="P1454" s="1" t="s">
        <v>26</v>
      </c>
      <c r="Q1454" s="1" t="s">
        <v>25</v>
      </c>
      <c r="R1454" s="1" t="s">
        <v>25</v>
      </c>
      <c r="S1454" s="2">
        <v>0</v>
      </c>
    </row>
    <row r="1455" spans="1:19" x14ac:dyDescent="0.3">
      <c r="A1455" t="s">
        <v>2907</v>
      </c>
      <c r="B1455" s="5" t="e" cm="1">
        <f t="array" ref="B1455">MAX(#REF!,MIN(#REF!,#REF!+SUMPRODUCT(--(FoodData[[#This Row],[Healthy]:[Refined]]="Yes"),#REF!)+FoodData[[#This Row],[Adjust]]))</f>
        <v>#REF!</v>
      </c>
      <c r="C1455" s="1" t="e">
        <f>LOOKUP(FoodData[[#This Row],[Score]],#REF!,#REF!)</f>
        <v>#REF!</v>
      </c>
      <c r="D1455" t="s">
        <v>2790</v>
      </c>
      <c r="E1455" t="s">
        <v>63</v>
      </c>
      <c r="F1455" t="s">
        <v>22</v>
      </c>
      <c r="G1455" t="s">
        <v>23</v>
      </c>
      <c r="H1455" t="s">
        <v>2908</v>
      </c>
      <c r="I1455" s="1" t="s">
        <v>26</v>
      </c>
      <c r="J1455" s="1" t="s">
        <v>26</v>
      </c>
      <c r="K1455" s="1" t="s">
        <v>26</v>
      </c>
      <c r="L1455" s="1" t="s">
        <v>26</v>
      </c>
      <c r="M1455" s="1" t="s">
        <v>25</v>
      </c>
      <c r="N1455" s="1" t="s">
        <v>25</v>
      </c>
      <c r="O1455" s="1" t="s">
        <v>25</v>
      </c>
      <c r="P1455" s="1" t="s">
        <v>25</v>
      </c>
      <c r="Q1455" s="1" t="s">
        <v>25</v>
      </c>
      <c r="R1455" s="1" t="s">
        <v>25</v>
      </c>
      <c r="S1455" s="2">
        <v>0</v>
      </c>
    </row>
    <row r="1456" spans="1:19" x14ac:dyDescent="0.3">
      <c r="A1456" t="s">
        <v>2909</v>
      </c>
      <c r="B1456" s="5" t="e" cm="1">
        <f t="array" ref="B1456">MAX(#REF!,MIN(#REF!,#REF!+SUMPRODUCT(--(FoodData[[#This Row],[Healthy]:[Refined]]="Yes"),#REF!)+FoodData[[#This Row],[Adjust]]))</f>
        <v>#REF!</v>
      </c>
      <c r="C1456" s="1" t="e">
        <f>LOOKUP(FoodData[[#This Row],[Score]],#REF!,#REF!)</f>
        <v>#REF!</v>
      </c>
      <c r="D1456" t="s">
        <v>2790</v>
      </c>
      <c r="E1456" t="s">
        <v>21</v>
      </c>
      <c r="F1456" t="s">
        <v>22</v>
      </c>
      <c r="G1456" t="s">
        <v>23</v>
      </c>
      <c r="H1456" t="s">
        <v>1537</v>
      </c>
      <c r="I1456" s="1" t="s">
        <v>26</v>
      </c>
      <c r="J1456" s="1" t="s">
        <v>26</v>
      </c>
      <c r="K1456" s="1" t="s">
        <v>25</v>
      </c>
      <c r="L1456" s="1" t="s">
        <v>26</v>
      </c>
      <c r="M1456" s="1" t="s">
        <v>25</v>
      </c>
      <c r="N1456" s="1" t="s">
        <v>25</v>
      </c>
      <c r="O1456" s="1" t="s">
        <v>25</v>
      </c>
      <c r="P1456" s="1" t="s">
        <v>25</v>
      </c>
      <c r="Q1456" s="1" t="s">
        <v>25</v>
      </c>
      <c r="R1456" s="1" t="s">
        <v>25</v>
      </c>
      <c r="S1456" s="2">
        <v>0</v>
      </c>
    </row>
    <row r="1457" spans="1:19" x14ac:dyDescent="0.3">
      <c r="A1457" t="s">
        <v>2910</v>
      </c>
      <c r="B1457" s="5" t="e" cm="1">
        <f t="array" ref="B1457">MAX(#REF!,MIN(#REF!,#REF!+SUMPRODUCT(--(FoodData[[#This Row],[Healthy]:[Refined]]="Yes"),#REF!)+FoodData[[#This Row],[Adjust]]))</f>
        <v>#REF!</v>
      </c>
      <c r="C1457" s="1" t="e">
        <f>LOOKUP(FoodData[[#This Row],[Score]],#REF!,#REF!)</f>
        <v>#REF!</v>
      </c>
      <c r="D1457" t="s">
        <v>2790</v>
      </c>
      <c r="E1457" t="s">
        <v>21</v>
      </c>
      <c r="F1457" t="s">
        <v>60</v>
      </c>
      <c r="G1457" t="s">
        <v>23</v>
      </c>
      <c r="H1457" t="s">
        <v>2844</v>
      </c>
      <c r="I1457" s="1" t="s">
        <v>26</v>
      </c>
      <c r="J1457" s="1" t="s">
        <v>25</v>
      </c>
      <c r="K1457" s="1" t="s">
        <v>26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25</v>
      </c>
      <c r="Q1457" s="1" t="s">
        <v>25</v>
      </c>
      <c r="R1457" s="1" t="s">
        <v>25</v>
      </c>
      <c r="S1457" s="2">
        <v>0</v>
      </c>
    </row>
    <row r="1458" spans="1:19" x14ac:dyDescent="0.3">
      <c r="A1458" t="s">
        <v>2911</v>
      </c>
      <c r="B1458" s="5" t="e" cm="1">
        <f t="array" ref="B1458">MAX(#REF!,MIN(#REF!,#REF!+SUMPRODUCT(--(FoodData[[#This Row],[Healthy]:[Refined]]="Yes"),#REF!)+FoodData[[#This Row],[Adjust]]))</f>
        <v>#REF!</v>
      </c>
      <c r="C1458" s="1" t="e">
        <f>LOOKUP(FoodData[[#This Row],[Score]],#REF!,#REF!)</f>
        <v>#REF!</v>
      </c>
      <c r="D1458" t="s">
        <v>2790</v>
      </c>
      <c r="E1458" t="s">
        <v>21</v>
      </c>
      <c r="F1458" t="s">
        <v>22</v>
      </c>
      <c r="G1458" t="s">
        <v>23</v>
      </c>
      <c r="H1458" t="s">
        <v>2912</v>
      </c>
      <c r="I1458" s="1" t="s">
        <v>25</v>
      </c>
      <c r="J1458" s="1" t="s">
        <v>25</v>
      </c>
      <c r="K1458" s="1" t="s">
        <v>26</v>
      </c>
      <c r="L1458" s="1" t="s">
        <v>25</v>
      </c>
      <c r="M1458" s="1" t="s">
        <v>25</v>
      </c>
      <c r="N1458" s="1" t="s">
        <v>26</v>
      </c>
      <c r="O1458" s="1" t="s">
        <v>25</v>
      </c>
      <c r="P1458" s="1" t="s">
        <v>26</v>
      </c>
      <c r="Q1458" s="1" t="s">
        <v>25</v>
      </c>
      <c r="R1458" s="1" t="s">
        <v>25</v>
      </c>
      <c r="S1458" s="2">
        <v>0</v>
      </c>
    </row>
    <row r="1459" spans="1:19" x14ac:dyDescent="0.3">
      <c r="A1459" t="s">
        <v>2913</v>
      </c>
      <c r="B1459" s="5" t="e" cm="1">
        <f t="array" ref="B1459">MAX(#REF!,MIN(#REF!,#REF!+SUMPRODUCT(--(FoodData[[#This Row],[Healthy]:[Refined]]="Yes"),#REF!)+FoodData[[#This Row],[Adjust]]))</f>
        <v>#REF!</v>
      </c>
      <c r="C1459" s="1" t="e">
        <f>LOOKUP(FoodData[[#This Row],[Score]],#REF!,#REF!)</f>
        <v>#REF!</v>
      </c>
      <c r="D1459" t="s">
        <v>2790</v>
      </c>
      <c r="E1459" t="s">
        <v>63</v>
      </c>
      <c r="F1459" t="s">
        <v>22</v>
      </c>
      <c r="G1459" t="s">
        <v>23</v>
      </c>
      <c r="H1459" t="s">
        <v>2914</v>
      </c>
      <c r="I1459" s="1" t="s">
        <v>25</v>
      </c>
      <c r="J1459" s="1" t="s">
        <v>25</v>
      </c>
      <c r="K1459" s="1" t="s">
        <v>26</v>
      </c>
      <c r="L1459" s="1" t="s">
        <v>26</v>
      </c>
      <c r="M1459" s="1" t="s">
        <v>25</v>
      </c>
      <c r="N1459" s="1" t="s">
        <v>26</v>
      </c>
      <c r="O1459" s="1" t="s">
        <v>25</v>
      </c>
      <c r="P1459" s="1" t="s">
        <v>26</v>
      </c>
      <c r="Q1459" s="1" t="s">
        <v>26</v>
      </c>
      <c r="R1459" s="1" t="s">
        <v>25</v>
      </c>
      <c r="S1459" s="2">
        <v>0</v>
      </c>
    </row>
    <row r="1460" spans="1:19" x14ac:dyDescent="0.3">
      <c r="A1460" t="s">
        <v>2915</v>
      </c>
      <c r="B1460" s="5" t="e" cm="1">
        <f t="array" ref="B1460">MAX(#REF!,MIN(#REF!,#REF!+SUMPRODUCT(--(FoodData[[#This Row],[Healthy]:[Refined]]="Yes"),#REF!)+FoodData[[#This Row],[Adjust]]))</f>
        <v>#REF!</v>
      </c>
      <c r="C1460" s="1" t="e">
        <f>LOOKUP(FoodData[[#This Row],[Score]],#REF!,#REF!)</f>
        <v>#REF!</v>
      </c>
      <c r="D1460" t="s">
        <v>2790</v>
      </c>
      <c r="E1460" t="s">
        <v>21</v>
      </c>
      <c r="F1460" t="s">
        <v>22</v>
      </c>
      <c r="G1460" t="s">
        <v>23</v>
      </c>
      <c r="H1460" t="s">
        <v>2916</v>
      </c>
      <c r="I1460" s="1" t="s">
        <v>25</v>
      </c>
      <c r="J1460" s="1" t="s">
        <v>25</v>
      </c>
      <c r="K1460" s="1" t="s">
        <v>26</v>
      </c>
      <c r="L1460" s="1" t="s">
        <v>26</v>
      </c>
      <c r="M1460" s="1" t="s">
        <v>25</v>
      </c>
      <c r="N1460" s="1" t="s">
        <v>26</v>
      </c>
      <c r="O1460" s="1" t="s">
        <v>25</v>
      </c>
      <c r="P1460" s="1" t="s">
        <v>26</v>
      </c>
      <c r="Q1460" s="1" t="s">
        <v>25</v>
      </c>
      <c r="R1460" s="1" t="s">
        <v>25</v>
      </c>
      <c r="S1460" s="2">
        <v>0</v>
      </c>
    </row>
    <row r="1461" spans="1:19" x14ac:dyDescent="0.3">
      <c r="A1461" t="s">
        <v>2917</v>
      </c>
      <c r="B1461" s="5" t="e" cm="1">
        <f t="array" ref="B1461">MAX(#REF!,MIN(#REF!,#REF!+SUMPRODUCT(--(FoodData[[#This Row],[Healthy]:[Refined]]="Yes"),#REF!)+FoodData[[#This Row],[Adjust]]))</f>
        <v>#REF!</v>
      </c>
      <c r="C1461" s="1" t="e">
        <f>LOOKUP(FoodData[[#This Row],[Score]],#REF!,#REF!)</f>
        <v>#REF!</v>
      </c>
      <c r="D1461" t="s">
        <v>2790</v>
      </c>
      <c r="E1461" t="s">
        <v>21</v>
      </c>
      <c r="F1461" t="s">
        <v>22</v>
      </c>
      <c r="G1461" t="s">
        <v>23</v>
      </c>
      <c r="H1461" t="s">
        <v>2918</v>
      </c>
      <c r="I1461" s="1" t="s">
        <v>25</v>
      </c>
      <c r="J1461" s="1" t="s">
        <v>26</v>
      </c>
      <c r="K1461" s="1" t="s">
        <v>25</v>
      </c>
      <c r="L1461" s="1" t="s">
        <v>26</v>
      </c>
      <c r="M1461" s="1" t="s">
        <v>25</v>
      </c>
      <c r="N1461" s="1" t="s">
        <v>26</v>
      </c>
      <c r="O1461" s="1" t="s">
        <v>25</v>
      </c>
      <c r="P1461" s="1" t="s">
        <v>25</v>
      </c>
      <c r="Q1461" s="1" t="s">
        <v>25</v>
      </c>
      <c r="R1461" s="1" t="s">
        <v>25</v>
      </c>
      <c r="S1461" s="2">
        <v>0</v>
      </c>
    </row>
    <row r="1462" spans="1:19" x14ac:dyDescent="0.3">
      <c r="A1462" t="s">
        <v>2919</v>
      </c>
      <c r="B1462" s="5" t="e" cm="1">
        <f t="array" ref="B1462">MAX(#REF!,MIN(#REF!,#REF!+SUMPRODUCT(--(FoodData[[#This Row],[Healthy]:[Refined]]="Yes"),#REF!)+FoodData[[#This Row],[Adjust]]))</f>
        <v>#REF!</v>
      </c>
      <c r="C1462" s="1" t="e">
        <f>LOOKUP(FoodData[[#This Row],[Score]],#REF!,#REF!)</f>
        <v>#REF!</v>
      </c>
      <c r="D1462" t="s">
        <v>2790</v>
      </c>
      <c r="E1462" t="s">
        <v>21</v>
      </c>
      <c r="F1462" t="s">
        <v>22</v>
      </c>
      <c r="G1462" t="s">
        <v>23</v>
      </c>
      <c r="H1462" t="s">
        <v>2920</v>
      </c>
      <c r="I1462" s="1" t="s">
        <v>25</v>
      </c>
      <c r="J1462" s="1" t="s">
        <v>26</v>
      </c>
      <c r="K1462" s="1" t="s">
        <v>25</v>
      </c>
      <c r="L1462" s="1" t="s">
        <v>26</v>
      </c>
      <c r="M1462" s="1" t="s">
        <v>25</v>
      </c>
      <c r="N1462" s="1" t="s">
        <v>26</v>
      </c>
      <c r="O1462" s="1" t="s">
        <v>25</v>
      </c>
      <c r="P1462" s="1" t="s">
        <v>25</v>
      </c>
      <c r="Q1462" s="1" t="s">
        <v>25</v>
      </c>
      <c r="R1462" s="1" t="s">
        <v>25</v>
      </c>
      <c r="S1462" s="2">
        <v>0</v>
      </c>
    </row>
    <row r="1463" spans="1:19" x14ac:dyDescent="0.3">
      <c r="A1463" t="s">
        <v>2921</v>
      </c>
      <c r="B1463" s="5" t="e" cm="1">
        <f t="array" ref="B1463">MAX(#REF!,MIN(#REF!,#REF!+SUMPRODUCT(--(FoodData[[#This Row],[Healthy]:[Refined]]="Yes"),#REF!)+FoodData[[#This Row],[Adjust]]))</f>
        <v>#REF!</v>
      </c>
      <c r="C1463" s="1" t="e">
        <f>LOOKUP(FoodData[[#This Row],[Score]],#REF!,#REF!)</f>
        <v>#REF!</v>
      </c>
      <c r="D1463" t="s">
        <v>2790</v>
      </c>
      <c r="E1463" t="s">
        <v>21</v>
      </c>
      <c r="F1463" t="s">
        <v>22</v>
      </c>
      <c r="G1463" t="s">
        <v>23</v>
      </c>
      <c r="H1463" t="s">
        <v>2922</v>
      </c>
      <c r="I1463" s="1" t="s">
        <v>26</v>
      </c>
      <c r="J1463" s="1" t="s">
        <v>26</v>
      </c>
      <c r="K1463" s="1" t="s">
        <v>25</v>
      </c>
      <c r="L1463" s="1" t="s">
        <v>26</v>
      </c>
      <c r="M1463" s="1" t="s">
        <v>25</v>
      </c>
      <c r="N1463" s="1" t="s">
        <v>25</v>
      </c>
      <c r="O1463" s="1" t="s">
        <v>25</v>
      </c>
      <c r="P1463" s="1" t="s">
        <v>25</v>
      </c>
      <c r="Q1463" s="1" t="s">
        <v>25</v>
      </c>
      <c r="R1463" s="1" t="s">
        <v>25</v>
      </c>
      <c r="S1463" s="2">
        <v>0</v>
      </c>
    </row>
    <row r="1464" spans="1:19" x14ac:dyDescent="0.3">
      <c r="A1464" t="s">
        <v>2923</v>
      </c>
      <c r="B1464" s="5" t="e" cm="1">
        <f t="array" ref="B1464">MAX(#REF!,MIN(#REF!,#REF!+SUMPRODUCT(--(FoodData[[#This Row],[Healthy]:[Refined]]="Yes"),#REF!)+FoodData[[#This Row],[Adjust]]))</f>
        <v>#REF!</v>
      </c>
      <c r="C1464" s="1" t="e">
        <f>LOOKUP(FoodData[[#This Row],[Score]],#REF!,#REF!)</f>
        <v>#REF!</v>
      </c>
      <c r="D1464" t="s">
        <v>2790</v>
      </c>
      <c r="E1464" t="s">
        <v>21</v>
      </c>
      <c r="F1464" t="s">
        <v>22</v>
      </c>
      <c r="G1464" t="s">
        <v>23</v>
      </c>
      <c r="H1464" t="s">
        <v>2924</v>
      </c>
      <c r="I1464" s="1" t="s">
        <v>26</v>
      </c>
      <c r="J1464" s="1" t="s">
        <v>26</v>
      </c>
      <c r="K1464" s="1" t="s">
        <v>26</v>
      </c>
      <c r="L1464" s="1" t="s">
        <v>26</v>
      </c>
      <c r="M1464" s="1" t="s">
        <v>25</v>
      </c>
      <c r="N1464" s="1" t="s">
        <v>25</v>
      </c>
      <c r="O1464" s="1" t="s">
        <v>25</v>
      </c>
      <c r="P1464" s="1" t="s">
        <v>25</v>
      </c>
      <c r="Q1464" s="1" t="s">
        <v>25</v>
      </c>
      <c r="R1464" s="1" t="s">
        <v>25</v>
      </c>
      <c r="S1464" s="2">
        <v>0</v>
      </c>
    </row>
    <row r="1465" spans="1:19" x14ac:dyDescent="0.3">
      <c r="A1465" t="s">
        <v>2925</v>
      </c>
      <c r="B1465" s="5" t="e" cm="1">
        <f t="array" ref="B1465">MAX(#REF!,MIN(#REF!,#REF!+SUMPRODUCT(--(FoodData[[#This Row],[Healthy]:[Refined]]="Yes"),#REF!)+FoodData[[#This Row],[Adjust]]))</f>
        <v>#REF!</v>
      </c>
      <c r="C1465" s="1" t="e">
        <f>LOOKUP(FoodData[[#This Row],[Score]],#REF!,#REF!)</f>
        <v>#REF!</v>
      </c>
      <c r="D1465" t="s">
        <v>2790</v>
      </c>
      <c r="E1465" t="s">
        <v>21</v>
      </c>
      <c r="F1465" t="s">
        <v>22</v>
      </c>
      <c r="G1465" t="s">
        <v>23</v>
      </c>
      <c r="H1465" t="s">
        <v>2926</v>
      </c>
      <c r="I1465" s="1" t="s">
        <v>26</v>
      </c>
      <c r="J1465" s="1" t="s">
        <v>26</v>
      </c>
      <c r="K1465" s="1" t="s">
        <v>25</v>
      </c>
      <c r="L1465" s="1" t="s">
        <v>26</v>
      </c>
      <c r="M1465" s="1" t="s">
        <v>25</v>
      </c>
      <c r="N1465" s="1" t="s">
        <v>25</v>
      </c>
      <c r="O1465" s="1" t="s">
        <v>25</v>
      </c>
      <c r="P1465" s="1" t="s">
        <v>25</v>
      </c>
      <c r="Q1465" s="1" t="s">
        <v>25</v>
      </c>
      <c r="R1465" s="1" t="s">
        <v>25</v>
      </c>
      <c r="S1465" s="2">
        <v>0</v>
      </c>
    </row>
    <row r="1466" spans="1:19" x14ac:dyDescent="0.3">
      <c r="A1466" t="s">
        <v>2927</v>
      </c>
      <c r="B1466" s="5" t="e" cm="1">
        <f t="array" ref="B1466">MAX(#REF!,MIN(#REF!,#REF!+SUMPRODUCT(--(FoodData[[#This Row],[Healthy]:[Refined]]="Yes"),#REF!)+FoodData[[#This Row],[Adjust]]))</f>
        <v>#REF!</v>
      </c>
      <c r="C1466" s="1" t="e">
        <f>LOOKUP(FoodData[[#This Row],[Score]],#REF!,#REF!)</f>
        <v>#REF!</v>
      </c>
      <c r="D1466" t="s">
        <v>2790</v>
      </c>
      <c r="E1466" t="s">
        <v>21</v>
      </c>
      <c r="F1466" t="s">
        <v>22</v>
      </c>
      <c r="G1466" t="s">
        <v>23</v>
      </c>
      <c r="H1466" t="s">
        <v>2928</v>
      </c>
      <c r="I1466" s="1" t="s">
        <v>26</v>
      </c>
      <c r="J1466" s="1" t="s">
        <v>26</v>
      </c>
      <c r="K1466" s="1" t="s">
        <v>26</v>
      </c>
      <c r="L1466" s="1" t="s">
        <v>26</v>
      </c>
      <c r="M1466" s="1" t="s">
        <v>25</v>
      </c>
      <c r="N1466" s="1" t="s">
        <v>25</v>
      </c>
      <c r="O1466" s="1" t="s">
        <v>25</v>
      </c>
      <c r="P1466" s="1" t="s">
        <v>25</v>
      </c>
      <c r="Q1466" s="1" t="s">
        <v>25</v>
      </c>
      <c r="R1466" s="1" t="s">
        <v>25</v>
      </c>
      <c r="S1466" s="2">
        <v>0</v>
      </c>
    </row>
    <row r="1467" spans="1:19" x14ac:dyDescent="0.3">
      <c r="A1467" t="s">
        <v>2929</v>
      </c>
      <c r="B1467" s="5" t="e" cm="1">
        <f t="array" ref="B1467">MAX(#REF!,MIN(#REF!,#REF!+SUMPRODUCT(--(FoodData[[#This Row],[Healthy]:[Refined]]="Yes"),#REF!)+FoodData[[#This Row],[Adjust]]))</f>
        <v>#REF!</v>
      </c>
      <c r="C1467" s="1" t="e">
        <f>LOOKUP(FoodData[[#This Row],[Score]],#REF!,#REF!)</f>
        <v>#REF!</v>
      </c>
      <c r="D1467" t="s">
        <v>2790</v>
      </c>
      <c r="E1467" t="s">
        <v>21</v>
      </c>
      <c r="F1467" t="s">
        <v>22</v>
      </c>
      <c r="G1467" t="s">
        <v>23</v>
      </c>
      <c r="H1467" t="s">
        <v>2930</v>
      </c>
      <c r="I1467" s="1" t="s">
        <v>26</v>
      </c>
      <c r="J1467" s="1" t="s">
        <v>26</v>
      </c>
      <c r="K1467" s="1" t="s">
        <v>26</v>
      </c>
      <c r="L1467" s="1" t="s">
        <v>26</v>
      </c>
      <c r="M1467" s="1" t="s">
        <v>25</v>
      </c>
      <c r="N1467" s="1" t="s">
        <v>25</v>
      </c>
      <c r="O1467" s="1" t="s">
        <v>25</v>
      </c>
      <c r="P1467" s="1" t="s">
        <v>25</v>
      </c>
      <c r="Q1467" s="1" t="s">
        <v>25</v>
      </c>
      <c r="R1467" s="1" t="s">
        <v>25</v>
      </c>
      <c r="S1467" s="2">
        <v>0</v>
      </c>
    </row>
    <row r="1468" spans="1:19" x14ac:dyDescent="0.3">
      <c r="A1468" t="s">
        <v>2931</v>
      </c>
      <c r="B1468" s="5" t="e" cm="1">
        <f t="array" ref="B1468">MAX(#REF!,MIN(#REF!,#REF!+SUMPRODUCT(--(FoodData[[#This Row],[Healthy]:[Refined]]="Yes"),#REF!)+FoodData[[#This Row],[Adjust]]))</f>
        <v>#REF!</v>
      </c>
      <c r="C1468" s="1" t="e">
        <f>LOOKUP(FoodData[[#This Row],[Score]],#REF!,#REF!)</f>
        <v>#REF!</v>
      </c>
      <c r="D1468" t="s">
        <v>2790</v>
      </c>
      <c r="E1468" t="s">
        <v>21</v>
      </c>
      <c r="F1468" t="s">
        <v>22</v>
      </c>
      <c r="G1468" t="s">
        <v>23</v>
      </c>
      <c r="H1468" t="s">
        <v>2932</v>
      </c>
      <c r="I1468" s="1" t="s">
        <v>26</v>
      </c>
      <c r="J1468" s="1" t="s">
        <v>26</v>
      </c>
      <c r="K1468" s="1" t="s">
        <v>26</v>
      </c>
      <c r="L1468" s="1" t="s">
        <v>26</v>
      </c>
      <c r="M1468" s="1" t="s">
        <v>25</v>
      </c>
      <c r="N1468" s="1" t="s">
        <v>25</v>
      </c>
      <c r="O1468" s="1" t="s">
        <v>25</v>
      </c>
      <c r="P1468" s="1" t="s">
        <v>25</v>
      </c>
      <c r="Q1468" s="1" t="s">
        <v>25</v>
      </c>
      <c r="R1468" s="1" t="s">
        <v>25</v>
      </c>
      <c r="S1468" s="2">
        <v>0</v>
      </c>
    </row>
    <row r="1469" spans="1:19" x14ac:dyDescent="0.3">
      <c r="A1469" t="s">
        <v>2933</v>
      </c>
      <c r="B1469" s="5" t="e" cm="1">
        <f t="array" ref="B1469">MAX(#REF!,MIN(#REF!,#REF!+SUMPRODUCT(--(FoodData[[#This Row],[Healthy]:[Refined]]="Yes"),#REF!)+FoodData[[#This Row],[Adjust]]))</f>
        <v>#REF!</v>
      </c>
      <c r="C1469" s="1" t="e">
        <f>LOOKUP(FoodData[[#This Row],[Score]],#REF!,#REF!)</f>
        <v>#REF!</v>
      </c>
      <c r="D1469" t="s">
        <v>2790</v>
      </c>
      <c r="E1469" t="s">
        <v>21</v>
      </c>
      <c r="F1469" t="s">
        <v>22</v>
      </c>
      <c r="G1469" t="s">
        <v>23</v>
      </c>
      <c r="H1469" t="s">
        <v>2934</v>
      </c>
      <c r="I1469" s="1" t="s">
        <v>26</v>
      </c>
      <c r="J1469" s="1" t="s">
        <v>26</v>
      </c>
      <c r="K1469" s="1" t="s">
        <v>25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25</v>
      </c>
      <c r="Q1469" s="1" t="s">
        <v>25</v>
      </c>
      <c r="R1469" s="1" t="s">
        <v>25</v>
      </c>
      <c r="S1469" s="2">
        <v>0</v>
      </c>
    </row>
    <row r="1470" spans="1:19" x14ac:dyDescent="0.3">
      <c r="A1470" t="s">
        <v>2935</v>
      </c>
      <c r="B1470" s="5" t="e" cm="1">
        <f t="array" ref="B1470">MAX(#REF!,MIN(#REF!,#REF!+SUMPRODUCT(--(FoodData[[#This Row],[Healthy]:[Refined]]="Yes"),#REF!)+FoodData[[#This Row],[Adjust]]))</f>
        <v>#REF!</v>
      </c>
      <c r="C1470" s="1" t="e">
        <f>LOOKUP(FoodData[[#This Row],[Score]],#REF!,#REF!)</f>
        <v>#REF!</v>
      </c>
      <c r="D1470" t="s">
        <v>2790</v>
      </c>
      <c r="E1470" t="s">
        <v>21</v>
      </c>
      <c r="F1470" t="s">
        <v>22</v>
      </c>
      <c r="G1470" t="s">
        <v>23</v>
      </c>
      <c r="H1470" t="s">
        <v>2936</v>
      </c>
      <c r="I1470" s="1" t="s">
        <v>25</v>
      </c>
      <c r="J1470" s="1" t="s">
        <v>26</v>
      </c>
      <c r="K1470" s="1" t="s">
        <v>25</v>
      </c>
      <c r="L1470" s="1" t="s">
        <v>25</v>
      </c>
      <c r="M1470" s="1" t="s">
        <v>25</v>
      </c>
      <c r="N1470" s="1" t="s">
        <v>26</v>
      </c>
      <c r="O1470" s="1" t="s">
        <v>25</v>
      </c>
      <c r="P1470" s="1" t="s">
        <v>25</v>
      </c>
      <c r="Q1470" s="1" t="s">
        <v>25</v>
      </c>
      <c r="R1470" s="1" t="s">
        <v>25</v>
      </c>
      <c r="S1470" s="2">
        <v>0</v>
      </c>
    </row>
    <row r="1471" spans="1:19" x14ac:dyDescent="0.3">
      <c r="A1471" t="s">
        <v>2937</v>
      </c>
      <c r="B1471" s="5" t="e" cm="1">
        <f t="array" ref="B1471">MAX(#REF!,MIN(#REF!,#REF!+SUMPRODUCT(--(FoodData[[#This Row],[Healthy]:[Refined]]="Yes"),#REF!)+FoodData[[#This Row],[Adjust]]))</f>
        <v>#REF!</v>
      </c>
      <c r="C1471" s="1" t="e">
        <f>LOOKUP(FoodData[[#This Row],[Score]],#REF!,#REF!)</f>
        <v>#REF!</v>
      </c>
      <c r="D1471" t="s">
        <v>2790</v>
      </c>
      <c r="E1471" t="s">
        <v>21</v>
      </c>
      <c r="F1471" t="s">
        <v>22</v>
      </c>
      <c r="G1471" t="s">
        <v>23</v>
      </c>
      <c r="H1471" t="s">
        <v>2938</v>
      </c>
      <c r="I1471" s="1" t="s">
        <v>25</v>
      </c>
      <c r="J1471" s="1" t="s">
        <v>26</v>
      </c>
      <c r="K1471" s="1" t="s">
        <v>25</v>
      </c>
      <c r="L1471" s="1" t="s">
        <v>25</v>
      </c>
      <c r="M1471" s="1" t="s">
        <v>25</v>
      </c>
      <c r="N1471" s="1" t="s">
        <v>25</v>
      </c>
      <c r="O1471" s="1" t="s">
        <v>25</v>
      </c>
      <c r="P1471" s="1" t="s">
        <v>25</v>
      </c>
      <c r="Q1471" s="1" t="s">
        <v>25</v>
      </c>
      <c r="R1471" s="1" t="s">
        <v>25</v>
      </c>
      <c r="S1471" s="2">
        <v>0</v>
      </c>
    </row>
    <row r="1472" spans="1:19" x14ac:dyDescent="0.3">
      <c r="A1472" t="s">
        <v>2939</v>
      </c>
      <c r="B1472" s="5" t="e" cm="1">
        <f t="array" ref="B1472">MAX(#REF!,MIN(#REF!,#REF!+SUMPRODUCT(--(FoodData[[#This Row],[Healthy]:[Refined]]="Yes"),#REF!)+FoodData[[#This Row],[Adjust]]))</f>
        <v>#REF!</v>
      </c>
      <c r="C1472" s="1" t="e">
        <f>LOOKUP(FoodData[[#This Row],[Score]],#REF!,#REF!)</f>
        <v>#REF!</v>
      </c>
      <c r="D1472" t="s">
        <v>2790</v>
      </c>
      <c r="E1472" t="s">
        <v>21</v>
      </c>
      <c r="F1472" t="s">
        <v>22</v>
      </c>
      <c r="G1472" t="s">
        <v>23</v>
      </c>
      <c r="H1472" t="s">
        <v>2940</v>
      </c>
      <c r="I1472" s="1" t="s">
        <v>25</v>
      </c>
      <c r="J1472" s="1" t="s">
        <v>25</v>
      </c>
      <c r="K1472" s="1" t="s">
        <v>25</v>
      </c>
      <c r="L1472" s="1" t="s">
        <v>25</v>
      </c>
      <c r="M1472" s="1" t="s">
        <v>26</v>
      </c>
      <c r="N1472" s="1" t="s">
        <v>25</v>
      </c>
      <c r="O1472" s="1" t="s">
        <v>26</v>
      </c>
      <c r="P1472" s="1" t="s">
        <v>26</v>
      </c>
      <c r="Q1472" s="1" t="s">
        <v>25</v>
      </c>
      <c r="R1472" s="1" t="s">
        <v>25</v>
      </c>
      <c r="S1472" s="2">
        <v>0</v>
      </c>
    </row>
    <row r="1473" spans="1:19" x14ac:dyDescent="0.3">
      <c r="A1473" t="s">
        <v>2941</v>
      </c>
      <c r="B1473" s="5" t="e" cm="1">
        <f t="array" ref="B1473">MAX(#REF!,MIN(#REF!,#REF!+SUMPRODUCT(--(FoodData[[#This Row],[Healthy]:[Refined]]="Yes"),#REF!)+FoodData[[#This Row],[Adjust]]))</f>
        <v>#REF!</v>
      </c>
      <c r="C1473" s="1" t="e">
        <f>LOOKUP(FoodData[[#This Row],[Score]],#REF!,#REF!)</f>
        <v>#REF!</v>
      </c>
      <c r="D1473" t="s">
        <v>2790</v>
      </c>
      <c r="E1473" t="s">
        <v>21</v>
      </c>
      <c r="F1473" t="s">
        <v>22</v>
      </c>
      <c r="G1473" t="s">
        <v>23</v>
      </c>
      <c r="H1473" t="s">
        <v>2942</v>
      </c>
      <c r="I1473" s="1" t="s">
        <v>26</v>
      </c>
      <c r="J1473" s="1" t="s">
        <v>26</v>
      </c>
      <c r="K1473" s="1" t="s">
        <v>25</v>
      </c>
      <c r="L1473" s="1" t="s">
        <v>26</v>
      </c>
      <c r="M1473" s="1" t="s">
        <v>25</v>
      </c>
      <c r="N1473" s="1" t="s">
        <v>25</v>
      </c>
      <c r="O1473" s="1" t="s">
        <v>25</v>
      </c>
      <c r="P1473" s="1" t="s">
        <v>25</v>
      </c>
      <c r="Q1473" s="1" t="s">
        <v>25</v>
      </c>
      <c r="R1473" s="1" t="s">
        <v>25</v>
      </c>
      <c r="S1473" s="2">
        <v>0</v>
      </c>
    </row>
    <row r="1474" spans="1:19" x14ac:dyDescent="0.3">
      <c r="A1474" t="s">
        <v>2943</v>
      </c>
      <c r="B1474" s="5" t="e" cm="1">
        <f t="array" ref="B1474">MAX(#REF!,MIN(#REF!,#REF!+SUMPRODUCT(--(FoodData[[#This Row],[Healthy]:[Refined]]="Yes"),#REF!)+FoodData[[#This Row],[Adjust]]))</f>
        <v>#REF!</v>
      </c>
      <c r="C1474" s="1" t="e">
        <f>LOOKUP(FoodData[[#This Row],[Score]],#REF!,#REF!)</f>
        <v>#REF!</v>
      </c>
      <c r="D1474" t="s">
        <v>2790</v>
      </c>
      <c r="E1474" t="s">
        <v>21</v>
      </c>
      <c r="F1474" t="s">
        <v>22</v>
      </c>
      <c r="G1474" t="s">
        <v>23</v>
      </c>
      <c r="H1474" t="s">
        <v>2944</v>
      </c>
      <c r="I1474" s="1" t="s">
        <v>26</v>
      </c>
      <c r="J1474" s="1" t="s">
        <v>26</v>
      </c>
      <c r="K1474" s="1" t="s">
        <v>25</v>
      </c>
      <c r="L1474" s="1" t="s">
        <v>26</v>
      </c>
      <c r="M1474" s="1" t="s">
        <v>25</v>
      </c>
      <c r="N1474" s="1" t="s">
        <v>25</v>
      </c>
      <c r="O1474" s="1" t="s">
        <v>25</v>
      </c>
      <c r="P1474" s="1" t="s">
        <v>25</v>
      </c>
      <c r="Q1474" s="1" t="s">
        <v>25</v>
      </c>
      <c r="R1474" s="1" t="s">
        <v>25</v>
      </c>
      <c r="S1474" s="2">
        <v>0</v>
      </c>
    </row>
    <row r="1475" spans="1:19" x14ac:dyDescent="0.3">
      <c r="A1475" t="s">
        <v>2945</v>
      </c>
      <c r="B1475" s="5" t="e" cm="1">
        <f t="array" ref="B1475">MAX(#REF!,MIN(#REF!,#REF!+SUMPRODUCT(--(FoodData[[#This Row],[Healthy]:[Refined]]="Yes"),#REF!)+FoodData[[#This Row],[Adjust]]))</f>
        <v>#REF!</v>
      </c>
      <c r="C1475" s="1" t="e">
        <f>LOOKUP(FoodData[[#This Row],[Score]],#REF!,#REF!)</f>
        <v>#REF!</v>
      </c>
      <c r="D1475" t="s">
        <v>2790</v>
      </c>
      <c r="E1475" t="s">
        <v>21</v>
      </c>
      <c r="F1475" t="s">
        <v>22</v>
      </c>
      <c r="G1475" t="s">
        <v>29</v>
      </c>
      <c r="H1475" t="s">
        <v>2946</v>
      </c>
      <c r="I1475" s="1" t="s">
        <v>26</v>
      </c>
      <c r="J1475" s="1" t="s">
        <v>26</v>
      </c>
      <c r="K1475" s="1" t="s">
        <v>26</v>
      </c>
      <c r="L1475" s="1" t="s">
        <v>26</v>
      </c>
      <c r="M1475" s="1" t="s">
        <v>25</v>
      </c>
      <c r="N1475" s="1" t="s">
        <v>25</v>
      </c>
      <c r="O1475" s="1" t="s">
        <v>25</v>
      </c>
      <c r="P1475" s="1" t="s">
        <v>25</v>
      </c>
      <c r="Q1475" s="1" t="s">
        <v>25</v>
      </c>
      <c r="R1475" s="1" t="s">
        <v>25</v>
      </c>
      <c r="S1475" s="2">
        <v>0</v>
      </c>
    </row>
    <row r="1476" spans="1:19" x14ac:dyDescent="0.3">
      <c r="A1476" t="s">
        <v>2947</v>
      </c>
      <c r="B1476" s="5" t="e" cm="1">
        <f t="array" ref="B1476">MAX(#REF!,MIN(#REF!,#REF!+SUMPRODUCT(--(FoodData[[#This Row],[Healthy]:[Refined]]="Yes"),#REF!)+FoodData[[#This Row],[Adjust]]))</f>
        <v>#REF!</v>
      </c>
      <c r="C1476" s="1" t="e">
        <f>LOOKUP(FoodData[[#This Row],[Score]],#REF!,#REF!)</f>
        <v>#REF!</v>
      </c>
      <c r="D1476" t="s">
        <v>2790</v>
      </c>
      <c r="E1476" t="s">
        <v>21</v>
      </c>
      <c r="F1476" t="s">
        <v>22</v>
      </c>
      <c r="G1476" t="s">
        <v>23</v>
      </c>
      <c r="H1476" t="s">
        <v>2948</v>
      </c>
      <c r="I1476" s="1" t="s">
        <v>26</v>
      </c>
      <c r="J1476" s="1" t="s">
        <v>25</v>
      </c>
      <c r="K1476" s="1" t="s">
        <v>25</v>
      </c>
      <c r="L1476" s="1" t="s">
        <v>26</v>
      </c>
      <c r="M1476" s="1" t="s">
        <v>25</v>
      </c>
      <c r="N1476" s="1" t="s">
        <v>26</v>
      </c>
      <c r="O1476" s="1" t="s">
        <v>25</v>
      </c>
      <c r="P1476" s="1" t="s">
        <v>25</v>
      </c>
      <c r="Q1476" s="1" t="s">
        <v>25</v>
      </c>
      <c r="R1476" s="1" t="s">
        <v>25</v>
      </c>
      <c r="S1476" s="2">
        <v>0</v>
      </c>
    </row>
    <row r="1477" spans="1:19" x14ac:dyDescent="0.3">
      <c r="A1477" t="s">
        <v>2949</v>
      </c>
      <c r="B1477" s="5" t="e" cm="1">
        <f t="array" ref="B1477">MAX(#REF!,MIN(#REF!,#REF!+SUMPRODUCT(--(FoodData[[#This Row],[Healthy]:[Refined]]="Yes"),#REF!)+FoodData[[#This Row],[Adjust]]))</f>
        <v>#REF!</v>
      </c>
      <c r="C1477" s="1" t="e">
        <f>LOOKUP(FoodData[[#This Row],[Score]],#REF!,#REF!)</f>
        <v>#REF!</v>
      </c>
      <c r="D1477" t="s">
        <v>2790</v>
      </c>
      <c r="E1477" t="s">
        <v>28</v>
      </c>
      <c r="F1477" t="s">
        <v>22</v>
      </c>
      <c r="G1477" t="s">
        <v>489</v>
      </c>
      <c r="H1477" t="s">
        <v>2950</v>
      </c>
      <c r="I1477" s="1" t="s">
        <v>25</v>
      </c>
      <c r="J1477" s="1" t="s">
        <v>25</v>
      </c>
      <c r="K1477" s="1" t="s">
        <v>25</v>
      </c>
      <c r="L1477" s="1" t="s">
        <v>26</v>
      </c>
      <c r="M1477" s="1" t="s">
        <v>26</v>
      </c>
      <c r="N1477" s="1" t="s">
        <v>25</v>
      </c>
      <c r="O1477" s="1" t="s">
        <v>26</v>
      </c>
      <c r="P1477" s="1" t="s">
        <v>25</v>
      </c>
      <c r="Q1477" s="1" t="s">
        <v>26</v>
      </c>
      <c r="R1477" s="1" t="s">
        <v>26</v>
      </c>
      <c r="S1477" s="2">
        <v>0</v>
      </c>
    </row>
    <row r="1478" spans="1:19" x14ac:dyDescent="0.3">
      <c r="A1478" t="s">
        <v>2951</v>
      </c>
      <c r="B1478" s="5" t="e" cm="1">
        <f t="array" ref="B1478">MAX(#REF!,MIN(#REF!,#REF!+SUMPRODUCT(--(FoodData[[#This Row],[Healthy]:[Refined]]="Yes"),#REF!)+FoodData[[#This Row],[Adjust]]))</f>
        <v>#REF!</v>
      </c>
      <c r="C1478" s="1" t="e">
        <f>LOOKUP(FoodData[[#This Row],[Score]],#REF!,#REF!)</f>
        <v>#REF!</v>
      </c>
      <c r="D1478" t="s">
        <v>2790</v>
      </c>
      <c r="E1478" t="s">
        <v>21</v>
      </c>
      <c r="F1478" t="s">
        <v>22</v>
      </c>
      <c r="G1478" t="s">
        <v>23</v>
      </c>
      <c r="H1478" t="s">
        <v>2952</v>
      </c>
      <c r="I1478" s="1" t="s">
        <v>25</v>
      </c>
      <c r="J1478" s="1" t="s">
        <v>26</v>
      </c>
      <c r="K1478" s="1" t="s">
        <v>25</v>
      </c>
      <c r="L1478" s="1" t="s">
        <v>25</v>
      </c>
      <c r="M1478" s="1" t="s">
        <v>25</v>
      </c>
      <c r="N1478" s="1" t="s">
        <v>26</v>
      </c>
      <c r="O1478" s="1" t="s">
        <v>25</v>
      </c>
      <c r="P1478" s="1" t="s">
        <v>25</v>
      </c>
      <c r="Q1478" s="1" t="s">
        <v>25</v>
      </c>
      <c r="R1478" s="1" t="s">
        <v>25</v>
      </c>
      <c r="S1478" s="2">
        <v>0</v>
      </c>
    </row>
    <row r="1479" spans="1:19" x14ac:dyDescent="0.3">
      <c r="A1479" t="s">
        <v>2953</v>
      </c>
      <c r="B1479" s="5" t="e" cm="1">
        <f t="array" ref="B1479">MAX(#REF!,MIN(#REF!,#REF!+SUMPRODUCT(--(FoodData[[#This Row],[Healthy]:[Refined]]="Yes"),#REF!)+FoodData[[#This Row],[Adjust]]))</f>
        <v>#REF!</v>
      </c>
      <c r="C1479" s="1" t="e">
        <f>LOOKUP(FoodData[[#This Row],[Score]],#REF!,#REF!)</f>
        <v>#REF!</v>
      </c>
      <c r="D1479" t="s">
        <v>2790</v>
      </c>
      <c r="E1479" t="s">
        <v>21</v>
      </c>
      <c r="F1479" t="s">
        <v>22</v>
      </c>
      <c r="G1479" t="s">
        <v>23</v>
      </c>
      <c r="H1479" t="s">
        <v>2954</v>
      </c>
      <c r="I1479" s="1" t="s">
        <v>25</v>
      </c>
      <c r="J1479" s="1" t="s">
        <v>26</v>
      </c>
      <c r="K1479" s="1" t="s">
        <v>25</v>
      </c>
      <c r="L1479" s="1" t="s">
        <v>25</v>
      </c>
      <c r="M1479" s="1" t="s">
        <v>25</v>
      </c>
      <c r="N1479" s="1" t="s">
        <v>26</v>
      </c>
      <c r="O1479" s="1" t="s">
        <v>25</v>
      </c>
      <c r="P1479" s="1" t="s">
        <v>25</v>
      </c>
      <c r="Q1479" s="1" t="s">
        <v>25</v>
      </c>
      <c r="R1479" s="1" t="s">
        <v>25</v>
      </c>
      <c r="S1479" s="2">
        <v>0</v>
      </c>
    </row>
    <row r="1480" spans="1:19" x14ac:dyDescent="0.3">
      <c r="A1480" t="s">
        <v>2955</v>
      </c>
      <c r="B1480" s="5" t="e" cm="1">
        <f t="array" ref="B1480">MAX(#REF!,MIN(#REF!,#REF!+SUMPRODUCT(--(FoodData[[#This Row],[Healthy]:[Refined]]="Yes"),#REF!)+FoodData[[#This Row],[Adjust]]))</f>
        <v>#REF!</v>
      </c>
      <c r="C1480" s="1" t="e">
        <f>LOOKUP(FoodData[[#This Row],[Score]],#REF!,#REF!)</f>
        <v>#REF!</v>
      </c>
      <c r="D1480" t="s">
        <v>2790</v>
      </c>
      <c r="E1480" t="s">
        <v>21</v>
      </c>
      <c r="F1480" t="s">
        <v>22</v>
      </c>
      <c r="G1480" t="s">
        <v>23</v>
      </c>
      <c r="H1480" t="s">
        <v>2956</v>
      </c>
      <c r="I1480" s="1" t="s">
        <v>25</v>
      </c>
      <c r="J1480" s="1" t="s">
        <v>26</v>
      </c>
      <c r="K1480" s="1" t="s">
        <v>25</v>
      </c>
      <c r="L1480" s="1" t="s">
        <v>26</v>
      </c>
      <c r="M1480" s="1" t="s">
        <v>25</v>
      </c>
      <c r="N1480" s="1" t="s">
        <v>26</v>
      </c>
      <c r="O1480" s="1" t="s">
        <v>25</v>
      </c>
      <c r="P1480" s="1" t="s">
        <v>25</v>
      </c>
      <c r="Q1480" s="1" t="s">
        <v>25</v>
      </c>
      <c r="R1480" s="1" t="s">
        <v>25</v>
      </c>
      <c r="S1480" s="2">
        <v>0</v>
      </c>
    </row>
    <row r="1481" spans="1:19" x14ac:dyDescent="0.3">
      <c r="A1481" t="s">
        <v>2957</v>
      </c>
      <c r="B1481" s="5" t="e" cm="1">
        <f t="array" ref="B1481">MAX(#REF!,MIN(#REF!,#REF!+SUMPRODUCT(--(FoodData[[#This Row],[Healthy]:[Refined]]="Yes"),#REF!)+FoodData[[#This Row],[Adjust]]))</f>
        <v>#REF!</v>
      </c>
      <c r="C1481" s="1" t="e">
        <f>LOOKUP(FoodData[[#This Row],[Score]],#REF!,#REF!)</f>
        <v>#REF!</v>
      </c>
      <c r="D1481" t="s">
        <v>2790</v>
      </c>
      <c r="E1481" t="s">
        <v>28</v>
      </c>
      <c r="F1481" t="s">
        <v>22</v>
      </c>
      <c r="G1481" t="s">
        <v>23</v>
      </c>
      <c r="H1481" t="s">
        <v>2958</v>
      </c>
      <c r="I1481" s="1" t="s">
        <v>26</v>
      </c>
      <c r="J1481" s="1" t="s">
        <v>25</v>
      </c>
      <c r="K1481" s="1" t="s">
        <v>26</v>
      </c>
      <c r="L1481" s="1" t="s">
        <v>26</v>
      </c>
      <c r="M1481" s="1" t="s">
        <v>25</v>
      </c>
      <c r="N1481" s="1" t="s">
        <v>26</v>
      </c>
      <c r="O1481" s="1" t="s">
        <v>25</v>
      </c>
      <c r="P1481" s="1" t="s">
        <v>25</v>
      </c>
      <c r="Q1481" s="1" t="s">
        <v>25</v>
      </c>
      <c r="R1481" s="1" t="s">
        <v>25</v>
      </c>
      <c r="S1481" s="2">
        <v>0</v>
      </c>
    </row>
    <row r="1482" spans="1:19" x14ac:dyDescent="0.3">
      <c r="A1482" t="s">
        <v>2959</v>
      </c>
      <c r="B1482" s="5" t="e" cm="1">
        <f t="array" ref="B1482">MAX(#REF!,MIN(#REF!,#REF!+SUMPRODUCT(--(FoodData[[#This Row],[Healthy]:[Refined]]="Yes"),#REF!)+FoodData[[#This Row],[Adjust]]))</f>
        <v>#REF!</v>
      </c>
      <c r="C1482" s="1" t="e">
        <f>LOOKUP(FoodData[[#This Row],[Score]],#REF!,#REF!)</f>
        <v>#REF!</v>
      </c>
      <c r="D1482" t="s">
        <v>2790</v>
      </c>
      <c r="E1482" t="s">
        <v>21</v>
      </c>
      <c r="F1482" t="s">
        <v>22</v>
      </c>
      <c r="G1482" t="s">
        <v>23</v>
      </c>
      <c r="H1482" t="s">
        <v>2960</v>
      </c>
      <c r="I1482" s="1" t="s">
        <v>25</v>
      </c>
      <c r="J1482" s="1" t="s">
        <v>25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25</v>
      </c>
      <c r="P1482" s="1" t="s">
        <v>25</v>
      </c>
      <c r="Q1482" s="1" t="s">
        <v>25</v>
      </c>
      <c r="R1482" s="1" t="s">
        <v>25</v>
      </c>
      <c r="S1482" s="2">
        <v>0</v>
      </c>
    </row>
    <row r="1483" spans="1:19" x14ac:dyDescent="0.3">
      <c r="A1483" t="s">
        <v>2961</v>
      </c>
      <c r="B1483" s="5" t="e" cm="1">
        <f t="array" ref="B1483">MAX(#REF!,MIN(#REF!,#REF!+SUMPRODUCT(--(FoodData[[#This Row],[Healthy]:[Refined]]="Yes"),#REF!)+FoodData[[#This Row],[Adjust]]))</f>
        <v>#REF!</v>
      </c>
      <c r="C1483" s="1" t="e">
        <f>LOOKUP(FoodData[[#This Row],[Score]],#REF!,#REF!)</f>
        <v>#REF!</v>
      </c>
      <c r="D1483" t="s">
        <v>2790</v>
      </c>
      <c r="E1483" t="s">
        <v>21</v>
      </c>
      <c r="F1483" t="s">
        <v>22</v>
      </c>
      <c r="G1483" t="s">
        <v>23</v>
      </c>
      <c r="H1483" t="s">
        <v>2962</v>
      </c>
      <c r="I1483" s="1" t="s">
        <v>25</v>
      </c>
      <c r="J1483" s="1" t="s">
        <v>25</v>
      </c>
      <c r="K1483" s="1" t="s">
        <v>26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25</v>
      </c>
      <c r="Q1483" s="1" t="s">
        <v>25</v>
      </c>
      <c r="R1483" s="1" t="s">
        <v>25</v>
      </c>
      <c r="S1483" s="2">
        <v>0</v>
      </c>
    </row>
    <row r="1484" spans="1:19" x14ac:dyDescent="0.3">
      <c r="A1484" t="s">
        <v>2963</v>
      </c>
      <c r="B1484" s="5" t="e" cm="1">
        <f t="array" ref="B1484">MAX(#REF!,MIN(#REF!,#REF!+SUMPRODUCT(--(FoodData[[#This Row],[Healthy]:[Refined]]="Yes"),#REF!)+FoodData[[#This Row],[Adjust]]))</f>
        <v>#REF!</v>
      </c>
      <c r="C1484" s="1" t="e">
        <f>LOOKUP(FoodData[[#This Row],[Score]],#REF!,#REF!)</f>
        <v>#REF!</v>
      </c>
      <c r="D1484" t="s">
        <v>2790</v>
      </c>
      <c r="E1484" t="s">
        <v>28</v>
      </c>
      <c r="F1484" t="s">
        <v>22</v>
      </c>
      <c r="G1484" t="s">
        <v>29</v>
      </c>
      <c r="H1484" t="s">
        <v>2964</v>
      </c>
      <c r="I1484" s="1" t="s">
        <v>26</v>
      </c>
      <c r="J1484" s="1" t="s">
        <v>25</v>
      </c>
      <c r="K1484" s="1" t="s">
        <v>25</v>
      </c>
      <c r="L1484" s="1" t="s">
        <v>25</v>
      </c>
      <c r="M1484" s="1" t="s">
        <v>25</v>
      </c>
      <c r="N1484" s="1" t="s">
        <v>25</v>
      </c>
      <c r="O1484" s="1" t="s">
        <v>25</v>
      </c>
      <c r="P1484" s="1" t="s">
        <v>25</v>
      </c>
      <c r="Q1484" s="1" t="s">
        <v>25</v>
      </c>
      <c r="R1484" s="1" t="s">
        <v>25</v>
      </c>
      <c r="S1484" s="2">
        <v>0</v>
      </c>
    </row>
    <row r="1485" spans="1:19" x14ac:dyDescent="0.3">
      <c r="A1485" t="s">
        <v>2965</v>
      </c>
      <c r="B1485" s="5" t="e" cm="1">
        <f t="array" ref="B1485">MAX(#REF!,MIN(#REF!,#REF!+SUMPRODUCT(--(FoodData[[#This Row],[Healthy]:[Refined]]="Yes"),#REF!)+FoodData[[#This Row],[Adjust]]))</f>
        <v>#REF!</v>
      </c>
      <c r="C1485" s="1" t="e">
        <f>LOOKUP(FoodData[[#This Row],[Score]],#REF!,#REF!)</f>
        <v>#REF!</v>
      </c>
      <c r="D1485" t="s">
        <v>2790</v>
      </c>
      <c r="E1485" t="s">
        <v>28</v>
      </c>
      <c r="F1485" t="s">
        <v>22</v>
      </c>
      <c r="G1485" t="s">
        <v>29</v>
      </c>
      <c r="H1485" t="s">
        <v>2966</v>
      </c>
      <c r="I1485" s="1" t="s">
        <v>25</v>
      </c>
      <c r="J1485" s="1" t="s">
        <v>25</v>
      </c>
      <c r="K1485" s="1" t="s">
        <v>26</v>
      </c>
      <c r="L1485" s="1" t="s">
        <v>25</v>
      </c>
      <c r="M1485" s="1" t="s">
        <v>25</v>
      </c>
      <c r="N1485" s="1" t="s">
        <v>25</v>
      </c>
      <c r="O1485" s="1" t="s">
        <v>25</v>
      </c>
      <c r="P1485" s="1" t="s">
        <v>26</v>
      </c>
      <c r="Q1485" s="1" t="s">
        <v>26</v>
      </c>
      <c r="R1485" s="1" t="s">
        <v>25</v>
      </c>
      <c r="S1485" s="2">
        <v>0</v>
      </c>
    </row>
    <row r="1486" spans="1:19" x14ac:dyDescent="0.3">
      <c r="A1486" t="s">
        <v>2967</v>
      </c>
      <c r="B1486" s="5" t="e" cm="1">
        <f t="array" ref="B1486">MAX(#REF!,MIN(#REF!,#REF!+SUMPRODUCT(--(FoodData[[#This Row],[Healthy]:[Refined]]="Yes"),#REF!)+FoodData[[#This Row],[Adjust]]))</f>
        <v>#REF!</v>
      </c>
      <c r="C1486" s="1" t="e">
        <f>LOOKUP(FoodData[[#This Row],[Score]],#REF!,#REF!)</f>
        <v>#REF!</v>
      </c>
      <c r="D1486" t="s">
        <v>2790</v>
      </c>
      <c r="E1486" t="s">
        <v>21</v>
      </c>
      <c r="F1486" t="s">
        <v>22</v>
      </c>
      <c r="G1486" t="s">
        <v>23</v>
      </c>
      <c r="H1486" t="s">
        <v>2968</v>
      </c>
      <c r="I1486" s="1" t="s">
        <v>25</v>
      </c>
      <c r="J1486" s="1" t="s">
        <v>25</v>
      </c>
      <c r="K1486" s="1" t="s">
        <v>25</v>
      </c>
      <c r="L1486" s="1" t="s">
        <v>25</v>
      </c>
      <c r="M1486" s="1" t="s">
        <v>25</v>
      </c>
      <c r="N1486" s="1" t="s">
        <v>26</v>
      </c>
      <c r="O1486" s="1" t="s">
        <v>25</v>
      </c>
      <c r="P1486" s="1" t="s">
        <v>25</v>
      </c>
      <c r="Q1486" s="1" t="s">
        <v>25</v>
      </c>
      <c r="R1486" s="1" t="s">
        <v>25</v>
      </c>
      <c r="S1486" s="2">
        <v>0</v>
      </c>
    </row>
    <row r="1487" spans="1:19" x14ac:dyDescent="0.3">
      <c r="A1487" t="s">
        <v>2969</v>
      </c>
      <c r="B1487" s="5" t="e" cm="1">
        <f t="array" ref="B1487">MAX(#REF!,MIN(#REF!,#REF!+SUMPRODUCT(--(FoodData[[#This Row],[Healthy]:[Refined]]="Yes"),#REF!)+FoodData[[#This Row],[Adjust]]))</f>
        <v>#REF!</v>
      </c>
      <c r="C1487" s="1" t="e">
        <f>LOOKUP(FoodData[[#This Row],[Score]],#REF!,#REF!)</f>
        <v>#REF!</v>
      </c>
      <c r="D1487" t="s">
        <v>2790</v>
      </c>
      <c r="E1487" t="s">
        <v>21</v>
      </c>
      <c r="F1487" t="s">
        <v>22</v>
      </c>
      <c r="G1487" t="s">
        <v>23</v>
      </c>
      <c r="H1487" t="s">
        <v>2970</v>
      </c>
      <c r="I1487" s="1" t="s">
        <v>25</v>
      </c>
      <c r="J1487" s="1" t="s">
        <v>25</v>
      </c>
      <c r="K1487" s="1" t="s">
        <v>25</v>
      </c>
      <c r="L1487" s="1" t="s">
        <v>25</v>
      </c>
      <c r="M1487" s="1" t="s">
        <v>25</v>
      </c>
      <c r="N1487" s="1" t="s">
        <v>26</v>
      </c>
      <c r="O1487" s="1" t="s">
        <v>25</v>
      </c>
      <c r="P1487" s="1" t="s">
        <v>25</v>
      </c>
      <c r="Q1487" s="1" t="s">
        <v>25</v>
      </c>
      <c r="R1487" s="1" t="s">
        <v>26</v>
      </c>
      <c r="S1487" s="2">
        <v>0</v>
      </c>
    </row>
    <row r="1488" spans="1:19" x14ac:dyDescent="0.3">
      <c r="A1488" t="s">
        <v>2971</v>
      </c>
      <c r="B1488" s="5" t="e" cm="1">
        <f t="array" ref="B1488">MAX(#REF!,MIN(#REF!,#REF!+SUMPRODUCT(--(FoodData[[#This Row],[Healthy]:[Refined]]="Yes"),#REF!)+FoodData[[#This Row],[Adjust]]))</f>
        <v>#REF!</v>
      </c>
      <c r="C1488" s="1" t="e">
        <f>LOOKUP(FoodData[[#This Row],[Score]],#REF!,#REF!)</f>
        <v>#REF!</v>
      </c>
      <c r="D1488" t="s">
        <v>2790</v>
      </c>
      <c r="E1488" t="s">
        <v>21</v>
      </c>
      <c r="F1488" t="s">
        <v>22</v>
      </c>
      <c r="G1488" t="s">
        <v>23</v>
      </c>
      <c r="H1488" t="s">
        <v>2972</v>
      </c>
      <c r="I1488" s="1" t="s">
        <v>25</v>
      </c>
      <c r="J1488" s="1" t="s">
        <v>25</v>
      </c>
      <c r="K1488" s="1" t="s">
        <v>25</v>
      </c>
      <c r="L1488" s="1" t="s">
        <v>25</v>
      </c>
      <c r="M1488" s="1" t="s">
        <v>26</v>
      </c>
      <c r="N1488" s="1" t="s">
        <v>25</v>
      </c>
      <c r="O1488" s="1" t="s">
        <v>25</v>
      </c>
      <c r="P1488" s="1" t="s">
        <v>26</v>
      </c>
      <c r="Q1488" s="1" t="s">
        <v>25</v>
      </c>
      <c r="R1488" s="1" t="s">
        <v>26</v>
      </c>
      <c r="S1488" s="2">
        <v>0</v>
      </c>
    </row>
    <row r="1489" spans="1:19" x14ac:dyDescent="0.3">
      <c r="A1489" t="s">
        <v>2973</v>
      </c>
      <c r="B1489" s="5" t="e" cm="1">
        <f t="array" ref="B1489">MAX(#REF!,MIN(#REF!,#REF!+SUMPRODUCT(--(FoodData[[#This Row],[Healthy]:[Refined]]="Yes"),#REF!)+FoodData[[#This Row],[Adjust]]))</f>
        <v>#REF!</v>
      </c>
      <c r="C1489" s="1" t="e">
        <f>LOOKUP(FoodData[[#This Row],[Score]],#REF!,#REF!)</f>
        <v>#REF!</v>
      </c>
      <c r="D1489" t="s">
        <v>2790</v>
      </c>
      <c r="E1489" t="s">
        <v>63</v>
      </c>
      <c r="F1489" t="s">
        <v>22</v>
      </c>
      <c r="G1489" t="s">
        <v>23</v>
      </c>
      <c r="H1489" t="s">
        <v>2974</v>
      </c>
      <c r="I1489" s="1" t="s">
        <v>26</v>
      </c>
      <c r="J1489" s="1" t="s">
        <v>26</v>
      </c>
      <c r="K1489" s="1" t="s">
        <v>26</v>
      </c>
      <c r="L1489" s="1" t="s">
        <v>26</v>
      </c>
      <c r="M1489" s="1" t="s">
        <v>25</v>
      </c>
      <c r="N1489" s="1" t="s">
        <v>25</v>
      </c>
      <c r="O1489" s="1" t="s">
        <v>25</v>
      </c>
      <c r="P1489" s="1" t="s">
        <v>25</v>
      </c>
      <c r="Q1489" s="1" t="s">
        <v>25</v>
      </c>
      <c r="R1489" s="1" t="s">
        <v>25</v>
      </c>
      <c r="S1489" s="2">
        <v>0</v>
      </c>
    </row>
    <row r="1490" spans="1:19" x14ac:dyDescent="0.3">
      <c r="A1490" t="s">
        <v>2975</v>
      </c>
      <c r="B1490" s="5" t="e" cm="1">
        <f t="array" ref="B1490">MAX(#REF!,MIN(#REF!,#REF!+SUMPRODUCT(--(FoodData[[#This Row],[Healthy]:[Refined]]="Yes"),#REF!)+FoodData[[#This Row],[Adjust]]))</f>
        <v>#REF!</v>
      </c>
      <c r="C1490" s="1" t="e">
        <f>LOOKUP(FoodData[[#This Row],[Score]],#REF!,#REF!)</f>
        <v>#REF!</v>
      </c>
      <c r="D1490" t="s">
        <v>2790</v>
      </c>
      <c r="E1490" t="s">
        <v>21</v>
      </c>
      <c r="F1490" t="s">
        <v>22</v>
      </c>
      <c r="G1490" t="s">
        <v>23</v>
      </c>
      <c r="H1490" t="s">
        <v>2976</v>
      </c>
      <c r="I1490" s="1" t="s">
        <v>26</v>
      </c>
      <c r="J1490" s="1" t="s">
        <v>26</v>
      </c>
      <c r="K1490" s="1" t="s">
        <v>26</v>
      </c>
      <c r="L1490" s="1" t="s">
        <v>26</v>
      </c>
      <c r="M1490" s="1" t="s">
        <v>25</v>
      </c>
      <c r="N1490" s="1" t="s">
        <v>25</v>
      </c>
      <c r="O1490" s="1" t="s">
        <v>25</v>
      </c>
      <c r="P1490" s="1" t="s">
        <v>25</v>
      </c>
      <c r="Q1490" s="1" t="s">
        <v>25</v>
      </c>
      <c r="R1490" s="1" t="s">
        <v>25</v>
      </c>
      <c r="S1490" s="2">
        <v>0</v>
      </c>
    </row>
    <row r="1491" spans="1:19" x14ac:dyDescent="0.3">
      <c r="A1491" t="s">
        <v>2977</v>
      </c>
      <c r="B1491" s="5" t="e" cm="1">
        <f t="array" ref="B1491">MAX(#REF!,MIN(#REF!,#REF!+SUMPRODUCT(--(FoodData[[#This Row],[Healthy]:[Refined]]="Yes"),#REF!)+FoodData[[#This Row],[Adjust]]))</f>
        <v>#REF!</v>
      </c>
      <c r="C1491" s="1" t="e">
        <f>LOOKUP(FoodData[[#This Row],[Score]],#REF!,#REF!)</f>
        <v>#REF!</v>
      </c>
      <c r="D1491" t="s">
        <v>2790</v>
      </c>
      <c r="E1491" t="s">
        <v>21</v>
      </c>
      <c r="F1491" t="s">
        <v>22</v>
      </c>
      <c r="G1491" t="s">
        <v>23</v>
      </c>
      <c r="H1491" t="s">
        <v>2978</v>
      </c>
      <c r="I1491" s="1" t="s">
        <v>25</v>
      </c>
      <c r="J1491" s="1" t="s">
        <v>25</v>
      </c>
      <c r="K1491" s="1" t="s">
        <v>25</v>
      </c>
      <c r="L1491" s="1" t="s">
        <v>25</v>
      </c>
      <c r="M1491" s="1" t="s">
        <v>25</v>
      </c>
      <c r="N1491" s="1" t="s">
        <v>26</v>
      </c>
      <c r="O1491" s="1" t="s">
        <v>25</v>
      </c>
      <c r="P1491" s="1" t="s">
        <v>25</v>
      </c>
      <c r="Q1491" s="1" t="s">
        <v>25</v>
      </c>
      <c r="R1491" s="1" t="s">
        <v>25</v>
      </c>
      <c r="S1491" s="2">
        <v>0</v>
      </c>
    </row>
    <row r="1492" spans="1:19" x14ac:dyDescent="0.3">
      <c r="A1492" t="s">
        <v>2979</v>
      </c>
      <c r="B1492" s="5" t="e" cm="1">
        <f t="array" ref="B1492">MAX(#REF!,MIN(#REF!,#REF!+SUMPRODUCT(--(FoodData[[#This Row],[Healthy]:[Refined]]="Yes"),#REF!)+FoodData[[#This Row],[Adjust]]))</f>
        <v>#REF!</v>
      </c>
      <c r="C1492" s="1" t="e">
        <f>LOOKUP(FoodData[[#This Row],[Score]],#REF!,#REF!)</f>
        <v>#REF!</v>
      </c>
      <c r="D1492" t="s">
        <v>2790</v>
      </c>
      <c r="E1492" t="s">
        <v>21</v>
      </c>
      <c r="F1492" t="s">
        <v>22</v>
      </c>
      <c r="G1492" t="s">
        <v>23</v>
      </c>
      <c r="H1492" t="s">
        <v>2980</v>
      </c>
      <c r="I1492" s="1" t="s">
        <v>25</v>
      </c>
      <c r="J1492" s="1" t="s">
        <v>26</v>
      </c>
      <c r="K1492" s="1" t="s">
        <v>25</v>
      </c>
      <c r="L1492" s="1" t="s">
        <v>25</v>
      </c>
      <c r="M1492" s="1" t="s">
        <v>25</v>
      </c>
      <c r="N1492" s="1" t="s">
        <v>26</v>
      </c>
      <c r="O1492" s="1" t="s">
        <v>25</v>
      </c>
      <c r="P1492" s="1" t="s">
        <v>25</v>
      </c>
      <c r="Q1492" s="1" t="s">
        <v>25</v>
      </c>
      <c r="R1492" s="1" t="s">
        <v>25</v>
      </c>
      <c r="S1492" s="2">
        <v>0</v>
      </c>
    </row>
    <row r="1493" spans="1:19" x14ac:dyDescent="0.3">
      <c r="A1493" t="s">
        <v>2981</v>
      </c>
      <c r="B1493" s="5" t="e" cm="1">
        <f t="array" ref="B1493">MAX(#REF!,MIN(#REF!,#REF!+SUMPRODUCT(--(FoodData[[#This Row],[Healthy]:[Refined]]="Yes"),#REF!)+FoodData[[#This Row],[Adjust]]))</f>
        <v>#REF!</v>
      </c>
      <c r="C1493" s="1" t="e">
        <f>LOOKUP(FoodData[[#This Row],[Score]],#REF!,#REF!)</f>
        <v>#REF!</v>
      </c>
      <c r="D1493" t="s">
        <v>2790</v>
      </c>
      <c r="E1493" t="s">
        <v>21</v>
      </c>
      <c r="F1493" t="s">
        <v>22</v>
      </c>
      <c r="G1493" t="s">
        <v>23</v>
      </c>
      <c r="H1493" t="s">
        <v>2982</v>
      </c>
      <c r="I1493" s="1" t="s">
        <v>25</v>
      </c>
      <c r="J1493" s="1" t="s">
        <v>26</v>
      </c>
      <c r="K1493" s="1" t="s">
        <v>25</v>
      </c>
      <c r="L1493" s="1" t="s">
        <v>25</v>
      </c>
      <c r="M1493" s="1" t="s">
        <v>25</v>
      </c>
      <c r="N1493" s="1" t="s">
        <v>26</v>
      </c>
      <c r="O1493" s="1" t="s">
        <v>25</v>
      </c>
      <c r="P1493" s="1" t="s">
        <v>25</v>
      </c>
      <c r="Q1493" s="1" t="s">
        <v>25</v>
      </c>
      <c r="R1493" s="1" t="s">
        <v>25</v>
      </c>
      <c r="S1493" s="2">
        <v>0</v>
      </c>
    </row>
    <row r="1494" spans="1:19" x14ac:dyDescent="0.3">
      <c r="A1494" t="s">
        <v>2983</v>
      </c>
      <c r="B1494" s="5" t="e" cm="1">
        <f t="array" ref="B1494">MAX(#REF!,MIN(#REF!,#REF!+SUMPRODUCT(--(FoodData[[#This Row],[Healthy]:[Refined]]="Yes"),#REF!)+FoodData[[#This Row],[Adjust]]))</f>
        <v>#REF!</v>
      </c>
      <c r="C1494" s="1" t="e">
        <f>LOOKUP(FoodData[[#This Row],[Score]],#REF!,#REF!)</f>
        <v>#REF!</v>
      </c>
      <c r="D1494" t="s">
        <v>2790</v>
      </c>
      <c r="E1494" t="s">
        <v>21</v>
      </c>
      <c r="F1494" t="s">
        <v>22</v>
      </c>
      <c r="G1494" t="s">
        <v>23</v>
      </c>
      <c r="H1494" t="s">
        <v>2984</v>
      </c>
      <c r="I1494" s="1" t="s">
        <v>25</v>
      </c>
      <c r="J1494" s="1" t="s">
        <v>25</v>
      </c>
      <c r="K1494" s="1" t="s">
        <v>25</v>
      </c>
      <c r="L1494" s="1" t="s">
        <v>25</v>
      </c>
      <c r="M1494" s="1" t="s">
        <v>25</v>
      </c>
      <c r="N1494" s="1" t="s">
        <v>26</v>
      </c>
      <c r="O1494" s="1" t="s">
        <v>25</v>
      </c>
      <c r="P1494" s="1" t="s">
        <v>25</v>
      </c>
      <c r="Q1494" s="1" t="s">
        <v>25</v>
      </c>
      <c r="R1494" s="1" t="s">
        <v>25</v>
      </c>
      <c r="S1494" s="2">
        <v>0</v>
      </c>
    </row>
    <row r="1495" spans="1:19" x14ac:dyDescent="0.3">
      <c r="A1495" t="s">
        <v>2985</v>
      </c>
      <c r="B1495" s="5" t="e" cm="1">
        <f t="array" ref="B1495">MAX(#REF!,MIN(#REF!,#REF!+SUMPRODUCT(--(FoodData[[#This Row],[Healthy]:[Refined]]="Yes"),#REF!)+FoodData[[#This Row],[Adjust]]))</f>
        <v>#REF!</v>
      </c>
      <c r="C1495" s="1" t="e">
        <f>LOOKUP(FoodData[[#This Row],[Score]],#REF!,#REF!)</f>
        <v>#REF!</v>
      </c>
      <c r="D1495" t="s">
        <v>2790</v>
      </c>
      <c r="E1495" t="s">
        <v>63</v>
      </c>
      <c r="F1495" t="s">
        <v>22</v>
      </c>
      <c r="G1495" t="s">
        <v>23</v>
      </c>
      <c r="H1495" t="s">
        <v>2986</v>
      </c>
      <c r="I1495" s="1" t="s">
        <v>26</v>
      </c>
      <c r="J1495" s="1" t="s">
        <v>25</v>
      </c>
      <c r="K1495" s="1" t="s">
        <v>25</v>
      </c>
      <c r="L1495" s="1" t="s">
        <v>25</v>
      </c>
      <c r="M1495" s="1" t="s">
        <v>25</v>
      </c>
      <c r="N1495" s="1" t="s">
        <v>25</v>
      </c>
      <c r="O1495" s="1" t="s">
        <v>25</v>
      </c>
      <c r="P1495" s="1" t="s">
        <v>25</v>
      </c>
      <c r="Q1495" s="1" t="s">
        <v>25</v>
      </c>
      <c r="R1495" s="1" t="s">
        <v>25</v>
      </c>
      <c r="S1495" s="2">
        <v>0</v>
      </c>
    </row>
    <row r="1496" spans="1:19" x14ac:dyDescent="0.3">
      <c r="A1496" t="s">
        <v>2987</v>
      </c>
      <c r="B1496" s="5" t="e" cm="1">
        <f t="array" ref="B1496">MAX(#REF!,MIN(#REF!,#REF!+SUMPRODUCT(--(FoodData[[#This Row],[Healthy]:[Refined]]="Yes"),#REF!)+FoodData[[#This Row],[Adjust]]))</f>
        <v>#REF!</v>
      </c>
      <c r="C1496" s="1" t="e">
        <f>LOOKUP(FoodData[[#This Row],[Score]],#REF!,#REF!)</f>
        <v>#REF!</v>
      </c>
      <c r="D1496" t="s">
        <v>2790</v>
      </c>
      <c r="E1496" t="s">
        <v>21</v>
      </c>
      <c r="F1496" t="s">
        <v>22</v>
      </c>
      <c r="G1496" t="s">
        <v>23</v>
      </c>
      <c r="H1496" t="s">
        <v>2988</v>
      </c>
      <c r="I1496" s="1" t="s">
        <v>25</v>
      </c>
      <c r="J1496" s="1" t="s">
        <v>25</v>
      </c>
      <c r="K1496" s="1" t="s">
        <v>25</v>
      </c>
      <c r="L1496" s="1" t="s">
        <v>25</v>
      </c>
      <c r="M1496" s="1" t="s">
        <v>25</v>
      </c>
      <c r="N1496" s="1" t="s">
        <v>26</v>
      </c>
      <c r="O1496" s="1" t="s">
        <v>25</v>
      </c>
      <c r="P1496" s="1" t="s">
        <v>26</v>
      </c>
      <c r="Q1496" s="1" t="s">
        <v>25</v>
      </c>
      <c r="R1496" s="1" t="s">
        <v>26</v>
      </c>
      <c r="S1496" s="2">
        <v>0</v>
      </c>
    </row>
    <row r="1497" spans="1:19" x14ac:dyDescent="0.3">
      <c r="A1497" t="s">
        <v>2989</v>
      </c>
      <c r="B1497" s="5" t="e" cm="1">
        <f t="array" ref="B1497">MAX(#REF!,MIN(#REF!,#REF!+SUMPRODUCT(--(FoodData[[#This Row],[Healthy]:[Refined]]="Yes"),#REF!)+FoodData[[#This Row],[Adjust]]))</f>
        <v>#REF!</v>
      </c>
      <c r="C1497" s="1" t="e">
        <f>LOOKUP(FoodData[[#This Row],[Score]],#REF!,#REF!)</f>
        <v>#REF!</v>
      </c>
      <c r="D1497" t="s">
        <v>2790</v>
      </c>
      <c r="E1497" t="s">
        <v>28</v>
      </c>
      <c r="F1497" t="s">
        <v>22</v>
      </c>
      <c r="G1497" t="s">
        <v>29</v>
      </c>
      <c r="H1497" t="s">
        <v>2990</v>
      </c>
      <c r="I1497" s="1" t="s">
        <v>25</v>
      </c>
      <c r="J1497" s="1" t="s">
        <v>25</v>
      </c>
      <c r="K1497" s="1" t="s">
        <v>25</v>
      </c>
      <c r="L1497" s="1" t="s">
        <v>26</v>
      </c>
      <c r="M1497" s="1" t="s">
        <v>26</v>
      </c>
      <c r="N1497" s="1" t="s">
        <v>25</v>
      </c>
      <c r="O1497" s="1" t="s">
        <v>25</v>
      </c>
      <c r="P1497" s="1" t="s">
        <v>25</v>
      </c>
      <c r="Q1497" s="1" t="s">
        <v>25</v>
      </c>
      <c r="R1497" s="1" t="s">
        <v>25</v>
      </c>
      <c r="S1497" s="2">
        <v>0</v>
      </c>
    </row>
    <row r="1498" spans="1:19" x14ac:dyDescent="0.3">
      <c r="A1498" t="s">
        <v>2991</v>
      </c>
      <c r="B1498" s="5" t="e" cm="1">
        <f t="array" ref="B1498">MAX(#REF!,MIN(#REF!,#REF!+SUMPRODUCT(--(FoodData[[#This Row],[Healthy]:[Refined]]="Yes"),#REF!)+FoodData[[#This Row],[Adjust]]))</f>
        <v>#REF!</v>
      </c>
      <c r="C1498" s="1" t="e">
        <f>LOOKUP(FoodData[[#This Row],[Score]],#REF!,#REF!)</f>
        <v>#REF!</v>
      </c>
      <c r="D1498" t="s">
        <v>2790</v>
      </c>
      <c r="E1498" t="s">
        <v>21</v>
      </c>
      <c r="F1498" t="s">
        <v>22</v>
      </c>
      <c r="G1498" t="s">
        <v>23</v>
      </c>
      <c r="H1498" t="s">
        <v>2992</v>
      </c>
      <c r="I1498" s="1" t="s">
        <v>26</v>
      </c>
      <c r="J1498" s="1" t="s">
        <v>26</v>
      </c>
      <c r="K1498" s="1" t="s">
        <v>26</v>
      </c>
      <c r="L1498" s="1" t="s">
        <v>26</v>
      </c>
      <c r="M1498" s="1" t="s">
        <v>25</v>
      </c>
      <c r="N1498" s="1" t="s">
        <v>25</v>
      </c>
      <c r="O1498" s="1" t="s">
        <v>25</v>
      </c>
      <c r="P1498" s="1" t="s">
        <v>25</v>
      </c>
      <c r="Q1498" s="1" t="s">
        <v>25</v>
      </c>
      <c r="R1498" s="1" t="s">
        <v>25</v>
      </c>
      <c r="S1498" s="2">
        <v>0</v>
      </c>
    </row>
    <row r="1499" spans="1:19" x14ac:dyDescent="0.3">
      <c r="A1499" t="s">
        <v>2993</v>
      </c>
      <c r="B1499" s="5" t="e" cm="1">
        <f t="array" ref="B1499">MAX(#REF!,MIN(#REF!,#REF!+SUMPRODUCT(--(FoodData[[#This Row],[Healthy]:[Refined]]="Yes"),#REF!)+FoodData[[#This Row],[Adjust]]))</f>
        <v>#REF!</v>
      </c>
      <c r="C1499" s="1" t="e">
        <f>LOOKUP(FoodData[[#This Row],[Score]],#REF!,#REF!)</f>
        <v>#REF!</v>
      </c>
      <c r="D1499" t="s">
        <v>2790</v>
      </c>
      <c r="E1499" t="s">
        <v>21</v>
      </c>
      <c r="F1499" t="s">
        <v>22</v>
      </c>
      <c r="G1499" t="s">
        <v>23</v>
      </c>
      <c r="H1499" t="s">
        <v>2240</v>
      </c>
      <c r="I1499" s="1" t="s">
        <v>26</v>
      </c>
      <c r="J1499" s="1" t="s">
        <v>26</v>
      </c>
      <c r="K1499" s="1" t="s">
        <v>26</v>
      </c>
      <c r="L1499" s="1" t="s">
        <v>26</v>
      </c>
      <c r="M1499" s="1" t="s">
        <v>25</v>
      </c>
      <c r="N1499" s="1" t="s">
        <v>25</v>
      </c>
      <c r="O1499" s="1" t="s">
        <v>25</v>
      </c>
      <c r="P1499" s="1" t="s">
        <v>25</v>
      </c>
      <c r="Q1499" s="1" t="s">
        <v>25</v>
      </c>
      <c r="R1499" s="1" t="s">
        <v>25</v>
      </c>
      <c r="S1499" s="2">
        <v>0</v>
      </c>
    </row>
    <row r="1500" spans="1:19" x14ac:dyDescent="0.3">
      <c r="A1500" t="s">
        <v>2994</v>
      </c>
      <c r="B1500" s="5" t="e" cm="1">
        <f t="array" ref="B1500">MAX(#REF!,MIN(#REF!,#REF!+SUMPRODUCT(--(FoodData[[#This Row],[Healthy]:[Refined]]="Yes"),#REF!)+FoodData[[#This Row],[Adjust]]))</f>
        <v>#REF!</v>
      </c>
      <c r="C1500" s="1" t="e">
        <f>LOOKUP(FoodData[[#This Row],[Score]],#REF!,#REF!)</f>
        <v>#REF!</v>
      </c>
      <c r="D1500" t="s">
        <v>2790</v>
      </c>
      <c r="E1500" t="s">
        <v>28</v>
      </c>
      <c r="F1500" t="s">
        <v>22</v>
      </c>
      <c r="G1500" t="s">
        <v>23</v>
      </c>
      <c r="H1500" t="s">
        <v>2995</v>
      </c>
      <c r="I1500" s="1" t="s">
        <v>26</v>
      </c>
      <c r="J1500" s="1" t="s">
        <v>26</v>
      </c>
      <c r="K1500" s="1" t="s">
        <v>26</v>
      </c>
      <c r="L1500" s="1" t="s">
        <v>26</v>
      </c>
      <c r="M1500" s="1" t="s">
        <v>25</v>
      </c>
      <c r="N1500" s="1" t="s">
        <v>25</v>
      </c>
      <c r="O1500" s="1" t="s">
        <v>25</v>
      </c>
      <c r="P1500" s="1" t="s">
        <v>25</v>
      </c>
      <c r="Q1500" s="1" t="s">
        <v>25</v>
      </c>
      <c r="R1500" s="1" t="s">
        <v>25</v>
      </c>
      <c r="S1500" s="2">
        <v>0</v>
      </c>
    </row>
    <row r="1501" spans="1:19" x14ac:dyDescent="0.3">
      <c r="A1501" t="s">
        <v>2996</v>
      </c>
      <c r="B1501" s="5" t="e" cm="1">
        <f t="array" ref="B1501">MAX(#REF!,MIN(#REF!,#REF!+SUMPRODUCT(--(FoodData[[#This Row],[Healthy]:[Refined]]="Yes"),#REF!)+FoodData[[#This Row],[Adjust]]))</f>
        <v>#REF!</v>
      </c>
      <c r="C1501" s="1" t="e">
        <f>LOOKUP(FoodData[[#This Row],[Score]],#REF!,#REF!)</f>
        <v>#REF!</v>
      </c>
      <c r="D1501" t="s">
        <v>2790</v>
      </c>
      <c r="E1501" t="s">
        <v>21</v>
      </c>
      <c r="F1501" t="s">
        <v>22</v>
      </c>
      <c r="G1501" t="s">
        <v>23</v>
      </c>
      <c r="H1501" t="s">
        <v>2997</v>
      </c>
      <c r="I1501" s="1" t="s">
        <v>26</v>
      </c>
      <c r="J1501" s="1" t="s">
        <v>26</v>
      </c>
      <c r="K1501" s="1" t="s">
        <v>25</v>
      </c>
      <c r="L1501" s="1" t="s">
        <v>26</v>
      </c>
      <c r="M1501" s="1" t="s">
        <v>25</v>
      </c>
      <c r="N1501" s="1" t="s">
        <v>25</v>
      </c>
      <c r="O1501" s="1" t="s">
        <v>25</v>
      </c>
      <c r="P1501" s="1" t="s">
        <v>25</v>
      </c>
      <c r="Q1501" s="1" t="s">
        <v>25</v>
      </c>
      <c r="R1501" s="1" t="s">
        <v>25</v>
      </c>
      <c r="S1501" s="2">
        <v>0</v>
      </c>
    </row>
    <row r="1502" spans="1:19" x14ac:dyDescent="0.3">
      <c r="A1502" t="s">
        <v>2998</v>
      </c>
      <c r="B1502" s="5" t="e" cm="1">
        <f t="array" ref="B1502">MAX(#REF!,MIN(#REF!,#REF!+SUMPRODUCT(--(FoodData[[#This Row],[Healthy]:[Refined]]="Yes"),#REF!)+FoodData[[#This Row],[Adjust]]))</f>
        <v>#REF!</v>
      </c>
      <c r="C1502" s="1" t="e">
        <f>LOOKUP(FoodData[[#This Row],[Score]],#REF!,#REF!)</f>
        <v>#REF!</v>
      </c>
      <c r="D1502" t="s">
        <v>2790</v>
      </c>
      <c r="E1502" t="s">
        <v>21</v>
      </c>
      <c r="F1502" t="s">
        <v>22</v>
      </c>
      <c r="G1502" t="s">
        <v>23</v>
      </c>
      <c r="H1502" t="s">
        <v>2999</v>
      </c>
      <c r="I1502" s="1" t="s">
        <v>26</v>
      </c>
      <c r="J1502" s="1" t="s">
        <v>26</v>
      </c>
      <c r="K1502" s="1" t="s">
        <v>25</v>
      </c>
      <c r="L1502" s="1" t="s">
        <v>26</v>
      </c>
      <c r="M1502" s="1" t="s">
        <v>25</v>
      </c>
      <c r="N1502" s="1" t="s">
        <v>25</v>
      </c>
      <c r="O1502" s="1" t="s">
        <v>25</v>
      </c>
      <c r="P1502" s="1" t="s">
        <v>25</v>
      </c>
      <c r="Q1502" s="1" t="s">
        <v>25</v>
      </c>
      <c r="R1502" s="1" t="s">
        <v>25</v>
      </c>
      <c r="S1502" s="2">
        <v>0</v>
      </c>
    </row>
    <row r="1503" spans="1:19" x14ac:dyDescent="0.3">
      <c r="A1503" t="s">
        <v>3000</v>
      </c>
      <c r="B1503" s="5" t="e" cm="1">
        <f t="array" ref="B1503">MAX(#REF!,MIN(#REF!,#REF!+SUMPRODUCT(--(FoodData[[#This Row],[Healthy]:[Refined]]="Yes"),#REF!)+FoodData[[#This Row],[Adjust]]))</f>
        <v>#REF!</v>
      </c>
      <c r="C1503" s="1" t="e">
        <f>LOOKUP(FoodData[[#This Row],[Score]],#REF!,#REF!)</f>
        <v>#REF!</v>
      </c>
      <c r="D1503" t="s">
        <v>2790</v>
      </c>
      <c r="E1503" t="s">
        <v>28</v>
      </c>
      <c r="F1503" t="s">
        <v>22</v>
      </c>
      <c r="G1503" t="s">
        <v>29</v>
      </c>
      <c r="H1503" t="s">
        <v>3001</v>
      </c>
      <c r="I1503" s="1" t="s">
        <v>26</v>
      </c>
      <c r="J1503" s="1" t="s">
        <v>26</v>
      </c>
      <c r="K1503" s="1" t="s">
        <v>25</v>
      </c>
      <c r="L1503" s="1" t="s">
        <v>26</v>
      </c>
      <c r="M1503" s="1" t="s">
        <v>25</v>
      </c>
      <c r="N1503" s="1" t="s">
        <v>25</v>
      </c>
      <c r="O1503" s="1" t="s">
        <v>25</v>
      </c>
      <c r="P1503" s="1" t="s">
        <v>25</v>
      </c>
      <c r="Q1503" s="1" t="s">
        <v>25</v>
      </c>
      <c r="R1503" s="1" t="s">
        <v>25</v>
      </c>
      <c r="S1503" s="2">
        <v>0</v>
      </c>
    </row>
    <row r="1504" spans="1:19" x14ac:dyDescent="0.3">
      <c r="A1504" t="s">
        <v>3002</v>
      </c>
      <c r="B1504" s="5" t="e" cm="1">
        <f t="array" ref="B1504">MAX(#REF!,MIN(#REF!,#REF!+SUMPRODUCT(--(FoodData[[#This Row],[Healthy]:[Refined]]="Yes"),#REF!)+FoodData[[#This Row],[Adjust]]))</f>
        <v>#REF!</v>
      </c>
      <c r="C1504" s="1" t="e">
        <f>LOOKUP(FoodData[[#This Row],[Score]],#REF!,#REF!)</f>
        <v>#REF!</v>
      </c>
      <c r="D1504" t="s">
        <v>2790</v>
      </c>
      <c r="E1504" t="s">
        <v>21</v>
      </c>
      <c r="F1504" t="s">
        <v>22</v>
      </c>
      <c r="G1504" t="s">
        <v>489</v>
      </c>
      <c r="H1504" t="s">
        <v>3003</v>
      </c>
      <c r="I1504" s="1" t="s">
        <v>25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25</v>
      </c>
      <c r="O1504" s="1" t="s">
        <v>25</v>
      </c>
      <c r="P1504" s="1" t="s">
        <v>25</v>
      </c>
      <c r="Q1504" s="1" t="s">
        <v>25</v>
      </c>
      <c r="R1504" s="1" t="s">
        <v>25</v>
      </c>
      <c r="S1504" s="2">
        <v>0</v>
      </c>
    </row>
    <row r="1505" spans="1:19" x14ac:dyDescent="0.3">
      <c r="A1505" t="s">
        <v>3004</v>
      </c>
      <c r="B1505" s="5" t="e" cm="1">
        <f t="array" ref="B1505">MAX(#REF!,MIN(#REF!,#REF!+SUMPRODUCT(--(FoodData[[#This Row],[Healthy]:[Refined]]="Yes"),#REF!)+FoodData[[#This Row],[Adjust]]))</f>
        <v>#REF!</v>
      </c>
      <c r="C1505" s="1" t="e">
        <f>LOOKUP(FoodData[[#This Row],[Score]],#REF!,#REF!)</f>
        <v>#REF!</v>
      </c>
      <c r="D1505" t="s">
        <v>2790</v>
      </c>
      <c r="E1505" t="s">
        <v>21</v>
      </c>
      <c r="F1505" t="s">
        <v>22</v>
      </c>
      <c r="G1505" t="s">
        <v>23</v>
      </c>
      <c r="H1505" t="s">
        <v>3005</v>
      </c>
      <c r="I1505" s="1" t="s">
        <v>26</v>
      </c>
      <c r="J1505" s="1" t="s">
        <v>26</v>
      </c>
      <c r="K1505" s="1" t="s">
        <v>25</v>
      </c>
      <c r="L1505" s="1" t="s">
        <v>26</v>
      </c>
      <c r="M1505" s="1" t="s">
        <v>25</v>
      </c>
      <c r="N1505" s="1" t="s">
        <v>25</v>
      </c>
      <c r="O1505" s="1" t="s">
        <v>25</v>
      </c>
      <c r="P1505" s="1" t="s">
        <v>25</v>
      </c>
      <c r="Q1505" s="1" t="s">
        <v>25</v>
      </c>
      <c r="R1505" s="1" t="s">
        <v>25</v>
      </c>
      <c r="S1505" s="2">
        <v>0</v>
      </c>
    </row>
    <row r="1506" spans="1:19" x14ac:dyDescent="0.3">
      <c r="A1506" t="s">
        <v>3006</v>
      </c>
      <c r="B1506" s="5" t="e" cm="1">
        <f t="array" ref="B1506">MAX(#REF!,MIN(#REF!,#REF!+SUMPRODUCT(--(FoodData[[#This Row],[Healthy]:[Refined]]="Yes"),#REF!)+FoodData[[#This Row],[Adjust]]))</f>
        <v>#REF!</v>
      </c>
      <c r="C1506" s="1" t="e">
        <f>LOOKUP(FoodData[[#This Row],[Score]],#REF!,#REF!)</f>
        <v>#REF!</v>
      </c>
      <c r="D1506" t="s">
        <v>2790</v>
      </c>
      <c r="E1506" t="s">
        <v>21</v>
      </c>
      <c r="F1506" t="s">
        <v>22</v>
      </c>
      <c r="G1506" t="s">
        <v>23</v>
      </c>
      <c r="H1506" t="s">
        <v>3007</v>
      </c>
      <c r="I1506" s="1" t="s">
        <v>26</v>
      </c>
      <c r="J1506" s="1" t="s">
        <v>26</v>
      </c>
      <c r="K1506" s="1" t="s">
        <v>25</v>
      </c>
      <c r="L1506" s="1" t="s">
        <v>26</v>
      </c>
      <c r="M1506" s="1" t="s">
        <v>25</v>
      </c>
      <c r="N1506" s="1" t="s">
        <v>25</v>
      </c>
      <c r="O1506" s="1" t="s">
        <v>25</v>
      </c>
      <c r="P1506" s="1" t="s">
        <v>25</v>
      </c>
      <c r="Q1506" s="1" t="s">
        <v>25</v>
      </c>
      <c r="R1506" s="1" t="s">
        <v>25</v>
      </c>
      <c r="S1506" s="2">
        <v>0</v>
      </c>
    </row>
    <row r="1507" spans="1:19" x14ac:dyDescent="0.3">
      <c r="A1507" t="s">
        <v>3008</v>
      </c>
      <c r="B1507" s="5" t="e" cm="1">
        <f t="array" ref="B1507">MAX(#REF!,MIN(#REF!,#REF!+SUMPRODUCT(--(FoodData[[#This Row],[Healthy]:[Refined]]="Yes"),#REF!)+FoodData[[#This Row],[Adjust]]))</f>
        <v>#REF!</v>
      </c>
      <c r="C1507" s="1" t="e">
        <f>LOOKUP(FoodData[[#This Row],[Score]],#REF!,#REF!)</f>
        <v>#REF!</v>
      </c>
      <c r="D1507" t="s">
        <v>2790</v>
      </c>
      <c r="E1507" t="s">
        <v>21</v>
      </c>
      <c r="F1507" t="s">
        <v>22</v>
      </c>
      <c r="G1507" t="s">
        <v>23</v>
      </c>
      <c r="H1507" t="s">
        <v>3009</v>
      </c>
      <c r="I1507" s="1" t="s">
        <v>25</v>
      </c>
      <c r="J1507" s="1" t="s">
        <v>25</v>
      </c>
      <c r="K1507" s="1" t="s">
        <v>26</v>
      </c>
      <c r="L1507" s="1" t="s">
        <v>25</v>
      </c>
      <c r="M1507" s="1" t="s">
        <v>25</v>
      </c>
      <c r="N1507" s="1" t="s">
        <v>26</v>
      </c>
      <c r="O1507" s="1" t="s">
        <v>25</v>
      </c>
      <c r="P1507" s="1" t="s">
        <v>26</v>
      </c>
      <c r="Q1507" s="1" t="s">
        <v>25</v>
      </c>
      <c r="R1507" s="1" t="s">
        <v>25</v>
      </c>
      <c r="S1507" s="2">
        <v>0</v>
      </c>
    </row>
    <row r="1508" spans="1:19" x14ac:dyDescent="0.3">
      <c r="A1508" t="s">
        <v>3010</v>
      </c>
      <c r="B1508" s="5" t="e" cm="1">
        <f t="array" ref="B1508">MAX(#REF!,MIN(#REF!,#REF!+SUMPRODUCT(--(FoodData[[#This Row],[Healthy]:[Refined]]="Yes"),#REF!)+FoodData[[#This Row],[Adjust]]))</f>
        <v>#REF!</v>
      </c>
      <c r="C1508" s="1" t="e">
        <f>LOOKUP(FoodData[[#This Row],[Score]],#REF!,#REF!)</f>
        <v>#REF!</v>
      </c>
      <c r="D1508" t="s">
        <v>2790</v>
      </c>
      <c r="E1508" t="s">
        <v>21</v>
      </c>
      <c r="F1508" t="s">
        <v>22</v>
      </c>
      <c r="G1508" t="s">
        <v>23</v>
      </c>
      <c r="H1508" t="s">
        <v>3011</v>
      </c>
      <c r="I1508" s="1" t="s">
        <v>26</v>
      </c>
      <c r="J1508" s="1" t="s">
        <v>25</v>
      </c>
      <c r="K1508" s="1" t="s">
        <v>25</v>
      </c>
      <c r="L1508" s="1" t="s">
        <v>25</v>
      </c>
      <c r="M1508" s="1" t="s">
        <v>25</v>
      </c>
      <c r="N1508" s="1" t="s">
        <v>25</v>
      </c>
      <c r="O1508" s="1" t="s">
        <v>25</v>
      </c>
      <c r="P1508" s="1" t="s">
        <v>25</v>
      </c>
      <c r="Q1508" s="1" t="s">
        <v>25</v>
      </c>
      <c r="R1508" s="1" t="s">
        <v>26</v>
      </c>
      <c r="S1508" s="2">
        <v>0</v>
      </c>
    </row>
    <row r="1509" spans="1:19" x14ac:dyDescent="0.3">
      <c r="A1509" t="s">
        <v>3012</v>
      </c>
      <c r="B1509" s="5" t="e" cm="1">
        <f t="array" ref="B1509">MAX(#REF!,MIN(#REF!,#REF!+SUMPRODUCT(--(FoodData[[#This Row],[Healthy]:[Refined]]="Yes"),#REF!)+FoodData[[#This Row],[Adjust]]))</f>
        <v>#REF!</v>
      </c>
      <c r="C1509" s="1" t="e">
        <f>LOOKUP(FoodData[[#This Row],[Score]],#REF!,#REF!)</f>
        <v>#REF!</v>
      </c>
      <c r="D1509" t="s">
        <v>2790</v>
      </c>
      <c r="E1509" t="s">
        <v>28</v>
      </c>
      <c r="F1509" t="s">
        <v>22</v>
      </c>
      <c r="G1509" t="s">
        <v>23</v>
      </c>
      <c r="H1509" t="s">
        <v>3013</v>
      </c>
      <c r="I1509" s="1" t="s">
        <v>26</v>
      </c>
      <c r="J1509" s="1" t="s">
        <v>25</v>
      </c>
      <c r="K1509" s="1" t="s">
        <v>26</v>
      </c>
      <c r="L1509" s="1" t="s">
        <v>25</v>
      </c>
      <c r="M1509" s="1" t="s">
        <v>25</v>
      </c>
      <c r="N1509" s="1" t="s">
        <v>26</v>
      </c>
      <c r="O1509" s="1" t="s">
        <v>25</v>
      </c>
      <c r="P1509" s="1" t="s">
        <v>25</v>
      </c>
      <c r="Q1509" s="1" t="s">
        <v>25</v>
      </c>
      <c r="R1509" s="1" t="s">
        <v>25</v>
      </c>
      <c r="S1509" s="2">
        <v>0</v>
      </c>
    </row>
    <row r="1510" spans="1:19" x14ac:dyDescent="0.3">
      <c r="A1510" t="s">
        <v>3014</v>
      </c>
      <c r="B1510" s="5" t="e" cm="1">
        <f t="array" ref="B1510">MAX(#REF!,MIN(#REF!,#REF!+SUMPRODUCT(--(FoodData[[#This Row],[Healthy]:[Refined]]="Yes"),#REF!)+FoodData[[#This Row],[Adjust]]))</f>
        <v>#REF!</v>
      </c>
      <c r="C1510" s="1" t="e">
        <f>LOOKUP(FoodData[[#This Row],[Score]],#REF!,#REF!)</f>
        <v>#REF!</v>
      </c>
      <c r="D1510" t="s">
        <v>2790</v>
      </c>
      <c r="E1510" t="s">
        <v>21</v>
      </c>
      <c r="F1510" t="s">
        <v>22</v>
      </c>
      <c r="G1510" t="s">
        <v>23</v>
      </c>
      <c r="H1510" t="s">
        <v>3015</v>
      </c>
      <c r="I1510" s="1" t="s">
        <v>25</v>
      </c>
      <c r="J1510" s="1" t="s">
        <v>25</v>
      </c>
      <c r="K1510" s="1" t="s">
        <v>25</v>
      </c>
      <c r="L1510" s="1" t="s">
        <v>25</v>
      </c>
      <c r="M1510" s="1" t="s">
        <v>25</v>
      </c>
      <c r="N1510" s="1" t="s">
        <v>25</v>
      </c>
      <c r="O1510" s="1" t="s">
        <v>25</v>
      </c>
      <c r="P1510" s="1" t="s">
        <v>25</v>
      </c>
      <c r="Q1510" s="1" t="s">
        <v>25</v>
      </c>
      <c r="R1510" s="1" t="s">
        <v>26</v>
      </c>
      <c r="S1510" s="2">
        <v>0</v>
      </c>
    </row>
    <row r="1511" spans="1:19" x14ac:dyDescent="0.3">
      <c r="A1511" t="s">
        <v>3016</v>
      </c>
      <c r="B1511" s="5" t="e" cm="1">
        <f t="array" ref="B1511">MAX(#REF!,MIN(#REF!,#REF!+SUMPRODUCT(--(FoodData[[#This Row],[Healthy]:[Refined]]="Yes"),#REF!)+FoodData[[#This Row],[Adjust]]))</f>
        <v>#REF!</v>
      </c>
      <c r="C1511" s="1" t="e">
        <f>LOOKUP(FoodData[[#This Row],[Score]],#REF!,#REF!)</f>
        <v>#REF!</v>
      </c>
      <c r="D1511" t="s">
        <v>2790</v>
      </c>
      <c r="E1511" t="s">
        <v>21</v>
      </c>
      <c r="F1511" t="s">
        <v>22</v>
      </c>
      <c r="G1511" t="s">
        <v>23</v>
      </c>
      <c r="H1511" t="s">
        <v>3017</v>
      </c>
      <c r="I1511" s="1" t="s">
        <v>25</v>
      </c>
      <c r="J1511" s="1" t="s">
        <v>25</v>
      </c>
      <c r="K1511" s="1" t="s">
        <v>25</v>
      </c>
      <c r="L1511" s="1" t="s">
        <v>25</v>
      </c>
      <c r="M1511" s="1" t="s">
        <v>25</v>
      </c>
      <c r="N1511" s="1" t="s">
        <v>26</v>
      </c>
      <c r="O1511" s="1" t="s">
        <v>25</v>
      </c>
      <c r="P1511" s="1" t="s">
        <v>25</v>
      </c>
      <c r="Q1511" s="1" t="s">
        <v>25</v>
      </c>
      <c r="R1511" s="1" t="s">
        <v>26</v>
      </c>
      <c r="S1511" s="2">
        <v>0</v>
      </c>
    </row>
    <row r="1512" spans="1:19" x14ac:dyDescent="0.3">
      <c r="A1512" t="s">
        <v>3018</v>
      </c>
      <c r="B1512" s="5" t="e" cm="1">
        <f t="array" ref="B1512">MAX(#REF!,MIN(#REF!,#REF!+SUMPRODUCT(--(FoodData[[#This Row],[Healthy]:[Refined]]="Yes"),#REF!)+FoodData[[#This Row],[Adjust]]))</f>
        <v>#REF!</v>
      </c>
      <c r="C1512" s="1" t="e">
        <f>LOOKUP(FoodData[[#This Row],[Score]],#REF!,#REF!)</f>
        <v>#REF!</v>
      </c>
      <c r="D1512" t="s">
        <v>2790</v>
      </c>
      <c r="E1512" t="s">
        <v>21</v>
      </c>
      <c r="F1512" t="s">
        <v>22</v>
      </c>
      <c r="G1512" t="s">
        <v>23</v>
      </c>
      <c r="H1512" t="s">
        <v>3019</v>
      </c>
      <c r="I1512" s="1" t="s">
        <v>25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25</v>
      </c>
      <c r="Q1512" s="1" t="s">
        <v>25</v>
      </c>
      <c r="R1512" s="1" t="s">
        <v>25</v>
      </c>
      <c r="S1512" s="2">
        <v>0</v>
      </c>
    </row>
    <row r="1513" spans="1:19" x14ac:dyDescent="0.3">
      <c r="A1513" t="s">
        <v>3020</v>
      </c>
      <c r="B1513" s="5" t="e" cm="1">
        <f t="array" ref="B1513">MAX(#REF!,MIN(#REF!,#REF!+SUMPRODUCT(--(FoodData[[#This Row],[Healthy]:[Refined]]="Yes"),#REF!)+FoodData[[#This Row],[Adjust]]))</f>
        <v>#REF!</v>
      </c>
      <c r="C1513" s="1" t="e">
        <f>LOOKUP(FoodData[[#This Row],[Score]],#REF!,#REF!)</f>
        <v>#REF!</v>
      </c>
      <c r="D1513" t="s">
        <v>2790</v>
      </c>
      <c r="E1513" t="s">
        <v>21</v>
      </c>
      <c r="F1513" t="s">
        <v>22</v>
      </c>
      <c r="G1513" t="s">
        <v>489</v>
      </c>
      <c r="H1513" t="s">
        <v>3021</v>
      </c>
      <c r="I1513" s="1" t="s">
        <v>25</v>
      </c>
      <c r="J1513" s="1" t="s">
        <v>26</v>
      </c>
      <c r="K1513" s="1" t="s">
        <v>25</v>
      </c>
      <c r="L1513" s="1" t="s">
        <v>25</v>
      </c>
      <c r="M1513" s="1" t="s">
        <v>26</v>
      </c>
      <c r="N1513" s="1" t="s">
        <v>25</v>
      </c>
      <c r="O1513" s="1" t="s">
        <v>26</v>
      </c>
      <c r="P1513" s="1" t="s">
        <v>25</v>
      </c>
      <c r="Q1513" s="1" t="s">
        <v>25</v>
      </c>
      <c r="R1513" s="1" t="s">
        <v>25</v>
      </c>
      <c r="S1513" s="2">
        <v>0</v>
      </c>
    </row>
    <row r="1514" spans="1:19" x14ac:dyDescent="0.3">
      <c r="A1514" t="s">
        <v>3022</v>
      </c>
      <c r="B1514" s="5" t="e" cm="1">
        <f t="array" ref="B1514">MAX(#REF!,MIN(#REF!,#REF!+SUMPRODUCT(--(FoodData[[#This Row],[Healthy]:[Refined]]="Yes"),#REF!)+FoodData[[#This Row],[Adjust]]))</f>
        <v>#REF!</v>
      </c>
      <c r="C1514" s="1" t="e">
        <f>LOOKUP(FoodData[[#This Row],[Score]],#REF!,#REF!)</f>
        <v>#REF!</v>
      </c>
      <c r="D1514" t="s">
        <v>2790</v>
      </c>
      <c r="E1514" t="s">
        <v>28</v>
      </c>
      <c r="F1514" t="s">
        <v>22</v>
      </c>
      <c r="G1514" t="s">
        <v>23</v>
      </c>
      <c r="H1514" t="s">
        <v>3023</v>
      </c>
      <c r="I1514" s="1" t="s">
        <v>25</v>
      </c>
      <c r="J1514" s="1" t="s">
        <v>25</v>
      </c>
      <c r="K1514" s="1" t="s">
        <v>25</v>
      </c>
      <c r="L1514" s="1" t="s">
        <v>26</v>
      </c>
      <c r="M1514" s="1" t="s">
        <v>25</v>
      </c>
      <c r="N1514" s="1" t="s">
        <v>26</v>
      </c>
      <c r="O1514" s="1" t="s">
        <v>25</v>
      </c>
      <c r="P1514" s="1" t="s">
        <v>25</v>
      </c>
      <c r="Q1514" s="1" t="s">
        <v>25</v>
      </c>
      <c r="R1514" s="1" t="s">
        <v>25</v>
      </c>
      <c r="S1514" s="2">
        <v>0</v>
      </c>
    </row>
    <row r="1515" spans="1:19" x14ac:dyDescent="0.3">
      <c r="A1515" t="s">
        <v>3024</v>
      </c>
      <c r="B1515" s="5" t="e" cm="1">
        <f t="array" ref="B1515">MAX(#REF!,MIN(#REF!,#REF!+SUMPRODUCT(--(FoodData[[#This Row],[Healthy]:[Refined]]="Yes"),#REF!)+FoodData[[#This Row],[Adjust]]))</f>
        <v>#REF!</v>
      </c>
      <c r="C1515" s="1" t="e">
        <f>LOOKUP(FoodData[[#This Row],[Score]],#REF!,#REF!)</f>
        <v>#REF!</v>
      </c>
      <c r="D1515" t="s">
        <v>2790</v>
      </c>
      <c r="E1515" t="s">
        <v>21</v>
      </c>
      <c r="F1515" t="s">
        <v>22</v>
      </c>
      <c r="G1515" t="s">
        <v>23</v>
      </c>
      <c r="H1515" t="s">
        <v>3025</v>
      </c>
      <c r="I1515" s="1" t="s">
        <v>25</v>
      </c>
      <c r="J1515" s="1" t="s">
        <v>25</v>
      </c>
      <c r="K1515" s="1" t="s">
        <v>26</v>
      </c>
      <c r="L1515" s="1" t="s">
        <v>26</v>
      </c>
      <c r="M1515" s="1" t="s">
        <v>25</v>
      </c>
      <c r="N1515" s="1" t="s">
        <v>26</v>
      </c>
      <c r="O1515" s="1" t="s">
        <v>25</v>
      </c>
      <c r="P1515" s="1" t="s">
        <v>25</v>
      </c>
      <c r="Q1515" s="1" t="s">
        <v>25</v>
      </c>
      <c r="R1515" s="1" t="s">
        <v>25</v>
      </c>
      <c r="S1515" s="2">
        <v>0</v>
      </c>
    </row>
    <row r="1516" spans="1:19" x14ac:dyDescent="0.3">
      <c r="A1516" t="s">
        <v>3026</v>
      </c>
      <c r="B1516" s="5" t="e" cm="1">
        <f t="array" ref="B1516">MAX(#REF!,MIN(#REF!,#REF!+SUMPRODUCT(--(FoodData[[#This Row],[Healthy]:[Refined]]="Yes"),#REF!)+FoodData[[#This Row],[Adjust]]))</f>
        <v>#REF!</v>
      </c>
      <c r="C1516" s="1" t="e">
        <f>LOOKUP(FoodData[[#This Row],[Score]],#REF!,#REF!)</f>
        <v>#REF!</v>
      </c>
      <c r="D1516" t="s">
        <v>2790</v>
      </c>
      <c r="E1516" t="s">
        <v>21</v>
      </c>
      <c r="F1516" t="s">
        <v>60</v>
      </c>
      <c r="G1516" t="s">
        <v>29</v>
      </c>
      <c r="H1516" t="s">
        <v>3027</v>
      </c>
      <c r="I1516" s="1" t="s">
        <v>25</v>
      </c>
      <c r="J1516" s="1" t="s">
        <v>25</v>
      </c>
      <c r="K1516" s="1" t="s">
        <v>26</v>
      </c>
      <c r="L1516" s="1" t="s">
        <v>25</v>
      </c>
      <c r="M1516" s="1" t="s">
        <v>25</v>
      </c>
      <c r="N1516" s="1" t="s">
        <v>25</v>
      </c>
      <c r="O1516" s="1" t="s">
        <v>26</v>
      </c>
      <c r="P1516" s="1" t="s">
        <v>25</v>
      </c>
      <c r="Q1516" s="1" t="s">
        <v>25</v>
      </c>
      <c r="R1516" s="1" t="s">
        <v>25</v>
      </c>
      <c r="S1516" s="2">
        <v>0</v>
      </c>
    </row>
    <row r="1517" spans="1:19" x14ac:dyDescent="0.3">
      <c r="A1517" t="s">
        <v>3028</v>
      </c>
      <c r="B1517" s="5" t="e" cm="1">
        <f t="array" ref="B1517">MAX(#REF!,MIN(#REF!,#REF!+SUMPRODUCT(--(FoodData[[#This Row],[Healthy]:[Refined]]="Yes"),#REF!)+FoodData[[#This Row],[Adjust]]))</f>
        <v>#REF!</v>
      </c>
      <c r="C1517" s="1" t="e">
        <f>LOOKUP(FoodData[[#This Row],[Score]],#REF!,#REF!)</f>
        <v>#REF!</v>
      </c>
      <c r="D1517" t="s">
        <v>2790</v>
      </c>
      <c r="E1517" t="s">
        <v>28</v>
      </c>
      <c r="F1517" t="s">
        <v>22</v>
      </c>
      <c r="G1517" t="s">
        <v>23</v>
      </c>
      <c r="H1517" t="s">
        <v>3029</v>
      </c>
      <c r="I1517" s="1" t="s">
        <v>26</v>
      </c>
      <c r="J1517" s="1" t="s">
        <v>26</v>
      </c>
      <c r="K1517" s="1" t="s">
        <v>26</v>
      </c>
      <c r="L1517" s="1" t="s">
        <v>26</v>
      </c>
      <c r="M1517" s="1" t="s">
        <v>25</v>
      </c>
      <c r="N1517" s="1" t="s">
        <v>25</v>
      </c>
      <c r="O1517" s="1" t="s">
        <v>25</v>
      </c>
      <c r="P1517" s="1" t="s">
        <v>25</v>
      </c>
      <c r="Q1517" s="1" t="s">
        <v>25</v>
      </c>
      <c r="R1517" s="1" t="s">
        <v>25</v>
      </c>
      <c r="S1517" s="2">
        <v>0</v>
      </c>
    </row>
    <row r="1518" spans="1:19" x14ac:dyDescent="0.3">
      <c r="A1518" t="s">
        <v>3030</v>
      </c>
      <c r="B1518" s="5" t="e" cm="1">
        <f t="array" ref="B1518">MAX(#REF!,MIN(#REF!,#REF!+SUMPRODUCT(--(FoodData[[#This Row],[Healthy]:[Refined]]="Yes"),#REF!)+FoodData[[#This Row],[Adjust]]))</f>
        <v>#REF!</v>
      </c>
      <c r="C1518" s="1" t="e">
        <f>LOOKUP(FoodData[[#This Row],[Score]],#REF!,#REF!)</f>
        <v>#REF!</v>
      </c>
      <c r="D1518" t="s">
        <v>2790</v>
      </c>
      <c r="E1518" t="s">
        <v>28</v>
      </c>
      <c r="F1518" t="s">
        <v>22</v>
      </c>
      <c r="G1518" t="s">
        <v>29</v>
      </c>
      <c r="H1518" t="s">
        <v>3031</v>
      </c>
      <c r="I1518" s="1" t="s">
        <v>26</v>
      </c>
      <c r="J1518" s="1" t="s">
        <v>25</v>
      </c>
      <c r="K1518" s="1" t="s">
        <v>25</v>
      </c>
      <c r="L1518" s="1" t="s">
        <v>25</v>
      </c>
      <c r="M1518" s="1" t="s">
        <v>25</v>
      </c>
      <c r="N1518" s="1" t="s">
        <v>25</v>
      </c>
      <c r="O1518" s="1" t="s">
        <v>25</v>
      </c>
      <c r="P1518" s="1" t="s">
        <v>25</v>
      </c>
      <c r="Q1518" s="1" t="s">
        <v>25</v>
      </c>
      <c r="R1518" s="1" t="s">
        <v>25</v>
      </c>
      <c r="S1518" s="2">
        <v>0</v>
      </c>
    </row>
    <row r="1519" spans="1:19" x14ac:dyDescent="0.3">
      <c r="A1519" t="s">
        <v>3032</v>
      </c>
      <c r="B1519" s="5" t="e" cm="1">
        <f t="array" ref="B1519">MAX(#REF!,MIN(#REF!,#REF!+SUMPRODUCT(--(FoodData[[#This Row],[Healthy]:[Refined]]="Yes"),#REF!)+FoodData[[#This Row],[Adjust]]))</f>
        <v>#REF!</v>
      </c>
      <c r="C1519" s="1" t="e">
        <f>LOOKUP(FoodData[[#This Row],[Score]],#REF!,#REF!)</f>
        <v>#REF!</v>
      </c>
      <c r="D1519" t="s">
        <v>2790</v>
      </c>
      <c r="E1519" t="s">
        <v>21</v>
      </c>
      <c r="F1519" t="s">
        <v>22</v>
      </c>
      <c r="G1519" t="s">
        <v>489</v>
      </c>
      <c r="H1519" t="s">
        <v>3033</v>
      </c>
      <c r="I1519" s="1" t="s">
        <v>25</v>
      </c>
      <c r="J1519" s="1" t="s">
        <v>25</v>
      </c>
      <c r="K1519" s="1" t="s">
        <v>25</v>
      </c>
      <c r="L1519" s="1" t="s">
        <v>25</v>
      </c>
      <c r="M1519" s="1" t="s">
        <v>26</v>
      </c>
      <c r="N1519" s="1" t="s">
        <v>25</v>
      </c>
      <c r="O1519" s="1" t="s">
        <v>26</v>
      </c>
      <c r="P1519" s="1" t="s">
        <v>25</v>
      </c>
      <c r="Q1519" s="1" t="s">
        <v>25</v>
      </c>
      <c r="R1519" s="1" t="s">
        <v>26</v>
      </c>
      <c r="S1519" s="2">
        <v>0</v>
      </c>
    </row>
    <row r="1520" spans="1:19" x14ac:dyDescent="0.3">
      <c r="A1520" t="s">
        <v>3034</v>
      </c>
      <c r="B1520" s="5" t="e" cm="1">
        <f t="array" ref="B1520">MAX(#REF!,MIN(#REF!,#REF!+SUMPRODUCT(--(FoodData[[#This Row],[Healthy]:[Refined]]="Yes"),#REF!)+FoodData[[#This Row],[Adjust]]))</f>
        <v>#REF!</v>
      </c>
      <c r="C1520" s="1" t="e">
        <f>LOOKUP(FoodData[[#This Row],[Score]],#REF!,#REF!)</f>
        <v>#REF!</v>
      </c>
      <c r="D1520" t="s">
        <v>2790</v>
      </c>
      <c r="E1520" t="s">
        <v>21</v>
      </c>
      <c r="F1520" t="s">
        <v>22</v>
      </c>
      <c r="G1520" t="s">
        <v>23</v>
      </c>
      <c r="H1520" t="s">
        <v>3035</v>
      </c>
      <c r="I1520" s="1" t="s">
        <v>25</v>
      </c>
      <c r="J1520" s="1" t="s">
        <v>26</v>
      </c>
      <c r="K1520" s="1" t="s">
        <v>25</v>
      </c>
      <c r="L1520" s="1" t="s">
        <v>26</v>
      </c>
      <c r="M1520" s="1" t="s">
        <v>25</v>
      </c>
      <c r="N1520" s="1" t="s">
        <v>26</v>
      </c>
      <c r="O1520" s="1" t="s">
        <v>25</v>
      </c>
      <c r="P1520" s="1" t="s">
        <v>25</v>
      </c>
      <c r="Q1520" s="1" t="s">
        <v>25</v>
      </c>
      <c r="R1520" s="1" t="s">
        <v>25</v>
      </c>
      <c r="S1520" s="2">
        <v>0</v>
      </c>
    </row>
    <row r="1521" spans="1:19" x14ac:dyDescent="0.3">
      <c r="A1521" t="s">
        <v>3036</v>
      </c>
      <c r="B1521" s="5" t="e" cm="1">
        <f t="array" ref="B1521">MAX(#REF!,MIN(#REF!,#REF!+SUMPRODUCT(--(FoodData[[#This Row],[Healthy]:[Refined]]="Yes"),#REF!)+FoodData[[#This Row],[Adjust]]))</f>
        <v>#REF!</v>
      </c>
      <c r="C1521" s="1" t="e">
        <f>LOOKUP(FoodData[[#This Row],[Score]],#REF!,#REF!)</f>
        <v>#REF!</v>
      </c>
      <c r="D1521" t="s">
        <v>2790</v>
      </c>
      <c r="E1521" t="s">
        <v>21</v>
      </c>
      <c r="F1521" t="s">
        <v>22</v>
      </c>
      <c r="G1521" t="s">
        <v>23</v>
      </c>
      <c r="H1521" t="s">
        <v>3037</v>
      </c>
      <c r="I1521" s="1" t="s">
        <v>26</v>
      </c>
      <c r="J1521" s="1" t="s">
        <v>26</v>
      </c>
      <c r="K1521" s="1" t="s">
        <v>25</v>
      </c>
      <c r="L1521" s="1" t="s">
        <v>25</v>
      </c>
      <c r="M1521" s="1" t="s">
        <v>25</v>
      </c>
      <c r="N1521" s="1" t="s">
        <v>25</v>
      </c>
      <c r="O1521" s="1" t="s">
        <v>25</v>
      </c>
      <c r="P1521" s="1" t="s">
        <v>25</v>
      </c>
      <c r="Q1521" s="1" t="s">
        <v>25</v>
      </c>
      <c r="R1521" s="1" t="s">
        <v>25</v>
      </c>
      <c r="S1521" s="2">
        <v>0</v>
      </c>
    </row>
    <row r="1522" spans="1:19" x14ac:dyDescent="0.3">
      <c r="A1522" t="s">
        <v>3038</v>
      </c>
      <c r="B1522" s="5" t="e" cm="1">
        <f t="array" ref="B1522">MAX(#REF!,MIN(#REF!,#REF!+SUMPRODUCT(--(FoodData[[#This Row],[Healthy]:[Refined]]="Yes"),#REF!)+FoodData[[#This Row],[Adjust]]))</f>
        <v>#REF!</v>
      </c>
      <c r="C1522" s="1" t="e">
        <f>LOOKUP(FoodData[[#This Row],[Score]],#REF!,#REF!)</f>
        <v>#REF!</v>
      </c>
      <c r="D1522" t="s">
        <v>2790</v>
      </c>
      <c r="E1522" t="s">
        <v>21</v>
      </c>
      <c r="F1522" t="s">
        <v>22</v>
      </c>
      <c r="G1522" t="s">
        <v>23</v>
      </c>
      <c r="H1522" t="s">
        <v>3039</v>
      </c>
      <c r="I1522" s="1" t="s">
        <v>25</v>
      </c>
      <c r="J1522" s="1" t="s">
        <v>25</v>
      </c>
      <c r="K1522" s="1" t="s">
        <v>26</v>
      </c>
      <c r="L1522" s="1" t="s">
        <v>25</v>
      </c>
      <c r="M1522" s="1" t="s">
        <v>25</v>
      </c>
      <c r="N1522" s="1" t="s">
        <v>26</v>
      </c>
      <c r="O1522" s="1" t="s">
        <v>25</v>
      </c>
      <c r="P1522" s="1" t="s">
        <v>26</v>
      </c>
      <c r="Q1522" s="1" t="s">
        <v>25</v>
      </c>
      <c r="R1522" s="1" t="s">
        <v>25</v>
      </c>
      <c r="S1522" s="2">
        <v>0</v>
      </c>
    </row>
    <row r="1523" spans="1:19" x14ac:dyDescent="0.3">
      <c r="A1523" t="s">
        <v>3040</v>
      </c>
      <c r="B1523" s="5" t="e" cm="1">
        <f t="array" ref="B1523">MAX(#REF!,MIN(#REF!,#REF!+SUMPRODUCT(--(FoodData[[#This Row],[Healthy]:[Refined]]="Yes"),#REF!)+FoodData[[#This Row],[Adjust]]))</f>
        <v>#REF!</v>
      </c>
      <c r="C1523" s="1" t="e">
        <f>LOOKUP(FoodData[[#This Row],[Score]],#REF!,#REF!)</f>
        <v>#REF!</v>
      </c>
      <c r="D1523" t="s">
        <v>2790</v>
      </c>
      <c r="E1523" t="s">
        <v>21</v>
      </c>
      <c r="F1523" t="s">
        <v>22</v>
      </c>
      <c r="G1523" t="s">
        <v>23</v>
      </c>
      <c r="H1523" t="s">
        <v>3041</v>
      </c>
      <c r="I1523" s="1" t="s">
        <v>25</v>
      </c>
      <c r="J1523" s="1" t="s">
        <v>25</v>
      </c>
      <c r="K1523" s="1" t="s">
        <v>26</v>
      </c>
      <c r="L1523" s="1" t="s">
        <v>25</v>
      </c>
      <c r="M1523" s="1" t="s">
        <v>25</v>
      </c>
      <c r="N1523" s="1" t="s">
        <v>26</v>
      </c>
      <c r="O1523" s="1" t="s">
        <v>25</v>
      </c>
      <c r="P1523" s="1" t="s">
        <v>26</v>
      </c>
      <c r="Q1523" s="1" t="s">
        <v>25</v>
      </c>
      <c r="R1523" s="1" t="s">
        <v>25</v>
      </c>
      <c r="S1523" s="2">
        <v>0</v>
      </c>
    </row>
    <row r="1524" spans="1:19" x14ac:dyDescent="0.3">
      <c r="A1524" t="s">
        <v>3042</v>
      </c>
      <c r="B1524" s="5" t="e" cm="1">
        <f t="array" ref="B1524">MAX(#REF!,MIN(#REF!,#REF!+SUMPRODUCT(--(FoodData[[#This Row],[Healthy]:[Refined]]="Yes"),#REF!)+FoodData[[#This Row],[Adjust]]))</f>
        <v>#REF!</v>
      </c>
      <c r="C1524" s="1" t="e">
        <f>LOOKUP(FoodData[[#This Row],[Score]],#REF!,#REF!)</f>
        <v>#REF!</v>
      </c>
      <c r="D1524" t="s">
        <v>2790</v>
      </c>
      <c r="E1524" t="s">
        <v>63</v>
      </c>
      <c r="F1524" t="s">
        <v>22</v>
      </c>
      <c r="G1524" t="s">
        <v>23</v>
      </c>
      <c r="H1524" t="s">
        <v>3043</v>
      </c>
      <c r="I1524" s="1" t="s">
        <v>25</v>
      </c>
      <c r="J1524" s="1" t="s">
        <v>25</v>
      </c>
      <c r="K1524" s="1" t="s">
        <v>26</v>
      </c>
      <c r="L1524" s="1" t="s">
        <v>26</v>
      </c>
      <c r="M1524" s="1" t="s">
        <v>26</v>
      </c>
      <c r="N1524" s="1" t="s">
        <v>25</v>
      </c>
      <c r="O1524" s="1" t="s">
        <v>25</v>
      </c>
      <c r="P1524" s="1" t="s">
        <v>25</v>
      </c>
      <c r="Q1524" s="1" t="s">
        <v>25</v>
      </c>
      <c r="R1524" s="1" t="s">
        <v>25</v>
      </c>
      <c r="S1524" s="2">
        <v>0</v>
      </c>
    </row>
    <row r="1525" spans="1:19" x14ac:dyDescent="0.3">
      <c r="A1525" t="s">
        <v>3044</v>
      </c>
      <c r="B1525" s="5" t="e" cm="1">
        <f t="array" ref="B1525">MAX(#REF!,MIN(#REF!,#REF!+SUMPRODUCT(--(FoodData[[#This Row],[Healthy]:[Refined]]="Yes"),#REF!)+FoodData[[#This Row],[Adjust]]))</f>
        <v>#REF!</v>
      </c>
      <c r="C1525" s="1" t="e">
        <f>LOOKUP(FoodData[[#This Row],[Score]],#REF!,#REF!)</f>
        <v>#REF!</v>
      </c>
      <c r="D1525" t="s">
        <v>2790</v>
      </c>
      <c r="E1525" t="s">
        <v>63</v>
      </c>
      <c r="F1525" t="s">
        <v>22</v>
      </c>
      <c r="G1525" t="s">
        <v>23</v>
      </c>
      <c r="H1525" t="s">
        <v>3045</v>
      </c>
      <c r="I1525" s="1" t="s">
        <v>25</v>
      </c>
      <c r="J1525" s="1" t="s">
        <v>25</v>
      </c>
      <c r="K1525" s="1" t="s">
        <v>26</v>
      </c>
      <c r="L1525" s="1" t="s">
        <v>26</v>
      </c>
      <c r="M1525" s="1" t="s">
        <v>25</v>
      </c>
      <c r="N1525" s="1" t="s">
        <v>25</v>
      </c>
      <c r="O1525" s="1" t="s">
        <v>26</v>
      </c>
      <c r="P1525" s="1" t="s">
        <v>25</v>
      </c>
      <c r="Q1525" s="1" t="s">
        <v>25</v>
      </c>
      <c r="R1525" s="1" t="s">
        <v>25</v>
      </c>
      <c r="S1525" s="2">
        <v>0</v>
      </c>
    </row>
    <row r="1526" spans="1:19" x14ac:dyDescent="0.3">
      <c r="A1526" t="s">
        <v>3046</v>
      </c>
      <c r="B1526" s="5" t="e" cm="1">
        <f t="array" ref="B1526">MAX(#REF!,MIN(#REF!,#REF!+SUMPRODUCT(--(FoodData[[#This Row],[Healthy]:[Refined]]="Yes"),#REF!)+FoodData[[#This Row],[Adjust]]))</f>
        <v>#REF!</v>
      </c>
      <c r="C1526" s="1" t="e">
        <f>LOOKUP(FoodData[[#This Row],[Score]],#REF!,#REF!)</f>
        <v>#REF!</v>
      </c>
      <c r="D1526" t="s">
        <v>2790</v>
      </c>
      <c r="E1526" t="s">
        <v>63</v>
      </c>
      <c r="F1526" t="s">
        <v>22</v>
      </c>
      <c r="G1526" t="s">
        <v>23</v>
      </c>
      <c r="H1526" t="s">
        <v>3047</v>
      </c>
      <c r="I1526" s="1" t="s">
        <v>25</v>
      </c>
      <c r="J1526" s="1" t="s">
        <v>25</v>
      </c>
      <c r="K1526" s="1" t="s">
        <v>26</v>
      </c>
      <c r="L1526" s="1" t="s">
        <v>26</v>
      </c>
      <c r="M1526" s="1" t="s">
        <v>25</v>
      </c>
      <c r="N1526" s="1" t="s">
        <v>25</v>
      </c>
      <c r="O1526" s="1" t="s">
        <v>25</v>
      </c>
      <c r="P1526" s="1" t="s">
        <v>26</v>
      </c>
      <c r="Q1526" s="1" t="s">
        <v>26</v>
      </c>
      <c r="R1526" s="1" t="s">
        <v>25</v>
      </c>
      <c r="S1526" s="2">
        <v>0</v>
      </c>
    </row>
    <row r="1527" spans="1:19" x14ac:dyDescent="0.3">
      <c r="A1527" t="s">
        <v>3048</v>
      </c>
      <c r="B1527" s="5" t="e" cm="1">
        <f t="array" ref="B1527">MAX(#REF!,MIN(#REF!,#REF!+SUMPRODUCT(--(FoodData[[#This Row],[Healthy]:[Refined]]="Yes"),#REF!)+FoodData[[#This Row],[Adjust]]))</f>
        <v>#REF!</v>
      </c>
      <c r="C1527" s="1" t="e">
        <f>LOOKUP(FoodData[[#This Row],[Score]],#REF!,#REF!)</f>
        <v>#REF!</v>
      </c>
      <c r="D1527" t="s">
        <v>2790</v>
      </c>
      <c r="E1527" t="s">
        <v>21</v>
      </c>
      <c r="F1527" t="s">
        <v>22</v>
      </c>
      <c r="G1527" t="s">
        <v>23</v>
      </c>
      <c r="H1527" t="s">
        <v>3049</v>
      </c>
      <c r="I1527" s="1" t="s">
        <v>25</v>
      </c>
      <c r="J1527" s="1" t="s">
        <v>25</v>
      </c>
      <c r="K1527" s="1" t="s">
        <v>25</v>
      </c>
      <c r="L1527" s="1" t="s">
        <v>25</v>
      </c>
      <c r="M1527" s="1" t="s">
        <v>25</v>
      </c>
      <c r="N1527" s="1" t="s">
        <v>26</v>
      </c>
      <c r="O1527" s="1" t="s">
        <v>25</v>
      </c>
      <c r="P1527" s="1" t="s">
        <v>25</v>
      </c>
      <c r="Q1527" s="1" t="s">
        <v>25</v>
      </c>
      <c r="R1527" s="1" t="s">
        <v>26</v>
      </c>
      <c r="S1527" s="2">
        <v>0</v>
      </c>
    </row>
    <row r="1528" spans="1:19" x14ac:dyDescent="0.3">
      <c r="A1528" t="s">
        <v>3050</v>
      </c>
      <c r="B1528" s="5" t="e" cm="1">
        <f t="array" ref="B1528">MAX(#REF!,MIN(#REF!,#REF!+SUMPRODUCT(--(FoodData[[#This Row],[Healthy]:[Refined]]="Yes"),#REF!)+FoodData[[#This Row],[Adjust]]))</f>
        <v>#REF!</v>
      </c>
      <c r="C1528" s="1" t="e">
        <f>LOOKUP(FoodData[[#This Row],[Score]],#REF!,#REF!)</f>
        <v>#REF!</v>
      </c>
      <c r="D1528" t="s">
        <v>2790</v>
      </c>
      <c r="E1528" t="s">
        <v>21</v>
      </c>
      <c r="F1528" t="s">
        <v>22</v>
      </c>
      <c r="G1528" t="s">
        <v>23</v>
      </c>
      <c r="H1528" t="s">
        <v>3051</v>
      </c>
      <c r="I1528" s="1" t="s">
        <v>26</v>
      </c>
      <c r="J1528" s="1" t="s">
        <v>26</v>
      </c>
      <c r="K1528" s="1" t="s">
        <v>26</v>
      </c>
      <c r="L1528" s="1" t="s">
        <v>26</v>
      </c>
      <c r="M1528" s="1" t="s">
        <v>25</v>
      </c>
      <c r="N1528" s="1" t="s">
        <v>25</v>
      </c>
      <c r="O1528" s="1" t="s">
        <v>25</v>
      </c>
      <c r="P1528" s="1" t="s">
        <v>25</v>
      </c>
      <c r="Q1528" s="1" t="s">
        <v>25</v>
      </c>
      <c r="R1528" s="1" t="s">
        <v>25</v>
      </c>
      <c r="S1528" s="2">
        <v>0</v>
      </c>
    </row>
    <row r="1529" spans="1:19" x14ac:dyDescent="0.3">
      <c r="A1529" t="s">
        <v>3052</v>
      </c>
      <c r="B1529" s="5" t="e" cm="1">
        <f t="array" ref="B1529">MAX(#REF!,MIN(#REF!,#REF!+SUMPRODUCT(--(FoodData[[#This Row],[Healthy]:[Refined]]="Yes"),#REF!)+FoodData[[#This Row],[Adjust]]))</f>
        <v>#REF!</v>
      </c>
      <c r="C1529" s="1" t="e">
        <f>LOOKUP(FoodData[[#This Row],[Score]],#REF!,#REF!)</f>
        <v>#REF!</v>
      </c>
      <c r="D1529" t="s">
        <v>2790</v>
      </c>
      <c r="E1529" t="s">
        <v>21</v>
      </c>
      <c r="F1529" t="s">
        <v>22</v>
      </c>
      <c r="G1529" t="s">
        <v>23</v>
      </c>
      <c r="H1529" t="s">
        <v>3053</v>
      </c>
      <c r="I1529" s="1" t="s">
        <v>25</v>
      </c>
      <c r="J1529" s="1" t="s">
        <v>26</v>
      </c>
      <c r="K1529" s="1" t="s">
        <v>25</v>
      </c>
      <c r="L1529" s="1" t="s">
        <v>26</v>
      </c>
      <c r="M1529" s="1" t="s">
        <v>25</v>
      </c>
      <c r="N1529" s="1" t="s">
        <v>26</v>
      </c>
      <c r="O1529" s="1" t="s">
        <v>25</v>
      </c>
      <c r="P1529" s="1" t="s">
        <v>25</v>
      </c>
      <c r="Q1529" s="1" t="s">
        <v>25</v>
      </c>
      <c r="R1529" s="1" t="s">
        <v>25</v>
      </c>
      <c r="S1529" s="2">
        <v>0</v>
      </c>
    </row>
    <row r="1530" spans="1:19" x14ac:dyDescent="0.3">
      <c r="A1530" t="s">
        <v>3054</v>
      </c>
      <c r="B1530" s="5" t="e" cm="1">
        <f t="array" ref="B1530">MAX(#REF!,MIN(#REF!,#REF!+SUMPRODUCT(--(FoodData[[#This Row],[Healthy]:[Refined]]="Yes"),#REF!)+FoodData[[#This Row],[Adjust]]))</f>
        <v>#REF!</v>
      </c>
      <c r="C1530" s="1" t="e">
        <f>LOOKUP(FoodData[[#This Row],[Score]],#REF!,#REF!)</f>
        <v>#REF!</v>
      </c>
      <c r="D1530" t="s">
        <v>2790</v>
      </c>
      <c r="E1530" t="s">
        <v>21</v>
      </c>
      <c r="F1530" t="s">
        <v>22</v>
      </c>
      <c r="G1530" t="s">
        <v>23</v>
      </c>
      <c r="H1530" t="s">
        <v>3055</v>
      </c>
      <c r="I1530" s="1" t="s">
        <v>25</v>
      </c>
      <c r="J1530" s="1" t="s">
        <v>26</v>
      </c>
      <c r="K1530" s="1" t="s">
        <v>26</v>
      </c>
      <c r="L1530" s="1" t="s">
        <v>25</v>
      </c>
      <c r="M1530" s="1" t="s">
        <v>25</v>
      </c>
      <c r="N1530" s="1" t="s">
        <v>25</v>
      </c>
      <c r="O1530" s="1" t="s">
        <v>26</v>
      </c>
      <c r="P1530" s="1" t="s">
        <v>25</v>
      </c>
      <c r="Q1530" s="1" t="s">
        <v>25</v>
      </c>
      <c r="R1530" s="1" t="s">
        <v>25</v>
      </c>
      <c r="S1530" s="2">
        <v>0</v>
      </c>
    </row>
    <row r="1531" spans="1:19" x14ac:dyDescent="0.3">
      <c r="A1531" t="s">
        <v>3056</v>
      </c>
      <c r="B1531" s="5" t="e" cm="1">
        <f t="array" ref="B1531">MAX(#REF!,MIN(#REF!,#REF!+SUMPRODUCT(--(FoodData[[#This Row],[Healthy]:[Refined]]="Yes"),#REF!)+FoodData[[#This Row],[Adjust]]))</f>
        <v>#REF!</v>
      </c>
      <c r="C1531" s="1" t="e">
        <f>LOOKUP(FoodData[[#This Row],[Score]],#REF!,#REF!)</f>
        <v>#REF!</v>
      </c>
      <c r="D1531" t="s">
        <v>2790</v>
      </c>
      <c r="E1531" t="s">
        <v>21</v>
      </c>
      <c r="F1531" t="s">
        <v>22</v>
      </c>
      <c r="G1531" t="s">
        <v>23</v>
      </c>
      <c r="H1531" t="s">
        <v>3057</v>
      </c>
      <c r="I1531" s="1" t="s">
        <v>25</v>
      </c>
      <c r="J1531" s="1" t="s">
        <v>25</v>
      </c>
      <c r="K1531" s="1" t="s">
        <v>25</v>
      </c>
      <c r="L1531" s="1" t="s">
        <v>26</v>
      </c>
      <c r="M1531" s="1" t="s">
        <v>25</v>
      </c>
      <c r="N1531" s="1" t="s">
        <v>25</v>
      </c>
      <c r="O1531" s="1" t="s">
        <v>25</v>
      </c>
      <c r="P1531" s="1" t="s">
        <v>25</v>
      </c>
      <c r="Q1531" s="1" t="s">
        <v>25</v>
      </c>
      <c r="R1531" s="1" t="s">
        <v>25</v>
      </c>
      <c r="S1531" s="2">
        <v>0</v>
      </c>
    </row>
  </sheetData>
  <conditionalFormatting sqref="B2:B1531">
    <cfRule type="colorScale" priority="1">
      <colorScale>
        <cfvo type="num" val="-10"/>
        <cfvo type="num" val="0"/>
        <cfvo type="num" val="10"/>
        <color rgb="FFF8696B"/>
        <color rgb="FFFFEB84"/>
        <color rgb="FF63BE7B"/>
      </colorScale>
    </cfRule>
  </conditionalFormatting>
  <conditionalFormatting sqref="C2:C1531">
    <cfRule type="beginsWith" dxfId="4" priority="2" operator="beginsWith" text="Excellent">
      <formula>LEFT(C2,LEN("Excellent"))="Excellent"</formula>
    </cfRule>
    <cfRule type="beginsWith" dxfId="3" priority="3" operator="beginsWith" text="Good">
      <formula>LEFT(C2,LEN("Good"))="Good"</formula>
    </cfRule>
    <cfRule type="beginsWith" dxfId="2" priority="4" operator="beginsWith" text="Okay">
      <formula>LEFT(C2,LEN("Okay"))="Okay"</formula>
    </cfRule>
    <cfRule type="beginsWith" dxfId="1" priority="5" operator="beginsWith" text="Poor">
      <formula>LEFT(C2,LEN("Poor"))="Poor"</formula>
    </cfRule>
    <cfRule type="beginsWith" dxfId="0" priority="6" operator="beginsWith" text="Very bad">
      <formula>LEFT(C2,LEN("Very bad"))="Very bad"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food</vt:lpstr>
      <vt:lpstr>FoodList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Nishmith Yadav</cp:lastModifiedBy>
  <dcterms:created xsi:type="dcterms:W3CDTF">2026-10-01T17:25:33Z</dcterms:created>
  <dcterms:modified xsi:type="dcterms:W3CDTF">2026-10-01T18:07:25Z</dcterms:modified>
</cp:coreProperties>
</file>